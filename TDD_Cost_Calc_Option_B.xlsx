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omments/comment2.xml" ContentType="application/vnd.openxmlformats-officedocument.spreadsheetml.comments+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comments/comment3.xml" ContentType="application/vnd.openxmlformats-officedocument.spreadsheetml.comments+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913" firstSheet="0" activeTab="29" autoFilterDateGrouping="1"/>
  </bookViews>
  <sheets>
    <sheet name="Exec Summary" sheetId="1" state="visible" r:id="rId1"/>
    <sheet name="- INPUTS -" sheetId="2" state="visible" r:id="rId2"/>
    <sheet name="0.1 Budget Table (Fin)" sheetId="3" state="hidden" r:id="rId3"/>
    <sheet name="0.2 Data Config" sheetId="4" state="visible" r:id="rId4"/>
    <sheet name="0.3 Squad Archetypes" sheetId="5" state="visible" r:id="rId5"/>
    <sheet name="0.4 Presentation Pack" sheetId="6" state="hidden" r:id="rId6"/>
    <sheet name="REVIEW - Complete Role Mapping" sheetId="7" state="visible" r:id="rId7"/>
    <sheet name="- PORTFOLIOS -" sheetId="8" state="visible" r:id="rId8"/>
    <sheet name="1.1 Ampol Retail" sheetId="9" state="visible" r:id="rId9"/>
    <sheet name="1.2 Customer" sheetId="10" state="visible" r:id="rId10"/>
    <sheet name="1.3 Enterprise Data" sheetId="11" state="visible" r:id="rId11"/>
    <sheet name="1.4 TDD Group Functions" sheetId="12" state="visible" r:id="rId12"/>
    <sheet name="1.5 P&amp;C" sheetId="13" state="visible" r:id="rId13"/>
    <sheet name="1.6 Finance" sheetId="14" state="visible" r:id="rId14"/>
    <sheet name="1.7 Infrastructure" sheetId="15" state="visible" r:id="rId15"/>
    <sheet name="1.8 Energy Solutions &amp; B2B" sheetId="16" state="visible" r:id="rId16"/>
    <sheet name="1.9 Commercial Fuels" sheetId="17" state="visible" r:id="rId17"/>
    <sheet name="1.10 Z Retail" sheetId="18" state="visible" r:id="rId18"/>
    <sheet name="1.11 BP&amp;T" sheetId="19" state="visible" r:id="rId19"/>
    <sheet name="1.12 SA&amp;D" sheetId="20" state="visible" r:id="rId20"/>
    <sheet name="1.13 Cyber Roles" sheetId="21" state="visible" r:id="rId21"/>
    <sheet name="- WORKING -" sheetId="22" state="visible" r:id="rId22"/>
    <sheet name="2.1 Ampol Retail" sheetId="23" state="visible" r:id="rId23"/>
    <sheet name="2.2 Customer" sheetId="24" state="visible" r:id="rId24"/>
    <sheet name="2.3 Enterprise Data" sheetId="25" state="visible" r:id="rId25"/>
    <sheet name="2.4 TDD Group Functions" sheetId="26" state="visible" r:id="rId26"/>
    <sheet name="2.5 P&amp;C" sheetId="27" state="visible" r:id="rId27"/>
    <sheet name="2.6 Finance" sheetId="28" state="visible" r:id="rId28"/>
    <sheet name="2.7 Infrastructure" sheetId="29" state="visible" r:id="rId29"/>
    <sheet name="2.8 Energy Solutions &amp; B2B" sheetId="30" state="visible" r:id="rId30"/>
    <sheet name="2.9 Commercial Fuels" sheetId="31" state="visible" r:id="rId31"/>
    <sheet name="2.10 Z Retail" sheetId="32" state="visible" r:id="rId32"/>
    <sheet name="2.11 COE Cyber" sheetId="33" state="visible" r:id="rId33"/>
    <sheet name="2.12 COE BP&amp;T" sheetId="34" state="visible" r:id="rId34"/>
    <sheet name="2.13 COE SA&amp;D" sheetId="35" state="visible" r:id="rId35"/>
    <sheet name="2.14 EGI" sheetId="36" state="visible" r:id="rId36"/>
    <sheet name="- SUMMARIES -" sheetId="37" state="visible" r:id="rId37"/>
    <sheet name="3.1 Cost Bridge" sheetId="38" state="visible" r:id="rId38"/>
    <sheet name="3.2 Overhead &amp; Leadership" sheetId="39" state="visible" r:id="rId39"/>
    <sheet name="3.3 Squad Detail" sheetId="40" state="visible" r:id="rId40"/>
    <sheet name="3.4 COE Detail" sheetId="41" state="visible" r:id="rId41"/>
    <sheet name="- EVIDENCE -" sheetId="42" state="visible" r:id="rId42"/>
    <sheet name="4.0 Data QA" sheetId="43" state="visible" r:id="rId43"/>
    <sheet name="Lists" sheetId="44" state="hidden" r:id="rId44"/>
  </sheets>
  <definedNames>
    <definedName name="OnOff" hidden="0" function="0" vbProcedure="0">Lists!$C$2:$C$3</definedName>
    <definedName name="SquadSizes" hidden="0" function="0" vbProcedure="0">Lists!$B$2:$B$5</definedName>
    <definedName name="SquadTypes" hidden="0" function="0" vbProcedure="0">Lists!$A$2:$A$8</definedName>
    <definedName name="SupportPct" hidden="0" function="0" vbProcedure="0">Lists!$D$2:$D$11</definedName>
    <definedName name="_xlnm._FilterDatabase" localSheetId="6" hidden="1">'REVIEW - Complete Role Mapping'!$A$1:$AH$528</definedName>
    <definedName name="_xlnm._FilterDatabase" localSheetId="23" hidden="1">'2.2 Customer'!$B$24:$G$108</definedName>
  </definedNames>
  <calcPr calcId="191029" fullCalcOnLoad="1"/>
</workbook>
</file>

<file path=xl/styles.xml><?xml version="1.0" encoding="utf-8"?>
<styleSheet xmlns="http://schemas.openxmlformats.org/spreadsheetml/2006/main">
  <numFmts count="33">
    <numFmt numFmtId="164" formatCode="#,##0;\(#,##0\);\-"/>
    <numFmt numFmtId="165" formatCode="#,##0.00;\(#,##0.00\);\-"/>
    <numFmt numFmtId="166" formatCode="#,##0.00;[RED]\(#,##0.00\);\-"/>
    <numFmt numFmtId="167" formatCode="#,##0.000;\(#,##0.000\);\-"/>
    <numFmt numFmtId="168" formatCode="#,##0.0"/>
    <numFmt numFmtId="169" formatCode="0.0"/>
    <numFmt numFmtId="170" formatCode="_-\$#,##0.0_-;[RED]&quot;-$&quot;#,##0.0_-;_-\-_-;_-@_-"/>
    <numFmt numFmtId="171" formatCode="0%;[RED]\-0%"/>
    <numFmt numFmtId="172" formatCode="\$#,##0.00_);[RED]&quot;($&quot;#,##0.00\)"/>
    <numFmt numFmtId="173" formatCode="\$#,##0.00;[RED]&quot;-$&quot;#,##0.00"/>
    <numFmt numFmtId="174" formatCode="_-\$#,##0.0,,_-;[RED]&quot;-$&quot;#,##0.0,,_-;_-\-_-;_-@_-"/>
    <numFmt numFmtId="175" formatCode="_-* #,##0_-;\-* #,##0_-;_-* \-??_-;_-@_-"/>
    <numFmt numFmtId="176" formatCode="\$#,##0;[RED]&quot;-$&quot;#,##0"/>
    <numFmt numFmtId="177" formatCode="_-* #,##0.0_-;\-* #,##0.0_-;_-* \-?_-;_-@_-"/>
    <numFmt numFmtId="178" formatCode="\$#,##0;[RED]&quot;($&quot;#,##0\);\-"/>
    <numFmt numFmtId="179" formatCode="0.0%"/>
    <numFmt numFmtId="180" formatCode="m/d/yyyy"/>
    <numFmt numFmtId="181" formatCode="_-* #,##0_-;\-* #,##0_-;_-* \-?_-;_-@_-"/>
    <numFmt numFmtId="182" formatCode="d\-mmm"/>
    <numFmt numFmtId="183" formatCode="#,##0;\(#,##0\);0"/>
    <numFmt numFmtId="184" formatCode="#,##0.00;\(#,##0.00\);0.00"/>
    <numFmt numFmtId="185" formatCode="#,##0.0;\(#,##0.0\);\-"/>
    <numFmt numFmtId="186" formatCode="#,##0;[RED]\(#,##0\);\-"/>
    <numFmt numFmtId="187" formatCode="\$#,##0;&quot;($&quot;#,##0\);\-"/>
    <numFmt numFmtId="188" formatCode="_-\$* #,##0.00_-;&quot;-$&quot;* #,##0.00_-;_-\$* \-??_-;_-@_-"/>
    <numFmt numFmtId="189" formatCode="#,##0.0;(#,##0.0);&quot;-&quot;"/>
    <numFmt numFmtId="190" formatCode="#,##0;(#,##0);&quot;-&quot;"/>
    <numFmt numFmtId="191" formatCode="#,##0.00;(#,##0.00);&quot;-&quot;"/>
    <numFmt numFmtId="192" formatCode="#,##0;(#,##0);0"/>
    <numFmt numFmtId="193" formatCode="#,##0.00;(#,##0.00);0.00"/>
    <numFmt numFmtId="194" formatCode="#,##0.000;(#,##0.000);&quot;-&quot;"/>
    <numFmt numFmtId="195" formatCode="_(* #,##0.00_);_(* \(#,##0.00\);_(* \-??_);_(@_)"/>
    <numFmt numFmtId="196" formatCode="_(\$* #,##0.00_);_(\$* \(#,##0.00\);_(\$* \-??_);_(@_)"/>
  </numFmts>
  <fonts count="78">
    <font>
      <name val="Calibri"/>
      <charset val="1"/>
      <family val="2"/>
      <color theme="1"/>
      <sz val="11"/>
    </font>
    <font>
      <name val="Arial"/>
      <family val="0"/>
      <sz val="10"/>
    </font>
    <font>
      <name val="Arial"/>
      <family val="0"/>
      <sz val="10"/>
    </font>
    <font>
      <name val="Arial"/>
      <family val="0"/>
      <sz val="10"/>
    </font>
    <font>
      <name val="Calibri"/>
      <charset val="1"/>
      <family val="0"/>
      <b val="1"/>
      <sz val="16"/>
    </font>
    <font>
      <name val="Calibri"/>
      <charset val="1"/>
      <family val="0"/>
      <b val="1"/>
      <color rgb="FFFFFFFF"/>
      <sz val="11"/>
    </font>
    <font>
      <name val="Calibri"/>
      <charset val="1"/>
      <family val="0"/>
      <sz val="11"/>
    </font>
    <font>
      <name val="Calibri"/>
      <charset val="1"/>
      <family val="0"/>
      <b val="1"/>
      <sz val="11"/>
    </font>
    <font>
      <name val="Calibri"/>
      <charset val="1"/>
      <family val="2"/>
      <b val="1"/>
      <color rgb="FF808080"/>
      <sz val="16"/>
    </font>
    <font>
      <name val="Calibri"/>
      <charset val="1"/>
      <family val="2"/>
      <color theme="1"/>
      <sz val="10"/>
    </font>
    <font>
      <name val="Aptos"/>
      <charset val="1"/>
      <family val="2"/>
      <b val="1"/>
      <color rgb="FFFFFFFF"/>
      <sz val="11"/>
    </font>
    <font>
      <name val="Aptos"/>
      <charset val="1"/>
      <family val="2"/>
      <b val="1"/>
      <color rgb="FF000000"/>
      <sz val="11"/>
    </font>
    <font>
      <name val="Arial"/>
      <charset val="1"/>
      <family val="2"/>
      <sz val="18"/>
    </font>
    <font>
      <name val="Aptos"/>
      <charset val="1"/>
      <family val="2"/>
      <color rgb="FF000000"/>
      <sz val="11"/>
    </font>
    <font>
      <name val="Aptos"/>
      <charset val="1"/>
      <family val="2"/>
      <b val="1"/>
      <color rgb="FFFFFFFF"/>
      <sz val="10"/>
    </font>
    <font>
      <name val="Aptos"/>
      <charset val="1"/>
      <family val="2"/>
      <b val="1"/>
      <color rgb="FF000000"/>
      <sz val="10"/>
    </font>
    <font>
      <name val="Arial"/>
      <charset val="1"/>
      <family val="2"/>
      <sz val="10"/>
    </font>
    <font>
      <name val="Aptos"/>
      <charset val="1"/>
      <family val="2"/>
      <color rgb="FF000000"/>
      <sz val="10"/>
    </font>
    <font>
      <name val="Calibri"/>
      <charset val="1"/>
      <family val="2"/>
      <i val="1"/>
      <sz val="9"/>
    </font>
    <font>
      <name val="Calibri"/>
      <charset val="1"/>
      <family val="2"/>
      <b val="1"/>
      <sz val="14"/>
    </font>
    <font>
      <name val="Calibri"/>
      <charset val="1"/>
      <family val="2"/>
      <b val="1"/>
      <color rgb="FFFFFFFF"/>
      <sz val="11"/>
    </font>
    <font>
      <name val="Calibri"/>
      <charset val="1"/>
      <family val="2"/>
      <b val="1"/>
      <color rgb="FFFFFFFF"/>
      <sz val="10"/>
    </font>
    <font>
      <name val="Calibri"/>
      <charset val="1"/>
      <family val="2"/>
      <sz val="11"/>
    </font>
    <font>
      <name val="Calibri"/>
      <charset val="1"/>
      <family val="2"/>
      <color rgb="FF0000FF"/>
      <sz val="11"/>
    </font>
    <font>
      <name val="Calibri"/>
      <charset val="1"/>
      <family val="2"/>
      <sz val="10"/>
    </font>
    <font>
      <name val="Calibri"/>
      <charset val="1"/>
      <family val="2"/>
      <b val="1"/>
      <sz val="10"/>
    </font>
    <font>
      <name val="Calibri"/>
      <charset val="1"/>
      <family val="2"/>
      <color rgb="FFFF0000"/>
      <sz val="11"/>
    </font>
    <font>
      <name val="Cambria"/>
      <charset val="1"/>
      <family val="0"/>
      <sz val="11"/>
    </font>
    <font>
      <name val="Calibri"/>
      <charset val="1"/>
      <family val="2"/>
      <b val="1"/>
      <sz val="11"/>
    </font>
    <font>
      <name val="Calibri"/>
      <charset val="1"/>
      <family val="2"/>
      <b val="1"/>
      <color rgb="FF00B050"/>
      <sz val="11"/>
    </font>
    <font>
      <name val="Calibri"/>
      <charset val="1"/>
      <family val="2"/>
      <color rgb="FFFF0000"/>
      <sz val="10"/>
    </font>
    <font>
      <name val="Arial"/>
      <charset val="1"/>
      <family val="2"/>
      <color theme="1"/>
      <sz val="10"/>
    </font>
    <font>
      <name val="Arial"/>
      <charset val="1"/>
      <family val="2"/>
      <color theme="1"/>
      <sz val="12"/>
    </font>
    <font>
      <name val="Arial"/>
      <charset val="1"/>
      <family val="2"/>
      <b val="1"/>
      <color rgb="FFFFFFFF"/>
      <sz val="12"/>
    </font>
    <font>
      <name val="Arial"/>
      <charset val="1"/>
      <family val="2"/>
      <b val="1"/>
      <color theme="0"/>
      <sz val="10"/>
    </font>
    <font>
      <name val="Arial"/>
      <charset val="1"/>
      <family val="2"/>
      <b val="1"/>
      <sz val="10"/>
    </font>
    <font>
      <name val="Arial"/>
      <charset val="1"/>
      <family val="2"/>
      <b val="1"/>
      <color rgb="FFFFFFFF"/>
      <sz val="10"/>
    </font>
    <font>
      <name val="Arial"/>
      <charset val="1"/>
      <family val="2"/>
      <color rgb="FFFFFFFF"/>
      <sz val="10"/>
    </font>
    <font>
      <name val="Arial"/>
      <charset val="1"/>
      <family val="2"/>
      <b val="1"/>
      <color rgb="FF151515"/>
      <sz val="10"/>
    </font>
    <font>
      <name val="Arial"/>
      <charset val="1"/>
      <family val="2"/>
      <b val="1"/>
      <color theme="1" tint="0.3497"/>
      <sz val="8"/>
    </font>
    <font>
      <name val="Arial"/>
      <charset val="1"/>
      <family val="2"/>
      <color rgb="FF151515"/>
      <sz val="10"/>
    </font>
    <font>
      <name val="Arial"/>
      <charset val="1"/>
      <family val="2"/>
      <color theme="1"/>
      <sz val="11"/>
    </font>
    <font>
      <name val="Arial"/>
      <charset val="1"/>
      <family val="2"/>
      <b val="1"/>
      <color theme="0"/>
      <sz val="12"/>
    </font>
    <font>
      <name val="Arial"/>
      <charset val="1"/>
      <family val="2"/>
      <b val="1"/>
      <sz val="11"/>
    </font>
    <font>
      <name val="Arial"/>
      <charset val="1"/>
      <family val="2"/>
      <b val="1"/>
      <color rgb="FF151515"/>
      <sz val="11"/>
    </font>
    <font>
      <name val="Arial"/>
      <charset val="1"/>
      <family val="2"/>
      <b val="1"/>
      <color theme="0"/>
      <sz val="11"/>
    </font>
    <font>
      <name val="Arial"/>
      <charset val="1"/>
      <family val="2"/>
      <b val="1"/>
      <color theme="1"/>
      <sz val="10"/>
    </font>
    <font>
      <name val="Arial"/>
      <charset val="1"/>
      <family val="2"/>
      <color theme="0"/>
      <sz val="10"/>
    </font>
    <font>
      <name val="Calibri"/>
      <charset val="1"/>
      <family val="2"/>
      <color theme="0"/>
      <sz val="11"/>
    </font>
    <font>
      <name val="Century Gothic"/>
      <charset val="1"/>
      <family val="2"/>
      <b val="1"/>
      <color rgb="FFFFFFFF"/>
      <sz val="11"/>
    </font>
    <font>
      <name val="Century Gothic"/>
      <charset val="1"/>
      <family val="2"/>
      <b val="1"/>
      <color theme="1"/>
      <sz val="11"/>
    </font>
    <font>
      <name val="Cambria"/>
      <charset val="1"/>
      <family val="0"/>
      <b val="1"/>
      <sz val="11"/>
    </font>
    <font>
      <name val="Calibri"/>
      <charset val="1"/>
      <family val="2"/>
      <color rgb="FF000000"/>
      <sz val="11"/>
    </font>
    <font>
      <name val="Arial"/>
      <family val="2"/>
      <sz val="10"/>
    </font>
    <font>
      <name val="Calibri"/>
      <charset val="1"/>
      <family val="2"/>
      <b val="1"/>
      <color rgb="FF1F4E79"/>
      <sz val="16"/>
    </font>
    <font>
      <name val="Calibri"/>
      <charset val="1"/>
      <family val="2"/>
      <b val="1"/>
      <sz val="16"/>
    </font>
    <font>
      <name val="Calibri"/>
      <charset val="1"/>
      <family val="2"/>
      <color rgb="FF008000"/>
      <sz val="10"/>
    </font>
    <font>
      <name val="Calibri"/>
      <charset val="1"/>
      <family val="0"/>
      <b val="1"/>
      <sz val="10"/>
    </font>
    <font>
      <name val="Calibri"/>
      <charset val="1"/>
      <family val="2"/>
      <color rgb="FF0000FF"/>
      <sz val="10"/>
    </font>
    <font>
      <name val="Calibri"/>
      <charset val="1"/>
      <family val="2"/>
      <color theme="0"/>
      <sz val="10"/>
    </font>
    <font>
      <name val="Calibri"/>
      <charset val="1"/>
      <family val="2"/>
      <i val="1"/>
      <sz val="10"/>
    </font>
    <font>
      <name val="Calibri"/>
      <charset val="1"/>
      <family val="2"/>
      <b val="1"/>
      <color theme="1"/>
      <sz val="10"/>
    </font>
    <font>
      <name val="Calibri"/>
      <charset val="1"/>
      <family val="0"/>
      <sz val="10"/>
    </font>
    <font>
      <name val="Calibri"/>
      <charset val="1"/>
      <family val="2"/>
      <color rgb="FF00B0F0"/>
      <sz val="11"/>
    </font>
    <font>
      <name val="Calibri"/>
      <charset val="1"/>
      <family val="0"/>
      <sz val="9"/>
    </font>
    <font>
      <name val="Calibri"/>
      <charset val="1"/>
      <family val="2"/>
      <color rgb="FF00B0F0"/>
      <sz val="9"/>
    </font>
    <font>
      <name val="Calibri"/>
      <charset val="1"/>
      <family val="2"/>
      <b val="1"/>
      <color rgb="FF002F6C"/>
      <sz val="16"/>
    </font>
    <font>
      <name val="Calibri"/>
      <charset val="1"/>
      <family val="2"/>
      <b val="1"/>
      <color rgb="FF002F6C"/>
      <sz val="14"/>
    </font>
    <font>
      <name val="Cambria"/>
      <charset val="1"/>
      <family val="0"/>
      <b val="1"/>
      <color rgb="FFFFFFFF"/>
      <sz val="11"/>
    </font>
    <font>
      <name val="Calibri"/>
      <charset val="1"/>
      <family val="2"/>
      <b val="1"/>
      <color rgb="FFBF8F00"/>
      <sz val="16"/>
    </font>
    <font>
      <name val="Calibri"/>
      <charset val="1"/>
      <family val="2"/>
      <b val="1"/>
      <color rgb="FF375623"/>
      <sz val="16"/>
    </font>
    <font>
      <name val="Aptos"/>
      <charset val="1"/>
      <family val="2"/>
      <color theme="1"/>
      <sz val="12"/>
    </font>
    <font>
      <name val="Calibri"/>
      <charset val="1"/>
      <family val="2"/>
      <i val="1"/>
      <color rgb="FF595959"/>
      <sz val="9"/>
    </font>
    <font>
      <name val="Calibri"/>
      <b val="1"/>
      <sz val="16"/>
    </font>
    <font>
      <name val="Calibri"/>
      <b val="1"/>
      <sz val="11"/>
    </font>
    <font>
      <name val="Calibri"/>
      <sz val="11"/>
    </font>
    <font>
      <name val="Calibri"/>
      <b val="1"/>
      <color rgb="FFFFFFFF"/>
      <sz val="11"/>
    </font>
    <font>
      <name val="Calibri"/>
      <sz val="10"/>
    </font>
  </fonts>
  <fills count="42">
    <fill>
      <patternFill/>
    </fill>
    <fill>
      <patternFill patternType="gray125"/>
    </fill>
    <fill>
      <patternFill patternType="solid">
        <fgColor rgb="FF002F6C"/>
        <bgColor rgb="FF1D2E99"/>
      </patternFill>
    </fill>
    <fill>
      <patternFill patternType="solid">
        <fgColor rgb="FFFFFF00"/>
        <bgColor rgb="FFFFC000"/>
      </patternFill>
    </fill>
    <fill>
      <patternFill patternType="solid">
        <fgColor theme="1"/>
        <bgColor rgb="FF151515"/>
      </patternFill>
    </fill>
    <fill>
      <patternFill patternType="solid">
        <fgColor rgb="FFDCEAF7"/>
        <bgColor rgb="FFDDEBF7"/>
      </patternFill>
    </fill>
    <fill>
      <patternFill patternType="solid">
        <fgColor rgb="FFF2F2F2"/>
        <bgColor rgb="FFEBF1DE"/>
      </patternFill>
    </fill>
    <fill>
      <patternFill patternType="solid">
        <fgColor rgb="FFAEAEAE"/>
        <bgColor rgb="FFBFBFBF"/>
      </patternFill>
    </fill>
    <fill>
      <patternFill patternType="solid">
        <fgColor rgb="FF000099"/>
        <bgColor rgb="FF18249C"/>
      </patternFill>
    </fill>
    <fill>
      <patternFill patternType="solid">
        <fgColor rgb="FFD9D9D9"/>
        <bgColor rgb="FFDDD9C3"/>
      </patternFill>
    </fill>
    <fill>
      <patternFill patternType="solid">
        <fgColor rgb="FFFBE3D6"/>
        <bgColor rgb="FFFDEADA"/>
      </patternFill>
    </fill>
    <fill>
      <patternFill patternType="solid">
        <fgColor theme="0"/>
        <bgColor rgb="FFF2F2F2"/>
      </patternFill>
    </fill>
    <fill>
      <patternFill patternType="solid">
        <fgColor rgb="FFE7EAED"/>
        <bgColor rgb="FFDDEBF7"/>
      </patternFill>
    </fill>
    <fill>
      <patternFill patternType="solid">
        <fgColor rgb="FF1F4E79"/>
        <bgColor rgb="FF1F4E78"/>
      </patternFill>
    </fill>
    <fill>
      <patternFill patternType="solid">
        <fgColor rgb="FFFFF2CC"/>
        <bgColor rgb="FFFDEADA"/>
      </patternFill>
    </fill>
    <fill>
      <patternFill patternType="solid">
        <fgColor rgb="FF151515"/>
        <bgColor rgb="FF000000"/>
      </patternFill>
    </fill>
    <fill>
      <patternFill patternType="solid">
        <fgColor rgb="FF18249C"/>
        <bgColor rgb="FF1D2E99"/>
      </patternFill>
    </fill>
    <fill>
      <patternFill patternType="solid">
        <fgColor theme="3" tint="0.7497"/>
        <bgColor rgb="FFB8C9CC"/>
      </patternFill>
    </fill>
    <fill>
      <patternFill patternType="solid">
        <fgColor rgb="FF1D2E99"/>
        <bgColor rgb="FF18249C"/>
      </patternFill>
    </fill>
    <fill>
      <patternFill patternType="solid">
        <fgColor theme="2" tint="-0.1"/>
        <bgColor rgb="FFD9D9D9"/>
      </patternFill>
    </fill>
    <fill>
      <patternFill patternType="solid">
        <fgColor rgb="FF92D050"/>
        <bgColor rgb="FFAEAEAE"/>
      </patternFill>
    </fill>
    <fill>
      <patternFill patternType="solid">
        <fgColor rgb="FFFFC000"/>
        <bgColor rgb="FFFAC090"/>
      </patternFill>
    </fill>
    <fill>
      <patternFill patternType="solid">
        <fgColor rgb="FFFF0000"/>
        <bgColor rgb="FF993300"/>
      </patternFill>
    </fill>
    <fill>
      <patternFill patternType="solid">
        <fgColor theme="4" tint="0.7998"/>
        <bgColor rgb="FFDCEAF7"/>
      </patternFill>
    </fill>
    <fill>
      <patternFill patternType="solid">
        <fgColor theme="6" tint="-0.5"/>
        <bgColor rgb="FF375623"/>
      </patternFill>
    </fill>
    <fill>
      <patternFill patternType="solid">
        <fgColor theme="6" tint="-0.25"/>
        <bgColor rgb="FF808080"/>
      </patternFill>
    </fill>
    <fill>
      <patternFill patternType="solid">
        <fgColor rgb="FF1F4E78"/>
        <bgColor rgb="FF1F4E79"/>
      </patternFill>
    </fill>
    <fill>
      <patternFill patternType="solid">
        <fgColor theme="9" tint="0.7999000000000001"/>
        <bgColor rgb="FFFBE3D6"/>
      </patternFill>
    </fill>
    <fill>
      <patternFill patternType="solid">
        <fgColor theme="7" tint="0.7999000000000001"/>
        <bgColor rgb="FFDCE6F2"/>
      </patternFill>
    </fill>
    <fill>
      <patternFill patternType="solid">
        <fgColor theme="6" tint="0.7999000000000001"/>
        <bgColor rgb="FFE7EAED"/>
      </patternFill>
    </fill>
    <fill>
      <patternFill patternType="solid">
        <fgColor rgb="FF00B0F0"/>
        <bgColor rgb="FF008080"/>
      </patternFill>
    </fill>
    <fill>
      <patternFill patternType="solid">
        <fgColor theme="9" tint="0.3996"/>
        <bgColor rgb="FFF8CBAD"/>
      </patternFill>
    </fill>
    <fill>
      <patternFill patternType="solid">
        <fgColor rgb="FFDDEBF7"/>
        <bgColor rgb="FFDCEAF7"/>
      </patternFill>
    </fill>
    <fill>
      <patternFill patternType="solid">
        <fgColor rgb="FFFFFFCC"/>
        <bgColor rgb="FFFFF2CC"/>
      </patternFill>
    </fill>
    <fill>
      <patternFill patternType="solid">
        <fgColor theme="5"/>
        <bgColor rgb="FF993366"/>
      </patternFill>
    </fill>
    <fill>
      <patternFill patternType="solid">
        <fgColor rgb="FFF8CBAD"/>
        <bgColor rgb="FFFAC090"/>
      </patternFill>
    </fill>
    <fill>
      <patternFill patternType="solid">
        <fgColor rgb="FF002F6C"/>
        <bgColor rgb="FF002F6C"/>
      </patternFill>
    </fill>
    <fill>
      <patternFill patternType="solid">
        <fgColor rgb="FF1F4E79"/>
        <bgColor rgb="FF1F4E79"/>
      </patternFill>
    </fill>
    <fill>
      <patternFill patternType="solid">
        <fgColor rgb="FFDDEBF7"/>
        <bgColor rgb="FFDDEBF7"/>
      </patternFill>
    </fill>
    <fill>
      <patternFill patternType="solid">
        <fgColor rgb="FFF2F2F2"/>
        <bgColor rgb="FFF2F2F2"/>
      </patternFill>
    </fill>
    <fill>
      <patternFill patternType="solid">
        <fgColor rgb="FFD9D9D9"/>
        <bgColor rgb="FFD9D9D9"/>
      </patternFill>
    </fill>
    <fill>
      <patternFill patternType="solid">
        <fgColor rgb="FFFFF2CC"/>
        <bgColor rgb="FFFFF2CC"/>
      </patternFill>
    </fill>
  </fills>
  <borders count="108">
    <border>
      <left/>
      <right/>
      <top/>
      <bottom/>
      <diagonal/>
    </border>
    <border>
      <left style="thin">
        <color rgb="FFBFBFBF"/>
      </left>
      <right style="thin">
        <color rgb="FFBFBFBF"/>
      </right>
      <top style="thin">
        <color rgb="FFBFBFBF"/>
      </top>
      <bottom style="thin">
        <color rgb="FFBFBFBF"/>
      </bottom>
      <diagonal/>
    </border>
    <border>
      <left style="medium"/>
      <right style="medium">
        <color rgb="FFFFFFFF"/>
      </right>
      <top style="medium"/>
      <bottom/>
      <diagonal/>
    </border>
    <border>
      <left style="medium">
        <color rgb="FFFFFFFF"/>
      </left>
      <right style="medium">
        <color rgb="FFFFFFFF"/>
      </right>
      <top style="medium"/>
      <bottom style="medium">
        <color rgb="FFFFFFFF"/>
      </bottom>
      <diagonal/>
    </border>
    <border>
      <left style="medium">
        <color rgb="FFFFFFFF"/>
      </left>
      <right style="medium"/>
      <top style="medium"/>
      <bottom/>
      <diagonal/>
    </border>
    <border>
      <left style="medium"/>
      <right style="medium"/>
      <top style="medium">
        <color rgb="FFFFFFFF"/>
      </top>
      <bottom style="medium">
        <color rgb="FFFFFFFF"/>
      </bottom>
      <diagonal/>
    </border>
    <border>
      <left style="medium"/>
      <right style="medium">
        <color rgb="FFFFFFFF"/>
      </right>
      <top style="medium"/>
      <bottom style="medium">
        <color rgb="FFFFFFFF"/>
      </bottom>
      <diagonal/>
    </border>
    <border>
      <left style="medium"/>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top/>
      <bottom style="medium">
        <color rgb="FFFFFFFF"/>
      </bottom>
      <diagonal/>
    </border>
    <border>
      <left style="medium"/>
      <right style="medium">
        <color rgb="FFFFFFFF"/>
      </right>
      <top style="medium">
        <color rgb="FFFFFFFF"/>
      </top>
      <bottom style="medium">
        <color rgb="FFFFFFFF"/>
      </bottom>
      <diagonal/>
    </border>
    <border>
      <left style="medium">
        <color rgb="FFFFFFFF"/>
      </left>
      <right style="medium"/>
      <top style="medium">
        <color rgb="FFFFFFFF"/>
      </top>
      <bottom style="medium">
        <color rgb="FFFFFFFF"/>
      </bottom>
      <diagonal/>
    </border>
    <border>
      <left style="medium">
        <color rgb="FFFFFFFF"/>
      </left>
      <right style="medium">
        <color rgb="FFFFFFFF"/>
      </right>
      <top style="medium">
        <color rgb="FFFFFFFF"/>
      </top>
      <bottom style="medium"/>
      <diagonal/>
    </border>
    <border>
      <left style="medium">
        <color rgb="FFFFFFFF"/>
      </left>
      <right style="medium"/>
      <top style="medium">
        <color rgb="FFFFFFFF"/>
      </top>
      <bottom style="medium"/>
      <diagonal/>
    </border>
    <border>
      <left style="medium"/>
      <right style="medium"/>
      <top style="medium">
        <color rgb="FFFFFFFF"/>
      </top>
      <bottom style="medium"/>
      <diagonal/>
    </border>
    <border>
      <left style="medium"/>
      <right style="medium">
        <color rgb="FFFFFFFF"/>
      </right>
      <top style="medium">
        <color rgb="FFFFFFFF"/>
      </top>
      <bottom style="medium"/>
      <diagonal/>
    </border>
    <border>
      <left style="medium">
        <color rgb="FFFFFFFF"/>
      </left>
      <right style="medium">
        <color rgb="FFFFFFFF"/>
      </right>
      <top style="medium"/>
      <bottom style="medium"/>
      <diagonal/>
    </border>
    <border>
      <left style="medium">
        <color rgb="FFFFFFFF"/>
      </left>
      <right style="medium"/>
      <top style="medium"/>
      <bottom style="medium"/>
      <diagonal/>
    </border>
    <border>
      <left style="medium"/>
      <right style="medium"/>
      <top style="medium"/>
      <bottom style="medium">
        <color rgb="FFFFFFFF"/>
      </bottom>
      <diagonal/>
    </border>
    <border>
      <left style="medium"/>
      <right style="medium">
        <color rgb="FFFFFFFF"/>
      </right>
      <top style="medium"/>
      <bottom style="medium"/>
      <diagonal/>
    </border>
    <border>
      <left style="medium"/>
      <right style="medium"/>
      <top style="medium"/>
      <bottom style="medium"/>
      <diagonal/>
    </border>
    <border>
      <left style="medium"/>
      <right style="medium"/>
      <top style="medium"/>
      <bottom/>
      <diagonal/>
    </border>
    <border>
      <left style="medium">
        <color rgb="FFFFFFFF"/>
      </left>
      <right style="medium">
        <color rgb="FFFFFFFF"/>
      </right>
      <top style="medium"/>
      <bottom/>
      <diagonal/>
    </border>
    <border>
      <left style="medium"/>
      <right style="medium"/>
      <top/>
      <bottom style="medium"/>
      <diagonal/>
    </border>
    <border>
      <left style="medium">
        <color rgb="FFFFFFFF"/>
      </left>
      <right style="medium">
        <color rgb="FFFFFFFF"/>
      </right>
      <top/>
      <bottom style="medium">
        <color rgb="FFFFFFFF"/>
      </bottom>
      <diagonal/>
    </border>
    <border>
      <left style="medium">
        <color rgb="FFFFFFFF"/>
      </left>
      <right style="medium"/>
      <top style="medium"/>
      <bottom style="medium">
        <color rgb="FFFFFFFF"/>
      </bottom>
      <diagonal/>
    </border>
    <border>
      <left style="thin">
        <color rgb="FFBFBFBF"/>
      </left>
      <right/>
      <top/>
      <bottom/>
      <diagonal/>
    </border>
    <border>
      <left style="thin">
        <color rgb="FFB8C9CC"/>
      </left>
      <right style="thin">
        <color rgb="FFB8C9CC"/>
      </right>
      <top style="thin">
        <color rgb="FFB8C9CC"/>
      </top>
      <bottom style="thin">
        <color rgb="FFB8C9CC"/>
      </bottom>
      <diagonal/>
    </border>
    <border>
      <left style="thin">
        <color rgb="FFBFBFBF"/>
      </left>
      <right style="thin">
        <color rgb="FFBFBFBF"/>
      </right>
      <top/>
      <bottom/>
      <diagonal/>
    </border>
    <border>
      <left style="thin"/>
      <right/>
      <top style="thin"/>
      <bottom style="thin"/>
      <diagonal/>
    </border>
    <border>
      <left style="thin"/>
      <right style="medium">
        <color rgb="FFFFFFFF"/>
      </right>
      <top style="thin"/>
      <bottom style="medium">
        <color rgb="FFFFFFFF"/>
      </bottom>
      <diagonal/>
    </border>
    <border>
      <left style="medium">
        <color rgb="FFFFFFFF"/>
      </left>
      <right style="medium">
        <color rgb="FFFFFFFF"/>
      </right>
      <top style="thin"/>
      <bottom style="medium">
        <color rgb="FFFFFFFF"/>
      </bottom>
      <diagonal/>
    </border>
    <border>
      <left style="medium">
        <color rgb="FFFFFFFF"/>
      </left>
      <right style="thin"/>
      <top style="thin"/>
      <bottom style="medium">
        <color rgb="FFFFFFFF"/>
      </bottom>
      <diagonal/>
    </border>
    <border>
      <left style="medium">
        <color rgb="FFFFFFFF"/>
      </left>
      <right/>
      <top style="thin"/>
      <bottom style="medium">
        <color rgb="FFFFFFFF"/>
      </bottom>
      <diagonal/>
    </border>
    <border>
      <left style="thin"/>
      <right style="thin"/>
      <top style="thin"/>
      <bottom style="medium">
        <color rgb="FFFFFFFF"/>
      </bottom>
      <diagonal/>
    </border>
    <border>
      <left style="thin"/>
      <right style="medium">
        <color rgb="FFFFFFFF"/>
      </right>
      <top style="medium">
        <color rgb="FFFFFFFF"/>
      </top>
      <bottom style="thin"/>
      <diagonal/>
    </border>
    <border>
      <left style="medium">
        <color rgb="FFFFFFFF"/>
      </left>
      <right style="medium">
        <color rgb="FFFFFFFF"/>
      </right>
      <top style="medium">
        <color rgb="FFFFFFFF"/>
      </top>
      <bottom style="thin"/>
      <diagonal/>
    </border>
    <border>
      <left style="medium">
        <color rgb="FFFFFFFF"/>
      </left>
      <right style="thin"/>
      <top style="medium">
        <color rgb="FFFFFFFF"/>
      </top>
      <bottom style="thin"/>
      <diagonal/>
    </border>
    <border>
      <left style="medium">
        <color rgb="FFFFFFFF"/>
      </left>
      <right/>
      <top style="medium">
        <color rgb="FFFFFFFF"/>
      </top>
      <bottom style="thin"/>
      <diagonal/>
    </border>
    <border>
      <left style="thin"/>
      <right/>
      <top/>
      <bottom style="medium">
        <color rgb="FFFFFFFF"/>
      </bottom>
      <diagonal/>
    </border>
    <border>
      <left style="thin"/>
      <right style="medium">
        <color rgb="FFFFFFFF"/>
      </right>
      <top/>
      <bottom style="medium">
        <color rgb="FFFFFFFF"/>
      </bottom>
      <diagonal/>
    </border>
    <border>
      <left/>
      <right style="medium">
        <color rgb="FFFFFFFF"/>
      </right>
      <top/>
      <bottom style="medium">
        <color rgb="FFFFFFFF"/>
      </bottom>
      <diagonal/>
    </border>
    <border>
      <left style="medium">
        <color rgb="FFFFFFFF"/>
      </left>
      <right style="thin"/>
      <top/>
      <bottom style="medium">
        <color rgb="FFFFFFFF"/>
      </bottom>
      <diagonal/>
    </border>
    <border>
      <left style="thin"/>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thin"/>
      <top style="medium">
        <color rgb="FFFFFFFF"/>
      </top>
      <bottom/>
      <diagonal/>
    </border>
    <border>
      <left style="thin"/>
      <right/>
      <top style="medium">
        <color rgb="FFFFFFFF"/>
      </top>
      <bottom style="medium">
        <color rgb="FFFFFFFF"/>
      </bottom>
      <diagonal/>
    </border>
    <border>
      <left style="medium">
        <color rgb="FFFFFFFF"/>
      </left>
      <right style="thin"/>
      <top style="medium">
        <color rgb="FFFFFFFF"/>
      </top>
      <bottom style="medium">
        <color rgb="FFFFFFFF"/>
      </bottom>
      <diagonal/>
    </border>
    <border>
      <left style="medium">
        <color rgb="FFFFFFFF"/>
      </left>
      <right style="medium">
        <color rgb="FFFFFFFF"/>
      </right>
      <top/>
      <bottom/>
      <diagonal/>
    </border>
    <border>
      <left style="thin"/>
      <right/>
      <top style="medium">
        <color rgb="FFFFFFFF"/>
      </top>
      <bottom/>
      <diagonal/>
    </border>
    <border>
      <left style="thin"/>
      <right style="medium">
        <color rgb="FFFFFFFF"/>
      </right>
      <top style="medium">
        <color rgb="FFFFFFFF"/>
      </top>
      <bottom/>
      <diagonal/>
    </border>
    <border>
      <left/>
      <right style="medium">
        <color rgb="FFFFFFFF"/>
      </right>
      <top style="medium">
        <color rgb="FFFFFFFF"/>
      </top>
      <bottom/>
      <diagonal/>
    </border>
    <border>
      <left style="medium">
        <color rgb="FFFFFFFF"/>
      </left>
      <right style="medium">
        <color rgb="FFFFFFFF"/>
      </right>
      <top style="medium">
        <color rgb="FFFFFFFF"/>
      </top>
      <bottom/>
      <diagonal/>
    </border>
    <border>
      <left/>
      <right style="medium">
        <color rgb="FFFFFFFF"/>
      </right>
      <top/>
      <bottom/>
      <diagonal/>
    </border>
    <border>
      <left style="thin"/>
      <right style="medium">
        <color rgb="FFFFFFFF"/>
      </right>
      <top style="thin"/>
      <bottom style="thin"/>
      <diagonal/>
    </border>
    <border>
      <left/>
      <right style="medium">
        <color rgb="FFFFFFFF"/>
      </right>
      <top style="thin"/>
      <bottom style="thin"/>
      <diagonal/>
    </border>
    <border>
      <left style="medium">
        <color rgb="FFFFFFFF"/>
      </left>
      <right style="medium">
        <color rgb="FFFFFFFF"/>
      </right>
      <top style="thin"/>
      <bottom style="thin"/>
      <diagonal/>
    </border>
    <border>
      <left style="medium">
        <color rgb="FFFFFFFF"/>
      </left>
      <right style="thin"/>
      <top style="thin"/>
      <bottom style="thin"/>
      <diagonal/>
    </border>
    <border>
      <left/>
      <right style="medium">
        <color rgb="FFFFFFFF"/>
      </right>
      <top style="medium">
        <color rgb="FFFFFFFF"/>
      </top>
      <bottom style="thin"/>
      <diagonal/>
    </border>
    <border>
      <left style="thin"/>
      <right/>
      <top style="thin"/>
      <bottom/>
      <diagonal/>
    </border>
    <border>
      <left style="thin"/>
      <right/>
      <top/>
      <bottom/>
      <diagonal/>
    </border>
    <border>
      <left style="thin"/>
      <right/>
      <top style="thin"/>
      <bottom style="medium">
        <color rgb="FFFFFFFF"/>
      </bottom>
      <diagonal/>
    </border>
    <border>
      <left style="thin"/>
      <right/>
      <top/>
      <bottom style="thin"/>
      <diagonal/>
    </border>
    <border>
      <left style="thin"/>
      <right style="thin"/>
      <top style="thin"/>
      <bottom/>
      <diagonal/>
    </border>
    <border>
      <left style="thin"/>
      <right style="thin"/>
      <top style="thin"/>
      <bottom style="thin"/>
      <diagonal/>
    </border>
    <border>
      <left style="thin"/>
      <right style="thin"/>
      <top/>
      <bottom style="thin"/>
      <diagonal/>
    </border>
    <border>
      <left style="thin"/>
      <right style="thin"/>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right style="thin"/>
      <top/>
      <bottom/>
      <diagonal/>
    </border>
    <border>
      <left style="thin">
        <color rgb="FFBFBFBF"/>
      </left>
      <right/>
      <top style="thin">
        <color rgb="FFBFBFBF"/>
      </top>
      <bottom style="thin">
        <color rgb="FFBFBFBF"/>
      </bottom>
      <diagonal/>
    </border>
    <border>
      <left style="thin">
        <color rgb="FFBFBFBF"/>
      </left>
      <right style="thin">
        <color rgb="FFBFBFBF"/>
      </right>
      <top style="medium">
        <color rgb="FF002F6C"/>
      </top>
      <bottom style="thin">
        <color rgb="FFBFBFBF"/>
      </bottom>
      <diagonal/>
    </border>
    <border>
      <left style="medium"/>
      <right style="medium"/>
      <top style="medium"/>
      <bottom style="thin"/>
      <diagonal/>
    </border>
    <border>
      <left style="medium"/>
      <right style="medium"/>
      <top style="thin"/>
      <bottom style="medium"/>
      <diagonal/>
    </border>
    <border>
      <left style="medium">
        <color rgb="FFFFFFFF"/>
      </left>
      <right/>
      <top/>
      <bottom/>
      <diagonal/>
    </border>
    <border>
      <left/>
      <right/>
      <top style="medium"/>
      <bottom/>
      <diagonal/>
    </border>
    <border>
      <left/>
      <right style="medium">
        <color rgb="FFFFFFFF"/>
      </right>
      <top style="medium"/>
      <bottom/>
      <diagonal/>
    </border>
    <border>
      <left/>
      <right/>
      <top style="medium"/>
      <bottom style="medium">
        <color rgb="FFFFFFFF"/>
      </bottom>
      <diagonal/>
    </border>
    <border>
      <left/>
      <right style="medium">
        <color rgb="FFFFFFFF"/>
      </right>
      <top style="medium"/>
      <bottom style="medium">
        <color rgb="FFFFFFFF"/>
      </bottom>
      <diagonal/>
    </border>
    <border>
      <left style="medium"/>
      <right/>
      <top/>
      <bottom/>
      <diagonal/>
    </border>
    <border>
      <left style="medium"/>
      <right style="medium">
        <color rgb="FFFFFFFF"/>
      </right>
      <top/>
      <bottom/>
      <diagonal/>
    </border>
    <border>
      <left/>
      <right style="medium"/>
      <top style="medium"/>
      <bottom/>
      <diagonal/>
    </border>
    <border>
      <left/>
      <right style="medium"/>
      <top/>
      <bottom/>
      <diagonal/>
    </border>
    <border>
      <left style="medium"/>
      <right/>
      <top/>
      <bottom style="medium"/>
      <diagonal/>
    </border>
    <border>
      <left/>
      <right/>
      <top/>
      <bottom style="medium"/>
      <diagonal/>
    </border>
    <border>
      <left/>
      <right style="medium"/>
      <top/>
      <bottom style="medium"/>
      <diagonal/>
    </border>
    <border>
      <left style="medium"/>
      <right style="medium"/>
      <top/>
      <bottom/>
      <diagonal/>
    </border>
    <border>
      <left/>
      <right/>
      <top style="medium"/>
      <bottom style="medium"/>
      <diagonal/>
    </border>
    <border>
      <left/>
      <right style="medium"/>
      <top style="medium"/>
      <bottom style="medium"/>
      <diagonal/>
    </border>
    <border>
      <left/>
      <right style="medium">
        <color rgb="FFFFFFFF"/>
      </right>
      <top style="medium"/>
      <bottom style="medium"/>
      <diagonal/>
    </border>
    <border>
      <left/>
      <right/>
      <top style="medium">
        <color rgb="FFFFFFFF"/>
      </top>
      <bottom/>
      <diagonal/>
    </border>
    <border>
      <left/>
      <right style="medium">
        <color rgb="FFFFFFFF"/>
      </right>
      <top style="medium">
        <color rgb="FFFFFFFF"/>
      </top>
      <bottom style="medium"/>
      <diagonal/>
    </border>
    <border>
      <left/>
      <right/>
      <top style="thin">
        <color rgb="FFBFBFBF"/>
      </top>
      <bottom/>
      <diagonal/>
    </border>
    <border>
      <left/>
      <right style="thin">
        <color rgb="FFBFBFBF"/>
      </right>
      <top style="thin">
        <color rgb="FFBFBFBF"/>
      </top>
      <bottom/>
      <diagonal/>
    </border>
    <border>
      <left/>
      <right/>
      <top style="thin"/>
      <bottom/>
      <diagonal/>
    </border>
    <border>
      <left/>
      <right style="medium">
        <color rgb="FFFFFFFF"/>
      </right>
      <top style="thin"/>
      <bottom/>
      <diagonal/>
    </border>
    <border>
      <left/>
      <right/>
      <top style="thin"/>
      <bottom style="medium">
        <color rgb="FFFFFFFF"/>
      </bottom>
      <diagonal/>
    </border>
    <border>
      <left/>
      <right style="medium">
        <color rgb="FFFFFFFF"/>
      </right>
      <top style="thin"/>
      <bottom style="medium">
        <color rgb="FFFFFFFF"/>
      </bottom>
      <diagonal/>
    </border>
    <border>
      <left/>
      <right style="thin"/>
      <top style="thin"/>
      <bottom/>
      <diagonal/>
    </border>
    <border>
      <left/>
      <right style="thin"/>
      <top style="thin"/>
      <bottom style="medium">
        <color rgb="FFFFFFFF"/>
      </bottom>
      <diagonal/>
    </border>
    <border>
      <left style="thin"/>
      <right style="thin"/>
      <top/>
      <bottom style="medium">
        <color rgb="FFFFFFFF"/>
      </bottom>
      <diagonal/>
    </border>
    <border>
      <left/>
      <right/>
      <top style="thin"/>
      <bottom style="thin"/>
      <diagonal/>
    </border>
    <border>
      <left/>
      <right style="thin"/>
      <top style="thin"/>
      <bottom style="thin"/>
      <diagonal/>
    </border>
    <border>
      <left style="thin">
        <color rgb="FFBFBFBF"/>
      </left>
      <right style="thin">
        <color rgb="FFBFBFBF"/>
      </right>
      <top style="thin">
        <color rgb="FFBFBFBF"/>
      </top>
      <bottom style="thin">
        <color rgb="FFBFBFBF"/>
      </bottom>
    </border>
    <border>
      <left style="thin">
        <color rgb="FFBFBFBF"/>
      </left>
      <right style="thin">
        <color rgb="FFBFBFBF"/>
      </right>
      <top style="medium">
        <color rgb="FF002F6C"/>
      </top>
      <bottom style="thin">
        <color rgb="FFBFBFBF"/>
      </bottom>
    </border>
    <border/>
  </borders>
  <cellStyleXfs count="19">
    <xf numFmtId="0" fontId="0" fillId="0" borderId="0" applyAlignment="1">
      <alignment horizontal="general" vertical="bottom"/>
    </xf>
    <xf numFmtId="195" fontId="0" fillId="0" borderId="0" applyAlignment="1">
      <alignment horizontal="general" vertical="bottom"/>
    </xf>
    <xf numFmtId="41" fontId="3" fillId="0" borderId="0"/>
    <xf numFmtId="196" fontId="0" fillId="0" borderId="0" applyAlignment="1">
      <alignment horizontal="general" vertical="bottom"/>
    </xf>
    <xf numFmtId="42" fontId="3" fillId="0" borderId="0"/>
    <xf numFmtId="9" fontId="0" fillId="0" borderId="0" applyAlignment="1">
      <alignment horizontal="general" vertical="bottom"/>
    </xf>
    <xf numFmtId="195" fontId="0" fillId="0" borderId="0" applyAlignment="1">
      <alignment horizontal="general" vertical="bottom"/>
    </xf>
    <xf numFmtId="195"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9" fontId="0" fillId="0" borderId="0" applyAlignment="1">
      <alignment horizontal="general" vertical="bottom"/>
    </xf>
    <xf numFmtId="9" fontId="0" fillId="0" borderId="0" applyAlignment="1">
      <alignment horizontal="general" vertical="bottom"/>
    </xf>
    <xf numFmtId="9"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cellStyleXfs>
  <cellXfs count="195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left" vertical="center"/>
    </xf>
    <xf numFmtId="0" fontId="5" fillId="2" borderId="0" applyAlignment="1" pivotButton="0" quotePrefix="0" xfId="0">
      <alignment horizontal="general" vertical="bottom"/>
    </xf>
    <xf numFmtId="0" fontId="6" fillId="0" borderId="1" applyAlignment="1" pivotButton="0" quotePrefix="0" xfId="0">
      <alignment horizontal="left" vertical="center"/>
    </xf>
    <xf numFmtId="164" fontId="6" fillId="0" borderId="1" applyAlignment="1" pivotButton="0" quotePrefix="0" xfId="0">
      <alignment horizontal="right" vertical="center"/>
    </xf>
    <xf numFmtId="165" fontId="6" fillId="0" borderId="1" applyAlignment="1" pivotButton="0" quotePrefix="0" xfId="0">
      <alignment horizontal="right" vertical="center"/>
    </xf>
    <xf numFmtId="0" fontId="7" fillId="0" borderId="1" applyAlignment="1" pivotButton="0" quotePrefix="0" xfId="0">
      <alignment horizontal="left" vertical="center"/>
    </xf>
    <xf numFmtId="0" fontId="6" fillId="3" borderId="1" applyAlignment="1" pivotButton="0" quotePrefix="0" xfId="0">
      <alignment horizontal="center" vertical="center" wrapText="1"/>
    </xf>
    <xf numFmtId="0" fontId="8" fillId="0" borderId="0" applyAlignment="1" pivotButton="0" quotePrefix="0" xfId="0">
      <alignment horizontal="general" vertical="center"/>
    </xf>
    <xf numFmtId="0" fontId="9" fillId="0" borderId="0" applyAlignment="1" pivotButton="0" quotePrefix="0" xfId="0">
      <alignment horizontal="general" vertical="bottom"/>
    </xf>
    <xf numFmtId="0" fontId="10" fillId="4" borderId="2" applyAlignment="1" pivotButton="0" quotePrefix="0" xfId="0">
      <alignment horizontal="center" vertical="center" wrapText="1" readingOrder="1"/>
    </xf>
    <xf numFmtId="0" fontId="10" fillId="4" borderId="3" applyAlignment="1" pivotButton="0" quotePrefix="0" xfId="0">
      <alignment horizontal="center" vertical="center" wrapText="1" readingOrder="1"/>
    </xf>
    <xf numFmtId="0" fontId="11" fillId="5" borderId="3" applyAlignment="1" pivotButton="0" quotePrefix="0" xfId="0">
      <alignment horizontal="center" vertical="center" wrapText="1" readingOrder="1"/>
    </xf>
    <xf numFmtId="0" fontId="10" fillId="4" borderId="4" applyAlignment="1" pivotButton="0" quotePrefix="0" xfId="0">
      <alignment horizontal="center" vertical="center" wrapText="1" readingOrder="1"/>
    </xf>
    <xf numFmtId="0" fontId="12" fillId="6" borderId="5" applyAlignment="1" pivotButton="0" quotePrefix="0" xfId="0">
      <alignment horizontal="general" vertical="center" wrapText="1"/>
    </xf>
    <xf numFmtId="0" fontId="11" fillId="5" borderId="6" applyAlignment="1" pivotButton="0" quotePrefix="0" xfId="0">
      <alignment horizontal="center" vertical="center" wrapText="1" readingOrder="1"/>
    </xf>
    <xf numFmtId="0" fontId="10" fillId="4" borderId="7" applyAlignment="1" pivotButton="0" quotePrefix="0" xfId="0">
      <alignment horizontal="center" vertical="center" wrapText="1" readingOrder="1"/>
    </xf>
    <xf numFmtId="0" fontId="11" fillId="7" borderId="8" applyAlignment="1" pivotButton="0" quotePrefix="0" xfId="0">
      <alignment horizontal="center" vertical="center" wrapText="1" readingOrder="1"/>
    </xf>
    <xf numFmtId="0" fontId="10" fillId="4" borderId="9" applyAlignment="1" pivotButton="0" quotePrefix="0" xfId="0">
      <alignment horizontal="center" vertical="center" wrapText="1" readingOrder="1"/>
    </xf>
    <xf numFmtId="0" fontId="12" fillId="6" borderId="5" applyAlignment="1" pivotButton="0" quotePrefix="0" xfId="0">
      <alignment horizontal="center" vertical="center" wrapText="1"/>
    </xf>
    <xf numFmtId="0" fontId="10" fillId="8" borderId="10" applyAlignment="1" pivotButton="0" quotePrefix="0" xfId="0">
      <alignment horizontal="left" vertical="center" wrapText="1" readingOrder="1"/>
    </xf>
    <xf numFmtId="0" fontId="13" fillId="6" borderId="8" applyAlignment="1" pivotButton="0" quotePrefix="0" xfId="0">
      <alignment horizontal="left" vertical="center" wrapText="1" readingOrder="1"/>
    </xf>
    <xf numFmtId="0" fontId="12" fillId="6" borderId="8" applyAlignment="1" pivotButton="0" quotePrefix="0" xfId="0">
      <alignment horizontal="general" vertical="center" wrapText="1"/>
    </xf>
    <xf numFmtId="0" fontId="13" fillId="6" borderId="8" applyAlignment="1" pivotButton="0" quotePrefix="0" xfId="0">
      <alignment horizontal="center" vertical="center" wrapText="1" readingOrder="1"/>
    </xf>
    <xf numFmtId="0" fontId="11" fillId="9" borderId="8" applyAlignment="1" pivotButton="0" quotePrefix="0" xfId="0">
      <alignment horizontal="center" vertical="center" wrapText="1" readingOrder="1"/>
    </xf>
    <xf numFmtId="0" fontId="11" fillId="7" borderId="11" applyAlignment="1" pivotButton="0" quotePrefix="0" xfId="0">
      <alignment horizontal="center" vertical="center" wrapText="1" readingOrder="1"/>
    </xf>
    <xf numFmtId="0" fontId="12" fillId="6" borderId="10" applyAlignment="1" pivotButton="0" quotePrefix="0" xfId="0">
      <alignment horizontal="center" vertical="center" wrapText="1"/>
    </xf>
    <xf numFmtId="0" fontId="12" fillId="6" borderId="8" applyAlignment="1" pivotButton="0" quotePrefix="0" xfId="0">
      <alignment horizontal="center" vertical="center" wrapText="1"/>
    </xf>
    <xf numFmtId="0" fontId="11" fillId="10" borderId="8" applyAlignment="1" pivotButton="0" quotePrefix="0" xfId="0">
      <alignment horizontal="center" vertical="center" wrapText="1" readingOrder="1"/>
    </xf>
    <xf numFmtId="0" fontId="11" fillId="6" borderId="10" applyAlignment="1" pivotButton="0" quotePrefix="0" xfId="0">
      <alignment horizontal="center" vertical="center" wrapText="1" readingOrder="1"/>
    </xf>
    <xf numFmtId="0" fontId="12" fillId="9" borderId="8" applyAlignment="1" pivotButton="0" quotePrefix="0" xfId="0">
      <alignment horizontal="center" vertical="center" wrapText="1"/>
    </xf>
    <xf numFmtId="0" fontId="11" fillId="5" borderId="8" applyAlignment="1" pivotButton="0" quotePrefix="0" xfId="0">
      <alignment horizontal="center" vertical="center" wrapText="1" readingOrder="1"/>
    </xf>
    <xf numFmtId="0" fontId="13" fillId="6" borderId="12" applyAlignment="1" pivotButton="0" quotePrefix="0" xfId="0">
      <alignment horizontal="left" vertical="center" wrapText="1" readingOrder="1"/>
    </xf>
    <xf numFmtId="0" fontId="12" fillId="6" borderId="12" applyAlignment="1" pivotButton="0" quotePrefix="0" xfId="0">
      <alignment horizontal="general" vertical="center" wrapText="1"/>
    </xf>
    <xf numFmtId="0" fontId="12" fillId="6" borderId="12" applyAlignment="1" pivotButton="0" quotePrefix="0" xfId="0">
      <alignment horizontal="center" vertical="center" wrapText="1"/>
    </xf>
    <xf numFmtId="0" fontId="13" fillId="6" borderId="12" applyAlignment="1" pivotButton="0" quotePrefix="0" xfId="0">
      <alignment horizontal="center" vertical="center" wrapText="1" readingOrder="1"/>
    </xf>
    <xf numFmtId="0" fontId="11" fillId="9" borderId="12" applyAlignment="1" pivotButton="0" quotePrefix="0" xfId="0">
      <alignment horizontal="center" vertical="center" wrapText="1" readingOrder="1"/>
    </xf>
    <xf numFmtId="0" fontId="12" fillId="9" borderId="12" applyAlignment="1" pivotButton="0" quotePrefix="0" xfId="0">
      <alignment horizontal="center" vertical="center" wrapText="1"/>
    </xf>
    <xf numFmtId="0" fontId="11" fillId="7" borderId="13" applyAlignment="1" pivotButton="0" quotePrefix="0" xfId="0">
      <alignment horizontal="center" vertical="center" wrapText="1" readingOrder="1"/>
    </xf>
    <xf numFmtId="0" fontId="12" fillId="6" borderId="14" applyAlignment="1" pivotButton="0" quotePrefix="0" xfId="0">
      <alignment horizontal="center" vertical="center" wrapText="1"/>
    </xf>
    <xf numFmtId="0" fontId="11" fillId="6" borderId="15" applyAlignment="1" pivotButton="0" quotePrefix="0" xfId="0">
      <alignment horizontal="center" vertical="center" wrapText="1" readingOrder="1"/>
    </xf>
    <xf numFmtId="0" fontId="11" fillId="5" borderId="12" applyAlignment="1" pivotButton="0" quotePrefix="0" xfId="0">
      <alignment horizontal="center" vertical="center" wrapText="1" readingOrder="1"/>
    </xf>
    <xf numFmtId="0" fontId="10" fillId="8" borderId="15" applyAlignment="1" pivotButton="0" quotePrefix="0" xfId="0">
      <alignment horizontal="left" vertical="center" wrapText="1" readingOrder="1"/>
    </xf>
    <xf numFmtId="0" fontId="12" fillId="6" borderId="16" applyAlignment="1" pivotButton="0" quotePrefix="0" xfId="0">
      <alignment horizontal="general" vertical="center" wrapText="1"/>
    </xf>
    <xf numFmtId="0" fontId="13" fillId="6" borderId="16" applyAlignment="1" pivotButton="0" quotePrefix="0" xfId="0">
      <alignment horizontal="center" vertical="center" wrapText="1" readingOrder="1"/>
    </xf>
    <xf numFmtId="0" fontId="11" fillId="9" borderId="16" applyAlignment="1" pivotButton="0" quotePrefix="0" xfId="0">
      <alignment horizontal="center" vertical="center" wrapText="1" readingOrder="1"/>
    </xf>
    <xf numFmtId="0" fontId="11" fillId="7" borderId="17" applyAlignment="1" pivotButton="0" quotePrefix="0" xfId="0">
      <alignment horizontal="center" vertical="center" wrapText="1" readingOrder="1"/>
    </xf>
    <xf numFmtId="0" fontId="12" fillId="6" borderId="18" applyAlignment="1" pivotButton="0" quotePrefix="0" xfId="0">
      <alignment horizontal="center" vertical="center" wrapText="1"/>
    </xf>
    <xf numFmtId="0" fontId="11" fillId="6" borderId="19" applyAlignment="1" pivotButton="0" quotePrefix="0" xfId="0">
      <alignment horizontal="center" vertical="center" wrapText="1" readingOrder="1"/>
    </xf>
    <xf numFmtId="0" fontId="11" fillId="6" borderId="16" applyAlignment="1" pivotButton="0" quotePrefix="0" xfId="0">
      <alignment horizontal="center" vertical="center" wrapText="1" readingOrder="1"/>
    </xf>
    <xf numFmtId="0" fontId="14" fillId="4" borderId="20" applyAlignment="1" pivotButton="0" quotePrefix="0" xfId="0">
      <alignment horizontal="center" vertical="center" wrapText="1" readingOrder="1"/>
    </xf>
    <xf numFmtId="0" fontId="15" fillId="5" borderId="20" applyAlignment="1" pivotButton="0" quotePrefix="0" xfId="0">
      <alignment horizontal="center" vertical="center" wrapText="1" readingOrder="1"/>
    </xf>
    <xf numFmtId="0" fontId="14" fillId="4" borderId="21" applyAlignment="1" pivotButton="0" quotePrefix="0" xfId="0">
      <alignment horizontal="center" vertical="center" wrapText="1" readingOrder="1"/>
    </xf>
    <xf numFmtId="0" fontId="16" fillId="11" borderId="5" applyAlignment="1" pivotButton="0" quotePrefix="0" xfId="0">
      <alignment horizontal="general" vertical="center" wrapText="1"/>
    </xf>
    <xf numFmtId="0" fontId="15" fillId="5" borderId="6" applyAlignment="1" pivotButton="0" quotePrefix="0" xfId="0">
      <alignment horizontal="center" vertical="center" wrapText="1" readingOrder="1"/>
    </xf>
    <xf numFmtId="0" fontId="15" fillId="5" borderId="3" applyAlignment="1" pivotButton="0" quotePrefix="0" xfId="0">
      <alignment horizontal="center" vertical="center" wrapText="1" readingOrder="1"/>
    </xf>
    <xf numFmtId="0" fontId="15" fillId="5" borderId="22" applyAlignment="1" pivotButton="0" quotePrefix="0" xfId="0">
      <alignment horizontal="center" vertical="center" wrapText="1" readingOrder="1"/>
    </xf>
    <xf numFmtId="0" fontId="14" fillId="4" borderId="4" applyAlignment="1" pivotButton="0" quotePrefix="0" xfId="0">
      <alignment horizontal="center" vertical="center" wrapText="1" readingOrder="1"/>
    </xf>
    <xf numFmtId="0" fontId="15" fillId="7" borderId="20" applyAlignment="1" pivotButton="0" quotePrefix="0" xfId="0">
      <alignment horizontal="center" vertical="center" wrapText="1" readingOrder="1"/>
    </xf>
    <xf numFmtId="0" fontId="14" fillId="4" borderId="23" applyAlignment="1" pivotButton="0" quotePrefix="0" xfId="0">
      <alignment horizontal="center" vertical="center" wrapText="1" readingOrder="1"/>
    </xf>
    <xf numFmtId="0" fontId="16" fillId="11" borderId="5" applyAlignment="1" pivotButton="0" quotePrefix="0" xfId="0">
      <alignment horizontal="center" vertical="center" wrapText="1"/>
    </xf>
    <xf numFmtId="0" fontId="15" fillId="5" borderId="24" applyAlignment="1" pivotButton="0" quotePrefix="0" xfId="0">
      <alignment horizontal="center" vertical="center" wrapText="1" readingOrder="1"/>
    </xf>
    <xf numFmtId="0" fontId="14" fillId="4" borderId="9" applyAlignment="1" pivotButton="0" quotePrefix="0" xfId="0">
      <alignment horizontal="center" vertical="center" wrapText="1" readingOrder="1"/>
    </xf>
    <xf numFmtId="0" fontId="16" fillId="12" borderId="20" applyAlignment="1" pivotButton="0" quotePrefix="0" xfId="0">
      <alignment horizontal="center" vertical="center" wrapText="1"/>
    </xf>
    <xf numFmtId="0" fontId="17" fillId="5" borderId="6" applyAlignment="1" pivotButton="0" quotePrefix="0" xfId="0">
      <alignment horizontal="left" vertical="center" wrapText="1" readingOrder="1"/>
    </xf>
    <xf numFmtId="0" fontId="16" fillId="5" borderId="3" applyAlignment="1" pivotButton="0" quotePrefix="0" xfId="0">
      <alignment horizontal="general" vertical="center" wrapText="1"/>
    </xf>
    <xf numFmtId="0" fontId="15" fillId="12" borderId="3" applyAlignment="1" pivotButton="0" quotePrefix="0" xfId="0">
      <alignment horizontal="center" vertical="center" wrapText="1" readingOrder="1"/>
    </xf>
    <xf numFmtId="0" fontId="16" fillId="12" borderId="3" applyAlignment="1" pivotButton="0" quotePrefix="0" xfId="0">
      <alignment horizontal="center" vertical="center" wrapText="1"/>
    </xf>
    <xf numFmtId="0" fontId="16" fillId="12" borderId="25" applyAlignment="1" pivotButton="0" quotePrefix="0" xfId="0">
      <alignment horizontal="center" vertical="center" wrapText="1"/>
    </xf>
    <xf numFmtId="0" fontId="15" fillId="5" borderId="18" applyAlignment="1" pivotButton="0" quotePrefix="0" xfId="0">
      <alignment horizontal="center" vertical="center" wrapText="1" readingOrder="1"/>
    </xf>
    <xf numFmtId="0" fontId="16" fillId="12" borderId="10" applyAlignment="1" pivotButton="0" quotePrefix="0" xfId="0">
      <alignment horizontal="center" vertical="center" wrapText="1"/>
    </xf>
    <xf numFmtId="0" fontId="16" fillId="12" borderId="8" applyAlignment="1" pivotButton="0" quotePrefix="0" xfId="0">
      <alignment horizontal="center" vertical="center" wrapText="1"/>
    </xf>
    <xf numFmtId="0" fontId="15" fillId="7" borderId="11" applyAlignment="1" pivotButton="0" quotePrefix="0" xfId="0">
      <alignment horizontal="center" vertical="center" wrapText="1" readingOrder="1"/>
    </xf>
    <xf numFmtId="0" fontId="17" fillId="5" borderId="10" applyAlignment="1" pivotButton="0" quotePrefix="0" xfId="0">
      <alignment horizontal="left" vertical="center" wrapText="1" readingOrder="1"/>
    </xf>
    <xf numFmtId="0" fontId="16" fillId="5" borderId="8" applyAlignment="1" pivotButton="0" quotePrefix="0" xfId="0">
      <alignment horizontal="general" vertical="center" wrapText="1"/>
    </xf>
    <xf numFmtId="0" fontId="15" fillId="12" borderId="8" applyAlignment="1" pivotButton="0" quotePrefix="0" xfId="0">
      <alignment horizontal="center" vertical="center" wrapText="1" readingOrder="1"/>
    </xf>
    <xf numFmtId="0" fontId="16" fillId="12" borderId="11" applyAlignment="1" pivotButton="0" quotePrefix="0" xfId="0">
      <alignment horizontal="center" vertical="center" wrapText="1"/>
    </xf>
    <xf numFmtId="0" fontId="15" fillId="5" borderId="5" applyAlignment="1" pivotButton="0" quotePrefix="0" xfId="0">
      <alignment horizontal="center" vertical="center" wrapText="1" readingOrder="1"/>
    </xf>
    <xf numFmtId="0" fontId="17" fillId="10" borderId="10" applyAlignment="1" pivotButton="0" quotePrefix="0" xfId="0">
      <alignment horizontal="left" vertical="center" wrapText="1" readingOrder="1"/>
    </xf>
    <xf numFmtId="0" fontId="16" fillId="10" borderId="8" applyAlignment="1" pivotButton="0" quotePrefix="0" xfId="0">
      <alignment horizontal="general" vertical="center" wrapText="1"/>
    </xf>
    <xf numFmtId="0" fontId="17" fillId="10" borderId="8" applyAlignment="1" pivotButton="0" quotePrefix="0" xfId="0">
      <alignment horizontal="left" vertical="center" wrapText="1" readingOrder="1"/>
    </xf>
    <xf numFmtId="0" fontId="15" fillId="10" borderId="5" applyAlignment="1" pivotButton="0" quotePrefix="0" xfId="0">
      <alignment horizontal="center" vertical="center" wrapText="1" readingOrder="1"/>
    </xf>
    <xf numFmtId="0" fontId="15" fillId="10" borderId="8" applyAlignment="1" pivotButton="0" quotePrefix="0" xfId="0">
      <alignment horizontal="center" vertical="center" wrapText="1" readingOrder="1"/>
    </xf>
    <xf numFmtId="0" fontId="15" fillId="12" borderId="11" applyAlignment="1" pivotButton="0" quotePrefix="0" xfId="0">
      <alignment horizontal="center" vertical="center" wrapText="1" readingOrder="1"/>
    </xf>
    <xf numFmtId="0" fontId="17" fillId="10" borderId="15" applyAlignment="1" pivotButton="0" quotePrefix="0" xfId="0">
      <alignment horizontal="left" vertical="center" wrapText="1" readingOrder="1"/>
    </xf>
    <xf numFmtId="0" fontId="16" fillId="10" borderId="12" applyAlignment="1" pivotButton="0" quotePrefix="0" xfId="0">
      <alignment horizontal="general" vertical="center" wrapText="1"/>
    </xf>
    <xf numFmtId="0" fontId="17" fillId="10" borderId="12" applyAlignment="1" pivotButton="0" quotePrefix="0" xfId="0">
      <alignment horizontal="left" vertical="center" wrapText="1" readingOrder="1"/>
    </xf>
    <xf numFmtId="0" fontId="15" fillId="12" borderId="12" applyAlignment="1" pivotButton="0" quotePrefix="0" xfId="0">
      <alignment horizontal="center" vertical="center" wrapText="1" readingOrder="1"/>
    </xf>
    <xf numFmtId="0" fontId="16" fillId="12" borderId="12" applyAlignment="1" pivotButton="0" quotePrefix="0" xfId="0">
      <alignment horizontal="center" vertical="center" wrapText="1"/>
    </xf>
    <xf numFmtId="0" fontId="16" fillId="12" borderId="13" applyAlignment="1" pivotButton="0" quotePrefix="0" xfId="0">
      <alignment horizontal="center" vertical="center" wrapText="1"/>
    </xf>
    <xf numFmtId="0" fontId="15" fillId="10" borderId="14" applyAlignment="1" pivotButton="0" quotePrefix="0" xfId="0">
      <alignment horizontal="center" vertical="center" wrapText="1" readingOrder="1"/>
    </xf>
    <xf numFmtId="0" fontId="16" fillId="11" borderId="14" applyAlignment="1" pivotButton="0" quotePrefix="0" xfId="0">
      <alignment horizontal="center" vertical="center" wrapText="1"/>
    </xf>
    <xf numFmtId="0" fontId="16" fillId="12" borderId="15" applyAlignment="1" pivotButton="0" quotePrefix="0" xfId="0">
      <alignment horizontal="center" vertical="center" wrapText="1"/>
    </xf>
    <xf numFmtId="0" fontId="15" fillId="10" borderId="12" applyAlignment="1" pivotButton="0" quotePrefix="0" xfId="0">
      <alignment horizontal="center" vertical="center" wrapText="1" readingOrder="1"/>
    </xf>
    <xf numFmtId="0" fontId="15" fillId="7" borderId="13" applyAlignment="1" pivotButton="0" quotePrefix="0" xfId="0">
      <alignment horizontal="center" vertical="center" wrapText="1" readingOrder="1"/>
    </xf>
    <xf numFmtId="0" fontId="14" fillId="8" borderId="19" applyAlignment="1" pivotButton="0" quotePrefix="0" xfId="0">
      <alignment horizontal="left" vertical="center" wrapText="1" readingOrder="1"/>
    </xf>
    <xf numFmtId="0" fontId="14" fillId="8" borderId="16" applyAlignment="1" pivotButton="0" quotePrefix="0" xfId="0">
      <alignment horizontal="left" vertical="center" wrapText="1" readingOrder="1"/>
    </xf>
    <xf numFmtId="0" fontId="16" fillId="8" borderId="16" applyAlignment="1" pivotButton="0" quotePrefix="0" xfId="0">
      <alignment horizontal="general" vertical="center" wrapText="1"/>
    </xf>
    <xf numFmtId="0" fontId="15" fillId="7" borderId="16" applyAlignment="1" pivotButton="0" quotePrefix="0" xfId="0">
      <alignment horizontal="center" vertical="center" wrapText="1" readingOrder="1"/>
    </xf>
    <xf numFmtId="0" fontId="15" fillId="7" borderId="17" applyAlignment="1" pivotButton="0" quotePrefix="0" xfId="0">
      <alignment horizontal="center" vertical="center" wrapText="1" readingOrder="1"/>
    </xf>
    <xf numFmtId="0" fontId="16" fillId="11" borderId="20" applyAlignment="1" pivotButton="0" quotePrefix="0" xfId="0">
      <alignment horizontal="center" vertical="center" wrapText="1"/>
    </xf>
    <xf numFmtId="0" fontId="16" fillId="7" borderId="19" applyAlignment="1" pivotButton="0" quotePrefix="0" xfId="0">
      <alignment horizontal="center" vertical="center" wrapText="1"/>
    </xf>
    <xf numFmtId="0" fontId="16" fillId="7" borderId="16" applyAlignment="1" pivotButton="0" quotePrefix="0" xfId="0">
      <alignment horizontal="center" vertical="center" wrapText="1"/>
    </xf>
    <xf numFmtId="0" fontId="16" fillId="12" borderId="18" applyAlignment="1" pivotButton="0" quotePrefix="0" xfId="0">
      <alignment horizontal="general" vertical="center" wrapText="1"/>
    </xf>
    <xf numFmtId="0" fontId="17" fillId="12" borderId="6" applyAlignment="1" pivotButton="0" quotePrefix="0" xfId="0">
      <alignment horizontal="left" vertical="center" wrapText="1" readingOrder="1"/>
    </xf>
    <xf numFmtId="0" fontId="16" fillId="12" borderId="3" applyAlignment="1" pivotButton="0" quotePrefix="0" xfId="0">
      <alignment horizontal="general" vertical="center" wrapText="1"/>
    </xf>
    <xf numFmtId="0" fontId="15" fillId="12" borderId="25" applyAlignment="1" pivotButton="0" quotePrefix="0" xfId="0">
      <alignment horizontal="center" vertical="center" wrapText="1" readingOrder="1"/>
    </xf>
    <xf numFmtId="0" fontId="15" fillId="7" borderId="18" applyAlignment="1" pivotButton="0" quotePrefix="0" xfId="0">
      <alignment horizontal="center" vertical="center" wrapText="1" readingOrder="1"/>
    </xf>
    <xf numFmtId="0" fontId="16" fillId="11" borderId="18" applyAlignment="1" pivotButton="0" quotePrefix="0" xfId="0">
      <alignment horizontal="center" vertical="center" wrapText="1"/>
    </xf>
    <xf numFmtId="0" fontId="16" fillId="12" borderId="6" applyAlignment="1" pivotButton="0" quotePrefix="0" xfId="0">
      <alignment horizontal="center" vertical="center" wrapText="1"/>
    </xf>
    <xf numFmtId="0" fontId="15" fillId="7" borderId="25" applyAlignment="1" pivotButton="0" quotePrefix="0" xfId="0">
      <alignment horizontal="center" vertical="center" wrapText="1" readingOrder="1"/>
    </xf>
    <xf numFmtId="0" fontId="16" fillId="12" borderId="14" applyAlignment="1" pivotButton="0" quotePrefix="0" xfId="0">
      <alignment horizontal="general" vertical="center" wrapText="1"/>
    </xf>
    <xf numFmtId="0" fontId="17" fillId="12" borderId="15" applyAlignment="1" pivotButton="0" quotePrefix="0" xfId="0">
      <alignment horizontal="left" vertical="center" wrapText="1" readingOrder="1"/>
    </xf>
    <xf numFmtId="0" fontId="16" fillId="12" borderId="12" applyAlignment="1" pivotButton="0" quotePrefix="0" xfId="0">
      <alignment horizontal="general" vertical="center" wrapText="1"/>
    </xf>
    <xf numFmtId="0" fontId="15" fillId="7" borderId="14" applyAlignment="1" pivotButton="0" quotePrefix="0" xfId="0">
      <alignment horizontal="center" vertical="center" wrapText="1" readingOrder="1"/>
    </xf>
    <xf numFmtId="0" fontId="15" fillId="7" borderId="19" applyAlignment="1" pivotButton="0" quotePrefix="0" xfId="0">
      <alignment horizontal="center" vertical="center" wrapText="1" readingOrder="1"/>
    </xf>
    <xf numFmtId="0" fontId="18" fillId="0" borderId="0" applyAlignment="1" pivotButton="0" quotePrefix="0" xfId="0">
      <alignment horizontal="general" vertical="bottom"/>
    </xf>
    <xf numFmtId="0" fontId="19" fillId="0" borderId="0" applyAlignment="1" pivotButton="0" quotePrefix="0" xfId="0">
      <alignment horizontal="general" vertical="bottom"/>
    </xf>
    <xf numFmtId="0" fontId="0" fillId="0" borderId="0" applyAlignment="1" pivotButton="0" quotePrefix="0" xfId="0">
      <alignment horizontal="general" vertical="bottom"/>
    </xf>
    <xf numFmtId="0" fontId="20" fillId="2" borderId="26" applyAlignment="1" pivotButton="0" quotePrefix="0" xfId="0">
      <alignment horizontal="center" vertical="center"/>
    </xf>
    <xf numFmtId="0" fontId="21" fillId="2" borderId="1" applyAlignment="1" pivotButton="0" quotePrefix="0" xfId="0">
      <alignment horizontal="left" vertical="center"/>
    </xf>
    <xf numFmtId="0" fontId="20" fillId="13" borderId="1" applyAlignment="1" pivotButton="0" quotePrefix="0" xfId="0">
      <alignment horizontal="left" vertical="center"/>
    </xf>
    <xf numFmtId="0" fontId="20" fillId="13" borderId="0" applyAlignment="1" pivotButton="0" quotePrefix="0" xfId="0">
      <alignment horizontal="left" vertical="center"/>
    </xf>
    <xf numFmtId="0" fontId="21" fillId="13" borderId="1" applyAlignment="1" pivotButton="0" quotePrefix="0" xfId="0">
      <alignment horizontal="left" vertical="center"/>
    </xf>
    <xf numFmtId="0" fontId="22" fillId="6" borderId="1" applyAlignment="1" pivotButton="0" quotePrefix="0" xfId="0">
      <alignment horizontal="general" vertical="bottom"/>
    </xf>
    <xf numFmtId="165" fontId="23" fillId="14" borderId="1" applyAlignment="1" pivotButton="0" quotePrefix="0" xfId="0">
      <alignment horizontal="general" vertical="bottom"/>
    </xf>
    <xf numFmtId="165" fontId="22" fillId="6" borderId="1" applyAlignment="1" pivotButton="0" quotePrefix="0" xfId="0">
      <alignment horizontal="general" vertical="bottom"/>
    </xf>
    <xf numFmtId="166" fontId="22" fillId="6" borderId="1" applyAlignment="1" pivotButton="0" quotePrefix="0" xfId="0">
      <alignment horizontal="general" vertical="bottom"/>
    </xf>
    <xf numFmtId="0" fontId="24" fillId="0" borderId="1" applyAlignment="1" pivotButton="0" quotePrefix="0" xfId="0">
      <alignment horizontal="general" vertical="bottom"/>
    </xf>
    <xf numFmtId="9" fontId="23" fillId="14" borderId="1" applyAlignment="1" pivotButton="0" quotePrefix="0" xfId="0">
      <alignment horizontal="general" vertical="bottom"/>
    </xf>
    <xf numFmtId="165" fontId="24" fillId="0" borderId="1" applyAlignment="1" pivotButton="0" quotePrefix="0" xfId="0">
      <alignment horizontal="general" vertical="bottom"/>
    </xf>
    <xf numFmtId="0" fontId="22" fillId="0" borderId="1" applyAlignment="1" pivotButton="0" quotePrefix="0" xfId="0">
      <alignment horizontal="general" vertical="bottom"/>
    </xf>
    <xf numFmtId="165" fontId="22" fillId="0" borderId="1" applyAlignment="1" pivotButton="0" quotePrefix="0" xfId="0">
      <alignment horizontal="general" vertical="bottom"/>
    </xf>
    <xf numFmtId="0" fontId="25" fillId="0" borderId="0" applyAlignment="1" pivotButton="0" quotePrefix="0" xfId="0">
      <alignment horizontal="general" vertical="bottom"/>
    </xf>
    <xf numFmtId="167" fontId="25" fillId="0" borderId="1" applyAlignment="1" pivotButton="0" quotePrefix="0" xfId="0">
      <alignment horizontal="general" vertical="bottom"/>
    </xf>
    <xf numFmtId="165" fontId="26" fillId="6" borderId="1" applyAlignment="1" pivotButton="0" quotePrefix="0" xfId="0">
      <alignment horizontal="general" vertical="bottom"/>
    </xf>
    <xf numFmtId="0" fontId="27" fillId="0" borderId="0" applyAlignment="1" pivotButton="0" quotePrefix="0" xfId="0">
      <alignment horizontal="general" vertical="bottom"/>
    </xf>
    <xf numFmtId="0" fontId="26" fillId="0" borderId="1" applyAlignment="1" pivotButton="0" quotePrefix="0" xfId="0">
      <alignment horizontal="general" vertical="bottom"/>
    </xf>
    <xf numFmtId="0" fontId="28" fillId="0" borderId="0" applyAlignment="1" pivotButton="0" quotePrefix="0" xfId="0">
      <alignment horizontal="general" vertical="bottom"/>
    </xf>
    <xf numFmtId="165" fontId="28" fillId="0" borderId="1" applyAlignment="1" pivotButton="0" quotePrefix="0" xfId="0">
      <alignment horizontal="general" vertical="bottom"/>
    </xf>
    <xf numFmtId="0" fontId="29" fillId="0" borderId="0" applyAlignment="1" pivotButton="0" quotePrefix="0" xfId="0">
      <alignment horizontal="general" vertical="bottom"/>
    </xf>
    <xf numFmtId="165" fontId="29" fillId="0" borderId="0" applyAlignment="1" pivotButton="0" quotePrefix="0" xfId="0">
      <alignment horizontal="general" vertical="bottom"/>
    </xf>
    <xf numFmtId="165" fontId="0" fillId="0" borderId="0" applyAlignment="1" pivotButton="0" quotePrefix="0" xfId="0">
      <alignment horizontal="general" vertical="bottom"/>
    </xf>
    <xf numFmtId="168" fontId="0" fillId="0" borderId="0" applyAlignment="1" pivotButton="0" quotePrefix="0" xfId="0">
      <alignment horizontal="general" vertical="bottom"/>
    </xf>
    <xf numFmtId="0" fontId="21" fillId="13" borderId="27" applyAlignment="1" pivotButton="0" quotePrefix="0" xfId="0">
      <alignment horizontal="center" vertical="center"/>
    </xf>
    <xf numFmtId="0" fontId="30" fillId="0" borderId="1" applyAlignment="1" pivotButton="0" quotePrefix="0" xfId="0">
      <alignment horizontal="general" vertical="bottom"/>
    </xf>
    <xf numFmtId="169" fontId="30" fillId="0" borderId="1" applyAlignment="1" pivotButton="0" quotePrefix="0" xfId="0">
      <alignment horizontal="general" vertical="bottom"/>
    </xf>
    <xf numFmtId="165" fontId="30" fillId="0" borderId="1" applyAlignment="1" pivotButton="0" quotePrefix="0" xfId="0">
      <alignment horizontal="general" vertical="bottom"/>
    </xf>
    <xf numFmtId="9" fontId="25" fillId="14" borderId="27" applyAlignment="1" pivotButton="0" quotePrefix="0" xfId="0">
      <alignment horizontal="center" vertical="center"/>
    </xf>
    <xf numFmtId="0" fontId="24" fillId="6" borderId="1" applyAlignment="1" pivotButton="0" quotePrefix="0" xfId="0">
      <alignment horizontal="general" vertical="bottom"/>
    </xf>
    <xf numFmtId="169" fontId="24" fillId="6" borderId="1" applyAlignment="1" pivotButton="0" quotePrefix="0" xfId="0">
      <alignment horizontal="general" vertical="bottom"/>
    </xf>
    <xf numFmtId="165" fontId="24" fillId="6" borderId="1" applyAlignment="1" pivotButton="0" quotePrefix="0" xfId="0">
      <alignment horizontal="general" vertical="bottom"/>
    </xf>
    <xf numFmtId="169" fontId="24" fillId="0" borderId="1" applyAlignment="1" pivotButton="0" quotePrefix="0" xfId="0">
      <alignment horizontal="general" vertical="bottom"/>
    </xf>
    <xf numFmtId="0" fontId="30" fillId="6" borderId="1" applyAlignment="1" pivotButton="0" quotePrefix="0" xfId="0">
      <alignment horizontal="general" vertical="bottom"/>
    </xf>
    <xf numFmtId="169" fontId="30" fillId="6" borderId="1" applyAlignment="1" pivotButton="0" quotePrefix="0" xfId="0">
      <alignment horizontal="general" vertical="bottom"/>
    </xf>
    <xf numFmtId="0" fontId="24" fillId="6" borderId="28" applyAlignment="1" pivotButton="0" quotePrefix="0" xfId="0">
      <alignment horizontal="general" vertical="bottom"/>
    </xf>
    <xf numFmtId="0" fontId="24" fillId="0" borderId="0" applyAlignment="1" pivotButton="0" quotePrefix="0" xfId="0">
      <alignment horizontal="general" vertical="bottom"/>
    </xf>
    <xf numFmtId="0" fontId="31" fillId="11" borderId="0" applyAlignment="1" pivotButton="0" quotePrefix="0" xfId="22">
      <alignment horizontal="general" vertical="bottom"/>
    </xf>
    <xf numFmtId="0" fontId="32" fillId="11" borderId="0" applyAlignment="1" pivotButton="0" quotePrefix="0" xfId="22">
      <alignment horizontal="general" vertical="bottom"/>
    </xf>
    <xf numFmtId="0" fontId="33" fillId="15" borderId="29" applyAlignment="1" pivotButton="0" quotePrefix="0" xfId="22">
      <alignment horizontal="left" vertical="center" wrapText="1" indent="1" readingOrder="1"/>
    </xf>
    <xf numFmtId="0" fontId="34" fillId="16" borderId="30" applyAlignment="1" pivotButton="0" quotePrefix="0" xfId="22">
      <alignment horizontal="center" vertical="center" wrapText="1" readingOrder="1"/>
    </xf>
    <xf numFmtId="0" fontId="35" fillId="17" borderId="31" applyAlignment="1" pivotButton="0" quotePrefix="0" xfId="22">
      <alignment horizontal="center" vertical="center" wrapText="1" readingOrder="1"/>
    </xf>
    <xf numFmtId="0" fontId="35" fillId="17" borderId="32" applyAlignment="1" pivotButton="0" quotePrefix="0" xfId="22">
      <alignment horizontal="center" vertical="center" wrapText="1" readingOrder="1"/>
    </xf>
    <xf numFmtId="0" fontId="35" fillId="17" borderId="33" applyAlignment="1" pivotButton="0" quotePrefix="0" xfId="22">
      <alignment horizontal="center" vertical="center" wrapText="1" readingOrder="1"/>
    </xf>
    <xf numFmtId="0" fontId="36" fillId="16" borderId="34" applyAlignment="1" pivotButton="0" quotePrefix="0" xfId="22">
      <alignment horizontal="center" vertical="center" wrapText="1" readingOrder="1"/>
    </xf>
    <xf numFmtId="0" fontId="37" fillId="15" borderId="35" applyAlignment="1" pivotButton="0" quotePrefix="0" xfId="22">
      <alignment horizontal="center" vertical="center" wrapText="1" readingOrder="1"/>
    </xf>
    <xf numFmtId="0" fontId="37" fillId="15" borderId="36" applyAlignment="1" pivotButton="0" quotePrefix="0" xfId="22">
      <alignment horizontal="center" vertical="center" wrapText="1" readingOrder="1"/>
    </xf>
    <xf numFmtId="0" fontId="38" fillId="9" borderId="36" applyAlignment="1" pivotButton="0" quotePrefix="0" xfId="22">
      <alignment horizontal="center" vertical="center" wrapText="1" readingOrder="1"/>
    </xf>
    <xf numFmtId="0" fontId="38" fillId="9" borderId="37" applyAlignment="1" pivotButton="0" quotePrefix="0" xfId="22">
      <alignment horizontal="center" vertical="center" wrapText="1" readingOrder="1"/>
    </xf>
    <xf numFmtId="0" fontId="38" fillId="9" borderId="38" applyAlignment="1" pivotButton="0" quotePrefix="0" xfId="22">
      <alignment horizontal="center" vertical="center" wrapText="1" readingOrder="1"/>
    </xf>
    <xf numFmtId="0" fontId="37" fillId="15" borderId="37" applyAlignment="1" pivotButton="0" quotePrefix="0" xfId="22">
      <alignment horizontal="center" vertical="center" wrapText="1" readingOrder="1"/>
    </xf>
    <xf numFmtId="0" fontId="31" fillId="11" borderId="0" applyAlignment="1" pivotButton="0" quotePrefix="0" xfId="22">
      <alignment horizontal="general" vertical="center"/>
    </xf>
    <xf numFmtId="0" fontId="33" fillId="18" borderId="39" applyAlignment="1" pivotButton="0" quotePrefix="0" xfId="22">
      <alignment horizontal="left" vertical="center" wrapText="1" indent="1" readingOrder="1"/>
    </xf>
    <xf numFmtId="0" fontId="39" fillId="19" borderId="39" applyAlignment="1" pivotButton="0" quotePrefix="0" xfId="22">
      <alignment horizontal="left" vertical="center" wrapText="1" indent="1" readingOrder="1"/>
    </xf>
    <xf numFmtId="170" fontId="40" fillId="6" borderId="40" applyAlignment="1" pivotButton="0" quotePrefix="0" xfId="22">
      <alignment horizontal="center" vertical="center" wrapText="1" readingOrder="1"/>
    </xf>
    <xf numFmtId="170" fontId="40" fillId="6" borderId="41" applyAlignment="1" pivotButton="0" quotePrefix="0" xfId="22">
      <alignment horizontal="center" vertical="center" wrapText="1" readingOrder="1"/>
    </xf>
    <xf numFmtId="171" fontId="40" fillId="6" borderId="24" applyAlignment="1" pivotButton="0" quotePrefix="0" xfId="28">
      <alignment horizontal="center" vertical="center" wrapText="1" readingOrder="1"/>
    </xf>
    <xf numFmtId="0" fontId="38" fillId="20" borderId="24" applyAlignment="1" pivotButton="0" quotePrefix="0" xfId="22">
      <alignment horizontal="center" vertical="center" wrapText="1" readingOrder="1"/>
    </xf>
    <xf numFmtId="0" fontId="38" fillId="20" borderId="8" applyAlignment="1" pivotButton="0" quotePrefix="0" xfId="22">
      <alignment horizontal="center" vertical="center" wrapText="1" readingOrder="1"/>
    </xf>
    <xf numFmtId="0" fontId="38" fillId="21" borderId="24" applyAlignment="1" pivotButton="0" quotePrefix="0" xfId="22">
      <alignment horizontal="center" vertical="center" wrapText="1" readingOrder="1"/>
    </xf>
    <xf numFmtId="0" fontId="38" fillId="20" borderId="42" applyAlignment="1" pivotButton="0" quotePrefix="0" xfId="22">
      <alignment horizontal="center" vertical="center" wrapText="1" readingOrder="1"/>
    </xf>
    <xf numFmtId="170" fontId="40" fillId="6" borderId="43" applyAlignment="1" pivotButton="0" quotePrefix="0" xfId="22">
      <alignment horizontal="center" vertical="center" wrapText="1" readingOrder="1"/>
    </xf>
    <xf numFmtId="170" fontId="40" fillId="6" borderId="44" applyAlignment="1" pivotButton="0" quotePrefix="0" xfId="22">
      <alignment horizontal="center" vertical="center" wrapText="1" readingOrder="1"/>
    </xf>
    <xf numFmtId="0" fontId="38" fillId="21" borderId="45" applyAlignment="1" pivotButton="0" quotePrefix="0" xfId="22">
      <alignment horizontal="center" vertical="center" wrapText="1" readingOrder="1"/>
    </xf>
    <xf numFmtId="0" fontId="33" fillId="18" borderId="46" applyAlignment="1" pivotButton="0" quotePrefix="0" xfId="22">
      <alignment horizontal="left" vertical="center" wrapText="1" indent="1" readingOrder="1"/>
    </xf>
    <xf numFmtId="0" fontId="39" fillId="19" borderId="46" applyAlignment="1" pivotButton="0" quotePrefix="0" xfId="22">
      <alignment horizontal="left" vertical="center" wrapText="1" indent="1" readingOrder="1"/>
    </xf>
    <xf numFmtId="171" fontId="40" fillId="6" borderId="8" applyAlignment="1" pivotButton="0" quotePrefix="0" xfId="28">
      <alignment horizontal="center" vertical="center" wrapText="1" readingOrder="1"/>
    </xf>
    <xf numFmtId="0" fontId="16" fillId="6" borderId="8" applyAlignment="1" pivotButton="0" quotePrefix="0" xfId="22">
      <alignment horizontal="center" vertical="center" wrapText="1"/>
    </xf>
    <xf numFmtId="0" fontId="38" fillId="20" borderId="47" applyAlignment="1" pivotButton="0" quotePrefix="0" xfId="22">
      <alignment horizontal="center" vertical="center" wrapText="1" readingOrder="1"/>
    </xf>
    <xf numFmtId="0" fontId="34" fillId="22" borderId="45" applyAlignment="1" pivotButton="0" quotePrefix="0" xfId="22">
      <alignment horizontal="center" vertical="center" wrapText="1" readingOrder="1"/>
    </xf>
    <xf numFmtId="0" fontId="34" fillId="22" borderId="24" applyAlignment="1" pivotButton="0" quotePrefix="0" xfId="22">
      <alignment horizontal="center" vertical="center" wrapText="1" readingOrder="1"/>
    </xf>
    <xf numFmtId="0" fontId="34" fillId="22" borderId="48" applyAlignment="1" pivotButton="0" quotePrefix="0" xfId="22">
      <alignment horizontal="center" vertical="center" wrapText="1" readingOrder="1"/>
    </xf>
    <xf numFmtId="0" fontId="16" fillId="6" borderId="47" applyAlignment="1" pivotButton="0" quotePrefix="0" xfId="22">
      <alignment horizontal="center" vertical="center" wrapText="1"/>
    </xf>
    <xf numFmtId="0" fontId="33" fillId="18" borderId="49" applyAlignment="1" pivotButton="0" quotePrefix="0" xfId="22">
      <alignment horizontal="left" vertical="center" wrapText="1" indent="1" readingOrder="1"/>
    </xf>
    <xf numFmtId="0" fontId="39" fillId="19" borderId="49" applyAlignment="1" pivotButton="0" quotePrefix="0" xfId="22">
      <alignment horizontal="left" vertical="center" wrapText="1" indent="1" readingOrder="1"/>
    </xf>
    <xf numFmtId="170" fontId="40" fillId="6" borderId="50" applyAlignment="1" pivotButton="0" quotePrefix="0" xfId="22">
      <alignment horizontal="center" vertical="center" wrapText="1" readingOrder="1"/>
    </xf>
    <xf numFmtId="170" fontId="40" fillId="6" borderId="51" applyAlignment="1" pivotButton="0" quotePrefix="0" xfId="22">
      <alignment horizontal="center" vertical="center" wrapText="1" readingOrder="1"/>
    </xf>
    <xf numFmtId="171" fontId="40" fillId="6" borderId="52" applyAlignment="1" pivotButton="0" quotePrefix="0" xfId="28">
      <alignment horizontal="center" vertical="center" wrapText="1" readingOrder="1"/>
    </xf>
    <xf numFmtId="0" fontId="38" fillId="20" borderId="52" applyAlignment="1" pivotButton="0" quotePrefix="0" xfId="22">
      <alignment horizontal="center" vertical="center" wrapText="1" readingOrder="1"/>
    </xf>
    <xf numFmtId="170" fontId="40" fillId="6" borderId="53" applyAlignment="1" pivotButton="0" quotePrefix="0" xfId="22">
      <alignment horizontal="center" vertical="center" wrapText="1" readingOrder="1"/>
    </xf>
    <xf numFmtId="0" fontId="16" fillId="6" borderId="52" applyAlignment="1" pivotButton="0" quotePrefix="0" xfId="22">
      <alignment horizontal="center" vertical="center" wrapText="1"/>
    </xf>
    <xf numFmtId="0" fontId="38" fillId="20" borderId="45" applyAlignment="1" pivotButton="0" quotePrefix="0" xfId="22">
      <alignment horizontal="center" vertical="center" wrapText="1" readingOrder="1"/>
    </xf>
    <xf numFmtId="0" fontId="41" fillId="11" borderId="0" applyAlignment="1" pivotButton="0" quotePrefix="0" xfId="22">
      <alignment horizontal="general" vertical="center"/>
    </xf>
    <xf numFmtId="0" fontId="42" fillId="4" borderId="29" applyAlignment="1" pivotButton="0" quotePrefix="0" xfId="22">
      <alignment horizontal="left" vertical="center" wrapText="1" indent="1" readingOrder="1"/>
    </xf>
    <xf numFmtId="170" fontId="38" fillId="6" borderId="54" applyAlignment="1" pivotButton="0" quotePrefix="0" xfId="22">
      <alignment horizontal="center" vertical="center" wrapText="1" readingOrder="1"/>
    </xf>
    <xf numFmtId="170" fontId="38" fillId="6" borderId="55" applyAlignment="1" pivotButton="0" quotePrefix="0" xfId="22">
      <alignment horizontal="center" vertical="center" wrapText="1" readingOrder="1"/>
    </xf>
    <xf numFmtId="171" fontId="43" fillId="6" borderId="56" applyAlignment="1" pivotButton="0" quotePrefix="0" xfId="28">
      <alignment horizontal="center" vertical="center" wrapText="1" readingOrder="1"/>
    </xf>
    <xf numFmtId="0" fontId="44" fillId="20" borderId="56" applyAlignment="1" pivotButton="0" quotePrefix="0" xfId="22">
      <alignment horizontal="center" vertical="center" wrapText="1" readingOrder="1"/>
    </xf>
    <xf numFmtId="170" fontId="38" fillId="6" borderId="56" applyAlignment="1" pivotButton="0" quotePrefix="0" xfId="22">
      <alignment horizontal="center" vertical="center" wrapText="1" readingOrder="1"/>
    </xf>
    <xf numFmtId="0" fontId="38" fillId="21" borderId="56" applyAlignment="1" pivotButton="0" quotePrefix="0" xfId="22">
      <alignment horizontal="center" vertical="center" wrapText="1" readingOrder="1"/>
    </xf>
    <xf numFmtId="0" fontId="44" fillId="20" borderId="57" applyAlignment="1" pivotButton="0" quotePrefix="0" xfId="22">
      <alignment horizontal="center" vertical="center" wrapText="1" readingOrder="1"/>
    </xf>
    <xf numFmtId="171" fontId="45" fillId="4" borderId="56" applyAlignment="1" pivotButton="0" quotePrefix="0" xfId="28">
      <alignment horizontal="center" vertical="center" wrapText="1" readingOrder="1"/>
    </xf>
    <xf numFmtId="171" fontId="38" fillId="6" borderId="24" applyAlignment="1" pivotButton="0" quotePrefix="0" xfId="28">
      <alignment horizontal="center" vertical="center" wrapText="1" readingOrder="1"/>
    </xf>
    <xf numFmtId="0" fontId="46" fillId="11" borderId="0" applyAlignment="1" pivotButton="0" quotePrefix="0" xfId="22">
      <alignment horizontal="general" vertical="bottom"/>
    </xf>
    <xf numFmtId="0" fontId="34" fillId="16" borderId="31" applyAlignment="1" pivotButton="0" quotePrefix="0" xfId="22">
      <alignment horizontal="center" vertical="center" wrapText="1" readingOrder="1"/>
    </xf>
    <xf numFmtId="0" fontId="47" fillId="4" borderId="36" applyAlignment="1" pivotButton="0" quotePrefix="0" xfId="22">
      <alignment horizontal="center" vertical="center" wrapText="1" readingOrder="1"/>
    </xf>
    <xf numFmtId="0" fontId="38" fillId="9" borderId="58" applyAlignment="1" pivotButton="0" quotePrefix="0" xfId="22">
      <alignment horizontal="center" vertical="center" wrapText="1" readingOrder="1"/>
    </xf>
    <xf numFmtId="0" fontId="33" fillId="18" borderId="40" applyAlignment="1" pivotButton="0" quotePrefix="0" xfId="22">
      <alignment horizontal="left" vertical="center" wrapText="1" indent="1" readingOrder="1"/>
    </xf>
    <xf numFmtId="172" fontId="31" fillId="11" borderId="0" applyAlignment="1" pivotButton="0" quotePrefix="0" xfId="22">
      <alignment horizontal="general" vertical="center"/>
    </xf>
    <xf numFmtId="0" fontId="33" fillId="18" borderId="43" applyAlignment="1" pivotButton="0" quotePrefix="0" xfId="22">
      <alignment horizontal="left" vertical="center" wrapText="1" indent="1" readingOrder="1"/>
    </xf>
    <xf numFmtId="0" fontId="33" fillId="18" borderId="50" applyAlignment="1" pivotButton="0" quotePrefix="0" xfId="22">
      <alignment horizontal="left" vertical="center" wrapText="1" indent="1" readingOrder="1"/>
    </xf>
    <xf numFmtId="0" fontId="34" fillId="22" borderId="52" applyAlignment="1" pivotButton="0" quotePrefix="0" xfId="22">
      <alignment horizontal="center" vertical="center" wrapText="1"/>
    </xf>
    <xf numFmtId="0" fontId="35" fillId="20" borderId="52" applyAlignment="1" pivotButton="0" quotePrefix="0" xfId="22">
      <alignment horizontal="center" vertical="center" wrapText="1"/>
    </xf>
    <xf numFmtId="173" fontId="31" fillId="11" borderId="0" applyAlignment="1" pivotButton="0" quotePrefix="0" xfId="22">
      <alignment horizontal="general" vertical="bottom"/>
    </xf>
    <xf numFmtId="0" fontId="32" fillId="11" borderId="59" applyAlignment="1" pivotButton="0" quotePrefix="0" xfId="22">
      <alignment horizontal="general" vertical="bottom"/>
    </xf>
    <xf numFmtId="0" fontId="35" fillId="23" borderId="34" applyAlignment="1" pivotButton="0" quotePrefix="0" xfId="22">
      <alignment horizontal="center" vertical="center" wrapText="1" readingOrder="1"/>
    </xf>
    <xf numFmtId="0" fontId="34" fillId="16" borderId="34" applyAlignment="1" pivotButton="0" quotePrefix="0" xfId="22">
      <alignment horizontal="center" vertical="center" wrapText="1" readingOrder="1"/>
    </xf>
    <xf numFmtId="0" fontId="34" fillId="4" borderId="39" applyAlignment="1" pivotButton="0" quotePrefix="0" xfId="22">
      <alignment horizontal="general" vertical="center" wrapText="1" readingOrder="1"/>
    </xf>
    <xf numFmtId="0" fontId="34" fillId="4" borderId="60" applyAlignment="1" pivotButton="0" quotePrefix="0" xfId="22">
      <alignment horizontal="general" vertical="center" wrapText="1" readingOrder="1"/>
    </xf>
    <xf numFmtId="174" fontId="47" fillId="4" borderId="50" applyAlignment="1" pivotButton="0" quotePrefix="0" xfId="22">
      <alignment horizontal="center" vertical="center" wrapText="1" readingOrder="1"/>
    </xf>
    <xf numFmtId="174" fontId="47" fillId="4" borderId="52" applyAlignment="1" pivotButton="0" quotePrefix="0" xfId="22">
      <alignment horizontal="center" vertical="center" wrapText="1" readingOrder="1"/>
    </xf>
    <xf numFmtId="0" fontId="40" fillId="6" borderId="39" applyAlignment="1" pivotButton="0" quotePrefix="0" xfId="22">
      <alignment horizontal="left" vertical="center" wrapText="1" indent="1" readingOrder="1"/>
    </xf>
    <xf numFmtId="0" fontId="38" fillId="21" borderId="47" applyAlignment="1" pivotButton="0" quotePrefix="0" xfId="22">
      <alignment horizontal="center" vertical="center" wrapText="1" readingOrder="1"/>
    </xf>
    <xf numFmtId="0" fontId="40" fillId="6" borderId="60" applyAlignment="1" pivotButton="0" quotePrefix="0" xfId="22">
      <alignment horizontal="left" vertical="center" wrapText="1" indent="1" readingOrder="1"/>
    </xf>
    <xf numFmtId="0" fontId="38" fillId="19" borderId="29" applyAlignment="1" pivotButton="0" quotePrefix="0" xfId="22">
      <alignment horizontal="general" vertical="center" wrapText="1" readingOrder="1"/>
    </xf>
    <xf numFmtId="170" fontId="38" fillId="19" borderId="54" applyAlignment="1" pivotButton="0" quotePrefix="0" xfId="22">
      <alignment horizontal="center" vertical="center" wrapText="1" readingOrder="1"/>
    </xf>
    <xf numFmtId="170" fontId="38" fillId="19" borderId="55" applyAlignment="1" pivotButton="0" quotePrefix="0" xfId="22">
      <alignment horizontal="center" vertical="center" wrapText="1" readingOrder="1"/>
    </xf>
    <xf numFmtId="171" fontId="38" fillId="19" borderId="56" applyAlignment="1" pivotButton="0" quotePrefix="0" xfId="28">
      <alignment horizontal="center" vertical="center" wrapText="1" readingOrder="1"/>
    </xf>
    <xf numFmtId="0" fontId="38" fillId="21" borderId="57" applyAlignment="1" pivotButton="0" quotePrefix="0" xfId="22">
      <alignment horizontal="center" vertical="center" wrapText="1" readingOrder="1"/>
    </xf>
    <xf numFmtId="0" fontId="40" fillId="6" borderId="61" applyAlignment="1" pivotButton="0" quotePrefix="0" xfId="22">
      <alignment horizontal="left" vertical="center" wrapText="1" indent="1" readingOrder="1"/>
    </xf>
    <xf numFmtId="0" fontId="40" fillId="6" borderId="59" applyAlignment="1" pivotButton="0" quotePrefix="0" xfId="22">
      <alignment horizontal="left" vertical="center" wrapText="1" indent="1" readingOrder="1"/>
    </xf>
    <xf numFmtId="0" fontId="38" fillId="20" borderId="57" applyAlignment="1" pivotButton="0" quotePrefix="0" xfId="22">
      <alignment horizontal="center" vertical="center" wrapText="1" readingOrder="1"/>
    </xf>
    <xf numFmtId="0" fontId="34" fillId="4" borderId="62" applyAlignment="1" pivotButton="0" quotePrefix="0" xfId="22">
      <alignment horizontal="left" vertical="center" wrapText="1" indent="1" readingOrder="1"/>
    </xf>
    <xf numFmtId="0" fontId="34" fillId="4" borderId="34" applyAlignment="1" pivotButton="0" quotePrefix="0" xfId="22">
      <alignment horizontal="left" vertical="center" wrapText="1" readingOrder="1"/>
    </xf>
    <xf numFmtId="0" fontId="34" fillId="4" borderId="59" applyAlignment="1" pivotButton="0" quotePrefix="0" xfId="22">
      <alignment horizontal="left" vertical="center" wrapText="1" readingOrder="1"/>
    </xf>
    <xf numFmtId="0" fontId="34" fillId="4" borderId="60" applyAlignment="1" pivotButton="0" quotePrefix="0" xfId="22">
      <alignment horizontal="left" vertical="center" wrapText="1" readingOrder="1"/>
    </xf>
    <xf numFmtId="0" fontId="0" fillId="0" borderId="0" applyAlignment="1" pivotButton="0" quotePrefix="0" xfId="26">
      <alignment horizontal="left" vertical="bottom"/>
    </xf>
    <xf numFmtId="0" fontId="0" fillId="0" borderId="0" applyAlignment="1" pivotButton="0" quotePrefix="0" xfId="26">
      <alignment horizontal="general" vertical="bottom"/>
    </xf>
    <xf numFmtId="0" fontId="0" fillId="0" borderId="0" applyAlignment="1" pivotButton="0" quotePrefix="0" xfId="26">
      <alignment horizontal="center" vertical="bottom"/>
    </xf>
    <xf numFmtId="0" fontId="48" fillId="24" borderId="63" applyAlignment="1" pivotButton="0" quotePrefix="0" xfId="27">
      <alignment horizontal="left" vertical="top" wrapText="1"/>
    </xf>
    <xf numFmtId="0" fontId="48" fillId="24" borderId="64" applyAlignment="1" pivotButton="0" quotePrefix="0" xfId="27">
      <alignment horizontal="left" vertical="top" wrapText="1"/>
    </xf>
    <xf numFmtId="0" fontId="0" fillId="3" borderId="64" applyAlignment="1" pivotButton="0" quotePrefix="0" xfId="27">
      <alignment horizontal="left" vertical="top" wrapText="1"/>
    </xf>
    <xf numFmtId="0" fontId="48" fillId="24" borderId="64" applyAlignment="1" pivotButton="0" quotePrefix="0" xfId="26">
      <alignment horizontal="left" vertical="top" wrapText="1"/>
    </xf>
    <xf numFmtId="0" fontId="48" fillId="25" borderId="64" applyAlignment="1" pivotButton="0" quotePrefix="0" xfId="26">
      <alignment horizontal="left" vertical="top" wrapText="1"/>
    </xf>
    <xf numFmtId="0" fontId="48" fillId="25" borderId="64" applyAlignment="1" pivotButton="0" quotePrefix="0" xfId="27">
      <alignment horizontal="left" vertical="top" wrapText="1"/>
    </xf>
    <xf numFmtId="0" fontId="49" fillId="26" borderId="0" applyAlignment="1" pivotButton="0" quotePrefix="0" xfId="27">
      <alignment horizontal="general" vertical="bottom"/>
    </xf>
    <xf numFmtId="0" fontId="49" fillId="26" borderId="64" applyAlignment="1" pivotButton="0" quotePrefix="0" xfId="27">
      <alignment horizontal="center" vertical="bottom"/>
    </xf>
    <xf numFmtId="0" fontId="50" fillId="23" borderId="64" applyAlignment="1" pivotButton="0" quotePrefix="0" xfId="27">
      <alignment horizontal="center" vertical="bottom"/>
    </xf>
    <xf numFmtId="0" fontId="50" fillId="23" borderId="29" applyAlignment="1" pivotButton="0" quotePrefix="0" xfId="27">
      <alignment horizontal="center" vertical="bottom" wrapText="1"/>
    </xf>
    <xf numFmtId="0" fontId="50" fillId="23" borderId="64" applyAlignment="1" pivotButton="0" quotePrefix="0" xfId="27">
      <alignment horizontal="center" vertical="bottom" wrapText="1"/>
    </xf>
    <xf numFmtId="0" fontId="50" fillId="23" borderId="63" applyAlignment="1" pivotButton="0" quotePrefix="0" xfId="27">
      <alignment horizontal="center" vertical="bottom"/>
    </xf>
    <xf numFmtId="0" fontId="50" fillId="23" borderId="0" applyAlignment="1" pivotButton="0" quotePrefix="0" xfId="27">
      <alignment horizontal="center" vertical="bottom"/>
    </xf>
    <xf numFmtId="0" fontId="50" fillId="23" borderId="0" applyAlignment="1" pivotButton="0" quotePrefix="0" xfId="27">
      <alignment horizontal="center" vertical="bottom" wrapText="1"/>
    </xf>
    <xf numFmtId="0" fontId="0" fillId="0" borderId="0" applyAlignment="1" pivotButton="0" quotePrefix="0" xfId="26">
      <alignment horizontal="left" vertical="top" wrapText="1"/>
    </xf>
    <xf numFmtId="0" fontId="51" fillId="0" borderId="0" applyAlignment="1" pivotButton="0" quotePrefix="0" xfId="0">
      <alignment horizontal="general" vertical="bottom" wrapText="1"/>
    </xf>
    <xf numFmtId="0" fontId="51" fillId="0" borderId="0" applyAlignment="1" pivotButton="0" quotePrefix="0" xfId="0">
      <alignment horizontal="general" vertical="bottom"/>
    </xf>
    <xf numFmtId="1" fontId="52" fillId="27" borderId="64" applyAlignment="1" pivotButton="0" quotePrefix="0" xfId="27">
      <alignment horizontal="left" vertical="bottom"/>
    </xf>
    <xf numFmtId="0" fontId="0" fillId="27" borderId="64" applyAlignment="1" pivotButton="0" quotePrefix="0" xfId="27">
      <alignment horizontal="general" vertical="bottom"/>
    </xf>
    <xf numFmtId="0" fontId="0" fillId="28" borderId="64" applyAlignment="1" pivotButton="0" quotePrefix="0" xfId="27">
      <alignment horizontal="general" vertical="bottom"/>
    </xf>
    <xf numFmtId="0" fontId="0" fillId="27" borderId="64" applyAlignment="1" pivotButton="0" quotePrefix="0" xfId="26">
      <alignment horizontal="general" vertical="bottom"/>
    </xf>
    <xf numFmtId="0" fontId="52" fillId="27" borderId="29" applyAlignment="1" pivotButton="0" quotePrefix="0" xfId="27">
      <alignment horizontal="left" vertical="bottom"/>
    </xf>
    <xf numFmtId="0" fontId="0" fillId="27" borderId="64" applyAlignment="1" pivotButton="0" quotePrefix="0" xfId="26">
      <alignment horizontal="center" vertical="center"/>
    </xf>
    <xf numFmtId="0" fontId="0" fillId="27" borderId="64" applyAlignment="1" pivotButton="0" quotePrefix="0" xfId="27">
      <alignment horizontal="center" vertical="bottom"/>
    </xf>
    <xf numFmtId="0" fontId="0" fillId="27" borderId="64" applyAlignment="1" pivotButton="0" quotePrefix="0" xfId="26">
      <alignment horizontal="center" vertical="bottom"/>
    </xf>
    <xf numFmtId="0" fontId="0" fillId="27" borderId="29" applyAlignment="1" pivotButton="0" quotePrefix="0" xfId="26">
      <alignment horizontal="center" vertical="bottom"/>
    </xf>
    <xf numFmtId="175" fontId="0" fillId="27" borderId="29" applyAlignment="1" pivotButton="0" quotePrefix="0" xfId="21">
      <alignment horizontal="center" vertical="bottom"/>
    </xf>
    <xf numFmtId="9" fontId="0" fillId="27" borderId="64" applyAlignment="1" pivotButton="0" quotePrefix="0" xfId="27">
      <alignment horizontal="center" vertical="bottom"/>
    </xf>
    <xf numFmtId="9" fontId="0" fillId="27" borderId="64" applyAlignment="1" pivotButton="0" quotePrefix="0" xfId="26">
      <alignment horizontal="center" vertical="bottom"/>
    </xf>
    <xf numFmtId="176" fontId="0" fillId="27" borderId="64" applyAlignment="1" pivotButton="0" quotePrefix="0" xfId="26">
      <alignment horizontal="general" vertical="bottom"/>
    </xf>
    <xf numFmtId="177" fontId="0" fillId="27" borderId="64" applyAlignment="1" pivotButton="0" quotePrefix="0" xfId="26">
      <alignment horizontal="general" vertical="bottom"/>
    </xf>
    <xf numFmtId="178" fontId="0" fillId="0" borderId="0" applyAlignment="1" pivotButton="0" quotePrefix="0" xfId="27">
      <alignment horizontal="general" vertical="top" wrapText="1"/>
    </xf>
    <xf numFmtId="0" fontId="0" fillId="0" borderId="0" applyAlignment="1" pivotButton="0" quotePrefix="0" xfId="0">
      <alignment horizontal="general" vertical="bottom"/>
    </xf>
    <xf numFmtId="179" fontId="0" fillId="27" borderId="64" applyAlignment="1" pivotButton="0" quotePrefix="0" xfId="26">
      <alignment horizontal="center" vertical="bottom"/>
    </xf>
    <xf numFmtId="179" fontId="0" fillId="27" borderId="64" applyAlignment="1" pivotButton="0" quotePrefix="0" xfId="26">
      <alignment horizontal="general" vertical="bottom"/>
    </xf>
    <xf numFmtId="180" fontId="0" fillId="27" borderId="64" applyAlignment="1" pivotButton="0" quotePrefix="0" xfId="26">
      <alignment horizontal="center" vertical="bottom"/>
    </xf>
    <xf numFmtId="175" fontId="0" fillId="27" borderId="64" applyAlignment="1" pivotButton="0" quotePrefix="0" xfId="21">
      <alignment horizontal="general" vertical="bottom"/>
    </xf>
    <xf numFmtId="175" fontId="0" fillId="27" borderId="64" applyAlignment="1" pivotButton="0" quotePrefix="0" xfId="21">
      <alignment horizontal="center" vertical="bottom"/>
    </xf>
    <xf numFmtId="1" fontId="52" fillId="27" borderId="63" applyAlignment="1" pivotButton="0" quotePrefix="0" xfId="27">
      <alignment horizontal="left" vertical="bottom"/>
    </xf>
    <xf numFmtId="0" fontId="0" fillId="27" borderId="63" applyAlignment="1" pivotButton="0" quotePrefix="0" xfId="26">
      <alignment horizontal="general" vertical="top" wrapText="1"/>
    </xf>
    <xf numFmtId="0" fontId="0" fillId="27" borderId="63" applyAlignment="1" pivotButton="0" quotePrefix="0" xfId="26">
      <alignment horizontal="general" vertical="bottom"/>
    </xf>
    <xf numFmtId="0" fontId="0" fillId="28" borderId="63" applyAlignment="1" pivotButton="0" quotePrefix="0" xfId="27">
      <alignment horizontal="general" vertical="bottom"/>
    </xf>
    <xf numFmtId="0" fontId="0" fillId="27" borderId="63" applyAlignment="1" pivotButton="0" quotePrefix="0" xfId="27">
      <alignment horizontal="general" vertical="bottom"/>
    </xf>
    <xf numFmtId="0" fontId="0" fillId="27" borderId="0" applyAlignment="1" pivotButton="0" quotePrefix="0" xfId="26">
      <alignment horizontal="general" vertical="bottom"/>
    </xf>
    <xf numFmtId="0" fontId="52" fillId="27" borderId="59" applyAlignment="1" pivotButton="0" quotePrefix="0" xfId="27">
      <alignment horizontal="left" vertical="bottom"/>
    </xf>
    <xf numFmtId="0" fontId="0" fillId="27" borderId="63" applyAlignment="1" pivotButton="0" quotePrefix="0" xfId="26">
      <alignment horizontal="center" vertical="center"/>
    </xf>
    <xf numFmtId="0" fontId="52" fillId="27" borderId="64" applyAlignment="1" pivotButton="0" quotePrefix="0" xfId="27">
      <alignment horizontal="left" vertical="bottom"/>
    </xf>
    <xf numFmtId="1" fontId="52" fillId="27" borderId="65" applyAlignment="1" pivotButton="0" quotePrefix="0" xfId="27">
      <alignment horizontal="left" vertical="bottom"/>
    </xf>
    <xf numFmtId="0" fontId="0" fillId="27" borderId="65" applyAlignment="1" pivotButton="0" quotePrefix="0" xfId="27">
      <alignment horizontal="general" vertical="bottom"/>
    </xf>
    <xf numFmtId="0" fontId="0" fillId="28" borderId="65" applyAlignment="1" pivotButton="0" quotePrefix="0" xfId="27">
      <alignment horizontal="general" vertical="bottom"/>
    </xf>
    <xf numFmtId="0" fontId="0" fillId="27" borderId="65" applyAlignment="1" pivotButton="0" quotePrefix="0" xfId="26">
      <alignment horizontal="general" vertical="bottom"/>
    </xf>
    <xf numFmtId="0" fontId="52" fillId="27" borderId="60" applyAlignment="1" pivotButton="0" quotePrefix="0" xfId="27">
      <alignment horizontal="left" vertical="bottom"/>
    </xf>
    <xf numFmtId="0" fontId="0" fillId="27" borderId="66" applyAlignment="1" pivotButton="0" quotePrefix="0" xfId="26">
      <alignment horizontal="center" vertical="bottom"/>
    </xf>
    <xf numFmtId="0" fontId="52" fillId="27" borderId="62" applyAlignment="1" pivotButton="0" quotePrefix="0" xfId="27">
      <alignment horizontal="left" vertical="bottom"/>
    </xf>
    <xf numFmtId="0" fontId="0" fillId="27" borderId="65" applyAlignment="1" pivotButton="0" quotePrefix="0" xfId="26">
      <alignment horizontal="center" vertical="center"/>
    </xf>
    <xf numFmtId="0" fontId="0" fillId="27" borderId="62" applyAlignment="1" pivotButton="0" quotePrefix="0" xfId="26">
      <alignment horizontal="center" vertical="bottom"/>
    </xf>
    <xf numFmtId="175" fontId="0" fillId="27" borderId="62" applyAlignment="1" pivotButton="0" quotePrefix="0" xfId="21">
      <alignment horizontal="center" vertical="bottom"/>
    </xf>
    <xf numFmtId="9" fontId="0" fillId="27" borderId="65" applyAlignment="1" pivotButton="0" quotePrefix="0" xfId="27">
      <alignment horizontal="center" vertical="bottom"/>
    </xf>
    <xf numFmtId="0" fontId="0" fillId="27" borderId="65" applyAlignment="1" pivotButton="0" quotePrefix="0" xfId="27">
      <alignment horizontal="center" vertical="bottom"/>
    </xf>
    <xf numFmtId="9" fontId="0" fillId="27" borderId="65" applyAlignment="1" pivotButton="0" quotePrefix="0" xfId="26">
      <alignment horizontal="center" vertical="bottom"/>
    </xf>
    <xf numFmtId="176" fontId="0" fillId="27" borderId="65" applyAlignment="1" pivotButton="0" quotePrefix="0" xfId="26">
      <alignment horizontal="general" vertical="bottom"/>
    </xf>
    <xf numFmtId="177" fontId="0" fillId="27" borderId="65" applyAlignment="1" pivotButton="0" quotePrefix="0" xfId="26">
      <alignment horizontal="general" vertical="bottom"/>
    </xf>
    <xf numFmtId="0" fontId="0" fillId="27" borderId="64" applyAlignment="1" pivotButton="0" quotePrefix="0" xfId="26">
      <alignment horizontal="general" vertical="top" wrapText="1"/>
    </xf>
    <xf numFmtId="0" fontId="22" fillId="27" borderId="64" applyAlignment="1" pivotButton="0" quotePrefix="0" xfId="26">
      <alignment horizontal="center" vertical="bottom"/>
    </xf>
    <xf numFmtId="0" fontId="0" fillId="27" borderId="0" applyAlignment="1" pivotButton="0" quotePrefix="0" xfId="27">
      <alignment horizontal="general" vertical="bottom"/>
    </xf>
    <xf numFmtId="0" fontId="22" fillId="0" borderId="0" applyAlignment="1" pivotButton="0" quotePrefix="0" xfId="26">
      <alignment horizontal="general" vertical="bottom"/>
    </xf>
    <xf numFmtId="9" fontId="0" fillId="27" borderId="0" applyAlignment="1" pivotButton="0" quotePrefix="0" xfId="26">
      <alignment horizontal="center" vertical="bottom"/>
    </xf>
    <xf numFmtId="179" fontId="0" fillId="27" borderId="0" applyAlignment="1" pivotButton="0" quotePrefix="0" xfId="26">
      <alignment horizontal="center" vertical="bottom"/>
    </xf>
    <xf numFmtId="179" fontId="0" fillId="27" borderId="0" applyAlignment="1" pivotButton="0" quotePrefix="0" xfId="26">
      <alignment horizontal="general" vertical="bottom"/>
    </xf>
    <xf numFmtId="177" fontId="0" fillId="27" borderId="0" applyAlignment="1" pivotButton="0" quotePrefix="0" xfId="26">
      <alignment horizontal="general" vertical="bottom"/>
    </xf>
    <xf numFmtId="10" fontId="0" fillId="27" borderId="64" applyAlignment="1" pivotButton="0" quotePrefix="0" xfId="26">
      <alignment horizontal="center" vertical="bottom"/>
    </xf>
    <xf numFmtId="1" fontId="52" fillId="27" borderId="64" applyAlignment="1" pivotButton="0" quotePrefix="0" xfId="27">
      <alignment horizontal="general" vertical="top" wrapText="1"/>
    </xf>
    <xf numFmtId="0" fontId="0" fillId="27" borderId="64" applyAlignment="1" pivotButton="0" quotePrefix="0" xfId="27">
      <alignment horizontal="general" vertical="top" wrapText="1"/>
    </xf>
    <xf numFmtId="0" fontId="0" fillId="23" borderId="64" applyAlignment="1" pivotButton="0" quotePrefix="0" xfId="27">
      <alignment horizontal="general" vertical="top" wrapText="1"/>
    </xf>
    <xf numFmtId="0" fontId="52" fillId="27" borderId="29" applyAlignment="1" pivotButton="0" quotePrefix="0" xfId="27">
      <alignment horizontal="general" vertical="top" wrapText="1"/>
    </xf>
    <xf numFmtId="0" fontId="0" fillId="27" borderId="29" applyAlignment="1" pivotButton="0" quotePrefix="0" xfId="26">
      <alignment horizontal="general" vertical="top" wrapText="1"/>
    </xf>
    <xf numFmtId="175" fontId="0" fillId="27" borderId="29" applyAlignment="1" pivotButton="0" quotePrefix="0" xfId="21">
      <alignment horizontal="general" vertical="top" wrapText="1"/>
    </xf>
    <xf numFmtId="9" fontId="0" fillId="27" borderId="64" applyAlignment="1" pivotButton="0" quotePrefix="0" xfId="26">
      <alignment horizontal="general" vertical="top" wrapText="1"/>
    </xf>
    <xf numFmtId="179" fontId="0" fillId="27" borderId="64" applyAlignment="1" pivotButton="0" quotePrefix="0" xfId="26">
      <alignment horizontal="general" vertical="top" wrapText="1"/>
    </xf>
    <xf numFmtId="177" fontId="0" fillId="27" borderId="64" applyAlignment="1" pivotButton="0" quotePrefix="0" xfId="26">
      <alignment horizontal="general" vertical="top" wrapText="1"/>
    </xf>
    <xf numFmtId="0" fontId="0" fillId="0" borderId="0" applyAlignment="1" pivotButton="0" quotePrefix="0" xfId="27">
      <alignment horizontal="general" vertical="top" wrapText="1"/>
    </xf>
    <xf numFmtId="180" fontId="0" fillId="27" borderId="64" applyAlignment="1" pivotButton="0" quotePrefix="0" xfId="26">
      <alignment horizontal="general" vertical="top" wrapText="1"/>
    </xf>
    <xf numFmtId="175" fontId="0" fillId="27" borderId="64" applyAlignment="1" pivotButton="0" quotePrefix="0" xfId="21">
      <alignment horizontal="general" vertical="top" wrapText="1"/>
    </xf>
    <xf numFmtId="1" fontId="0" fillId="27" borderId="64" applyAlignment="1" pivotButton="0" quotePrefix="0" xfId="27">
      <alignment horizontal="general" vertical="top" wrapText="1"/>
    </xf>
    <xf numFmtId="0" fontId="0" fillId="27" borderId="0" applyAlignment="1" pivotButton="0" quotePrefix="0" xfId="27">
      <alignment horizontal="general" vertical="top" wrapText="1"/>
    </xf>
    <xf numFmtId="0" fontId="0" fillId="23" borderId="64" applyAlignment="1" pivotButton="0" quotePrefix="0" xfId="26">
      <alignment horizontal="general" vertical="top" wrapText="1"/>
    </xf>
    <xf numFmtId="176" fontId="0" fillId="27" borderId="64" applyAlignment="1" pivotButton="0" quotePrefix="0" xfId="26">
      <alignment horizontal="general" vertical="top" wrapText="1"/>
    </xf>
    <xf numFmtId="9" fontId="0" fillId="27" borderId="64" applyAlignment="1" pivotButton="0" quotePrefix="0" xfId="27">
      <alignment horizontal="general" vertical="top" wrapText="1"/>
    </xf>
    <xf numFmtId="0" fontId="0" fillId="27" borderId="29" applyAlignment="1" pivotButton="0" quotePrefix="0" xfId="27">
      <alignment horizontal="general" vertical="top" wrapText="1"/>
    </xf>
    <xf numFmtId="181" fontId="0" fillId="27" borderId="64" applyAlignment="1" pivotButton="0" quotePrefix="0" xfId="26">
      <alignment horizontal="general" vertical="top" wrapText="1"/>
    </xf>
    <xf numFmtId="9" fontId="0" fillId="27" borderId="0" applyAlignment="1" pivotButton="0" quotePrefix="0" xfId="26">
      <alignment horizontal="general" vertical="top" wrapText="1"/>
    </xf>
    <xf numFmtId="179" fontId="0" fillId="27" borderId="0" applyAlignment="1" pivotButton="0" quotePrefix="0" xfId="26">
      <alignment horizontal="general" vertical="top" wrapText="1"/>
    </xf>
    <xf numFmtId="177" fontId="0" fillId="27" borderId="0" applyAlignment="1" pivotButton="0" quotePrefix="0" xfId="26">
      <alignment horizontal="general" vertical="top" wrapText="1"/>
    </xf>
    <xf numFmtId="0" fontId="0" fillId="3" borderId="0" applyAlignment="1" pivotButton="0" quotePrefix="0" xfId="0">
      <alignment horizontal="general" vertical="bottom"/>
    </xf>
    <xf numFmtId="0" fontId="0" fillId="0" borderId="0" applyAlignment="1" pivotButton="0" quotePrefix="0" xfId="26">
      <alignment horizontal="general" vertical="top" wrapText="1"/>
    </xf>
    <xf numFmtId="0" fontId="27" fillId="0" borderId="0" applyAlignment="1" pivotButton="0" quotePrefix="0" xfId="27">
      <alignment horizontal="general" vertical="top" wrapText="1"/>
    </xf>
    <xf numFmtId="179" fontId="0" fillId="27" borderId="64" applyAlignment="1" pivotButton="0" quotePrefix="0" xfId="30">
      <alignment horizontal="center" vertical="bottom"/>
    </xf>
    <xf numFmtId="179" fontId="0" fillId="27" borderId="64" applyAlignment="1" pivotButton="0" quotePrefix="0" xfId="30">
      <alignment horizontal="general" vertical="bottom"/>
    </xf>
    <xf numFmtId="1" fontId="52" fillId="0" borderId="64" applyAlignment="1" pivotButton="0" quotePrefix="0" xfId="27">
      <alignment horizontal="left" vertical="bottom"/>
    </xf>
    <xf numFmtId="0" fontId="0" fillId="0" borderId="64" applyAlignment="1" pivotButton="0" quotePrefix="0" xfId="27">
      <alignment horizontal="general" vertical="bottom"/>
    </xf>
    <xf numFmtId="0" fontId="0" fillId="29" borderId="64" applyAlignment="1" pivotButton="0" quotePrefix="0" xfId="27">
      <alignment horizontal="general" vertical="bottom"/>
    </xf>
    <xf numFmtId="0" fontId="0" fillId="0" borderId="64" applyAlignment="1" pivotButton="0" quotePrefix="0" xfId="26">
      <alignment horizontal="general" vertical="bottom"/>
    </xf>
    <xf numFmtId="0" fontId="52" fillId="0" borderId="29" applyAlignment="1" pivotButton="0" quotePrefix="0" xfId="27">
      <alignment horizontal="left" vertical="bottom"/>
    </xf>
    <xf numFmtId="0" fontId="0" fillId="0" borderId="64" applyAlignment="1" pivotButton="0" quotePrefix="0" xfId="26">
      <alignment horizontal="center" vertical="center"/>
    </xf>
    <xf numFmtId="0" fontId="0" fillId="0" borderId="64" applyAlignment="1" pivotButton="0" quotePrefix="0" xfId="26">
      <alignment horizontal="center" vertical="bottom"/>
    </xf>
    <xf numFmtId="0" fontId="0" fillId="0" borderId="29" applyAlignment="1" pivotButton="0" quotePrefix="0" xfId="26">
      <alignment horizontal="center" vertical="bottom"/>
    </xf>
    <xf numFmtId="175" fontId="0" fillId="0" borderId="29" applyAlignment="1" pivotButton="0" quotePrefix="0" xfId="21">
      <alignment horizontal="center" vertical="bottom"/>
    </xf>
    <xf numFmtId="9" fontId="0" fillId="0" borderId="64" applyAlignment="1" pivotButton="0" quotePrefix="0" xfId="26">
      <alignment horizontal="center" vertical="bottom"/>
    </xf>
    <xf numFmtId="179" fontId="0" fillId="0" borderId="64" applyAlignment="1" pivotButton="0" quotePrefix="0" xfId="26">
      <alignment horizontal="center" vertical="bottom"/>
    </xf>
    <xf numFmtId="179" fontId="0" fillId="0" borderId="64" applyAlignment="1" pivotButton="0" quotePrefix="0" xfId="26">
      <alignment horizontal="general" vertical="bottom"/>
    </xf>
    <xf numFmtId="175" fontId="0" fillId="0" borderId="64" applyAlignment="1" pivotButton="0" quotePrefix="0" xfId="21">
      <alignment horizontal="general" vertical="bottom"/>
    </xf>
    <xf numFmtId="0" fontId="0" fillId="0" borderId="0" applyAlignment="1" pivotButton="0" quotePrefix="0" xfId="27">
      <alignment horizontal="general" vertical="bottom"/>
    </xf>
    <xf numFmtId="180" fontId="0" fillId="0" borderId="64" applyAlignment="1" pivotButton="0" quotePrefix="0" xfId="26">
      <alignment horizontal="center" vertical="bottom"/>
    </xf>
    <xf numFmtId="176" fontId="0" fillId="0" borderId="64" applyAlignment="1" pivotButton="0" quotePrefix="0" xfId="26">
      <alignment horizontal="general" vertical="bottom"/>
    </xf>
    <xf numFmtId="10" fontId="0" fillId="0" borderId="64" applyAlignment="1" pivotButton="0" quotePrefix="0" xfId="26">
      <alignment horizontal="center" vertical="bottom"/>
    </xf>
    <xf numFmtId="0" fontId="0" fillId="0" borderId="64" applyAlignment="1" pivotButton="0" quotePrefix="0" xfId="27">
      <alignment horizontal="center" vertical="bottom"/>
    </xf>
    <xf numFmtId="9" fontId="0" fillId="0" borderId="64" applyAlignment="1" pivotButton="0" quotePrefix="0" xfId="27">
      <alignment horizontal="center" vertical="bottom"/>
    </xf>
    <xf numFmtId="0" fontId="0" fillId="0" borderId="64" applyAlignment="1" pivotButton="0" quotePrefix="0" xfId="27">
      <alignment horizontal="left" vertical="bottom"/>
    </xf>
    <xf numFmtId="177" fontId="0" fillId="0" borderId="64" applyAlignment="1" pivotButton="0" quotePrefix="0" xfId="26">
      <alignment horizontal="general" vertical="bottom"/>
    </xf>
    <xf numFmtId="0" fontId="0" fillId="3" borderId="64" applyAlignment="1" pivotButton="0" quotePrefix="0" xfId="26">
      <alignment horizontal="general" vertical="bottom"/>
    </xf>
    <xf numFmtId="0" fontId="0" fillId="28" borderId="64" applyAlignment="1" pivotButton="0" quotePrefix="0" xfId="26">
      <alignment horizontal="general" vertical="top" wrapText="1"/>
    </xf>
    <xf numFmtId="1" fontId="0" fillId="27" borderId="64" applyAlignment="1" pivotButton="0" quotePrefix="0" xfId="27">
      <alignment horizontal="left" vertical="bottom"/>
    </xf>
    <xf numFmtId="0" fontId="0" fillId="27" borderId="64" applyAlignment="1" pivotButton="0" quotePrefix="0" xfId="27">
      <alignment horizontal="center" vertical="center"/>
    </xf>
    <xf numFmtId="0" fontId="0" fillId="27" borderId="29" applyAlignment="1" pivotButton="0" quotePrefix="0" xfId="27">
      <alignment horizontal="center" vertical="bottom"/>
    </xf>
    <xf numFmtId="0" fontId="0" fillId="27" borderId="0" applyAlignment="1" pivotButton="0" quotePrefix="0" xfId="26">
      <alignment horizontal="general" vertical="top" wrapText="1"/>
    </xf>
    <xf numFmtId="0" fontId="26" fillId="27" borderId="64" applyAlignment="1" pivotButton="0" quotePrefix="0" xfId="26">
      <alignment horizontal="center" vertical="center"/>
    </xf>
    <xf numFmtId="1" fontId="22" fillId="27" borderId="64" applyAlignment="1" pivotButton="0" quotePrefix="0" xfId="27">
      <alignment horizontal="left" vertical="bottom"/>
    </xf>
    <xf numFmtId="0" fontId="22" fillId="27" borderId="64" applyAlignment="1" pivotButton="0" quotePrefix="0" xfId="27">
      <alignment horizontal="general" vertical="bottom"/>
    </xf>
    <xf numFmtId="0" fontId="22" fillId="28" borderId="64" applyAlignment="1" pivotButton="0" quotePrefix="0" xfId="26">
      <alignment horizontal="general" vertical="top" wrapText="1"/>
    </xf>
    <xf numFmtId="0" fontId="22" fillId="27" borderId="64" applyAlignment="1" pivotButton="0" quotePrefix="0" xfId="26">
      <alignment horizontal="general" vertical="bottom"/>
    </xf>
    <xf numFmtId="0" fontId="22" fillId="27" borderId="64" applyAlignment="1" pivotButton="0" quotePrefix="0" xfId="26">
      <alignment horizontal="general" vertical="top" wrapText="1"/>
    </xf>
    <xf numFmtId="0" fontId="22" fillId="27" borderId="29" applyAlignment="1" pivotButton="0" quotePrefix="0" xfId="27">
      <alignment horizontal="left" vertical="bottom"/>
    </xf>
    <xf numFmtId="0" fontId="22" fillId="27" borderId="64" applyAlignment="1" pivotButton="0" quotePrefix="0" xfId="26">
      <alignment horizontal="center" vertical="center"/>
    </xf>
    <xf numFmtId="0" fontId="22" fillId="27" borderId="29" applyAlignment="1" pivotButton="0" quotePrefix="0" xfId="26">
      <alignment horizontal="center" vertical="bottom"/>
    </xf>
    <xf numFmtId="175" fontId="22" fillId="27" borderId="29" applyAlignment="1" pivotButton="0" quotePrefix="0" xfId="21">
      <alignment horizontal="center" vertical="bottom"/>
    </xf>
    <xf numFmtId="9" fontId="22" fillId="27" borderId="64" applyAlignment="1" pivotButton="0" quotePrefix="0" xfId="26">
      <alignment horizontal="center" vertical="bottom"/>
    </xf>
    <xf numFmtId="179" fontId="22" fillId="27" borderId="64" applyAlignment="1" pivotButton="0" quotePrefix="0" xfId="26">
      <alignment horizontal="center" vertical="bottom"/>
    </xf>
    <xf numFmtId="179" fontId="22" fillId="27" borderId="64" applyAlignment="1" pivotButton="0" quotePrefix="0" xfId="26">
      <alignment horizontal="general" vertical="bottom"/>
    </xf>
    <xf numFmtId="177" fontId="22" fillId="27" borderId="64" applyAlignment="1" pivotButton="0" quotePrefix="0" xfId="26">
      <alignment horizontal="general" vertical="bottom"/>
    </xf>
    <xf numFmtId="0" fontId="0" fillId="27" borderId="0" applyAlignment="1" pivotButton="0" quotePrefix="0" xfId="26">
      <alignment horizontal="center" vertical="bottom"/>
    </xf>
    <xf numFmtId="0" fontId="0" fillId="27" borderId="0" applyAlignment="1" pivotButton="0" quotePrefix="0" xfId="26">
      <alignment horizontal="center" vertical="center"/>
    </xf>
    <xf numFmtId="0" fontId="0" fillId="27" borderId="0" applyAlignment="1" pivotButton="0" quotePrefix="0" xfId="27">
      <alignment horizontal="center" vertical="bottom"/>
    </xf>
    <xf numFmtId="0" fontId="22" fillId="28" borderId="64" applyAlignment="1" pivotButton="0" quotePrefix="0" xfId="27">
      <alignment horizontal="general" vertical="bottom"/>
    </xf>
    <xf numFmtId="0" fontId="22" fillId="27" borderId="0" applyAlignment="1" pivotButton="0" quotePrefix="0" xfId="26">
      <alignment horizontal="center" vertical="bottom"/>
    </xf>
    <xf numFmtId="0" fontId="0" fillId="27" borderId="63" applyAlignment="1" pivotButton="0" quotePrefix="0" xfId="26">
      <alignment horizontal="center" vertical="bottom"/>
    </xf>
    <xf numFmtId="0" fontId="0" fillId="27" borderId="59" applyAlignment="1" pivotButton="0" quotePrefix="0" xfId="26">
      <alignment horizontal="center" vertical="bottom"/>
    </xf>
    <xf numFmtId="175" fontId="0" fillId="27" borderId="59" applyAlignment="1" pivotButton="0" quotePrefix="0" xfId="21">
      <alignment horizontal="center" vertical="bottom"/>
    </xf>
    <xf numFmtId="9" fontId="0" fillId="27" borderId="63" applyAlignment="1" pivotButton="0" quotePrefix="0" xfId="26">
      <alignment horizontal="center" vertical="bottom"/>
    </xf>
    <xf numFmtId="179" fontId="0" fillId="27" borderId="63" applyAlignment="1" pivotButton="0" quotePrefix="0" xfId="26">
      <alignment horizontal="center" vertical="bottom"/>
    </xf>
    <xf numFmtId="179" fontId="0" fillId="27" borderId="63" applyAlignment="1" pivotButton="0" quotePrefix="0" xfId="26">
      <alignment horizontal="general" vertical="bottom"/>
    </xf>
    <xf numFmtId="177" fontId="0" fillId="27" borderId="63" applyAlignment="1" pivotButton="0" quotePrefix="0" xfId="26">
      <alignment horizontal="general" vertical="bottom"/>
    </xf>
    <xf numFmtId="0" fontId="26" fillId="27" borderId="64" applyAlignment="1" pivotButton="0" quotePrefix="0" xfId="26">
      <alignment horizontal="general" vertical="bottom"/>
    </xf>
    <xf numFmtId="181" fontId="0" fillId="27" borderId="64" applyAlignment="1" pivotButton="0" quotePrefix="0" xfId="26">
      <alignment horizontal="general" vertical="bottom"/>
    </xf>
    <xf numFmtId="0" fontId="0" fillId="27" borderId="64" applyAlignment="1" pivotButton="0" quotePrefix="0" xfId="27">
      <alignment horizontal="left" vertical="bottom"/>
    </xf>
    <xf numFmtId="0" fontId="0" fillId="27" borderId="64" applyAlignment="1" pivotButton="0" quotePrefix="0" xfId="26">
      <alignment horizontal="left" vertical="top" wrapText="1"/>
    </xf>
    <xf numFmtId="0" fontId="0" fillId="28" borderId="64" applyAlignment="1" pivotButton="0" quotePrefix="0" xfId="26">
      <alignment horizontal="general" vertical="bottom"/>
    </xf>
    <xf numFmtId="9" fontId="0" fillId="27" borderId="0" applyAlignment="1" pivotButton="0" quotePrefix="0" xfId="27">
      <alignment horizontal="center" vertical="bottom"/>
    </xf>
    <xf numFmtId="176" fontId="0" fillId="27" borderId="0" applyAlignment="1" pivotButton="0" quotePrefix="0" xfId="26">
      <alignment horizontal="general" vertical="bottom"/>
    </xf>
    <xf numFmtId="0" fontId="0" fillId="3" borderId="64" applyAlignment="1" pivotButton="0" quotePrefix="0" xfId="27">
      <alignment horizontal="general" vertical="bottom"/>
    </xf>
    <xf numFmtId="0" fontId="26" fillId="0" borderId="64" applyAlignment="1" pivotButton="0" quotePrefix="0" xfId="27">
      <alignment horizontal="general" vertical="bottom"/>
    </xf>
    <xf numFmtId="0" fontId="26" fillId="27" borderId="64" applyAlignment="1" pivotButton="0" quotePrefix="0" xfId="26">
      <alignment horizontal="general" vertical="top" wrapText="1"/>
    </xf>
    <xf numFmtId="0" fontId="26" fillId="27" borderId="64" applyAlignment="1" pivotButton="0" quotePrefix="0" xfId="27">
      <alignment horizontal="general" vertical="bottom"/>
    </xf>
    <xf numFmtId="0" fontId="26" fillId="28" borderId="64" applyAlignment="1" pivotButton="0" quotePrefix="0" xfId="27">
      <alignment horizontal="general" vertical="bottom"/>
    </xf>
    <xf numFmtId="0" fontId="26" fillId="27" borderId="29" applyAlignment="1" pivotButton="0" quotePrefix="0" xfId="27">
      <alignment horizontal="left" vertical="bottom"/>
    </xf>
    <xf numFmtId="0" fontId="26" fillId="27" borderId="64" applyAlignment="1" pivotButton="0" quotePrefix="0" xfId="26">
      <alignment horizontal="center" vertical="bottom"/>
    </xf>
    <xf numFmtId="0" fontId="26" fillId="27" borderId="29" applyAlignment="1" pivotButton="0" quotePrefix="0" xfId="26">
      <alignment horizontal="center" vertical="bottom"/>
    </xf>
    <xf numFmtId="175" fontId="26" fillId="27" borderId="29" applyAlignment="1" pivotButton="0" quotePrefix="0" xfId="21">
      <alignment horizontal="center" vertical="bottom"/>
    </xf>
    <xf numFmtId="9" fontId="26" fillId="27" borderId="64" applyAlignment="1" pivotButton="0" quotePrefix="0" xfId="26">
      <alignment horizontal="center" vertical="bottom"/>
    </xf>
    <xf numFmtId="179" fontId="26" fillId="27" borderId="64" applyAlignment="1" pivotButton="0" quotePrefix="0" xfId="26">
      <alignment horizontal="center" vertical="bottom"/>
    </xf>
    <xf numFmtId="179" fontId="26" fillId="27" borderId="64" applyAlignment="1" pivotButton="0" quotePrefix="0" xfId="26">
      <alignment horizontal="general" vertical="bottom"/>
    </xf>
    <xf numFmtId="177" fontId="26" fillId="27" borderId="64" applyAlignment="1" pivotButton="0" quotePrefix="0" xfId="26">
      <alignment horizontal="general" vertical="bottom"/>
    </xf>
    <xf numFmtId="0" fontId="26" fillId="0" borderId="64" applyAlignment="1" pivotButton="0" quotePrefix="0" xfId="26">
      <alignment horizontal="general" vertical="bottom"/>
    </xf>
    <xf numFmtId="0" fontId="27" fillId="0" borderId="64" applyAlignment="1" pivotButton="0" quotePrefix="0" xfId="26">
      <alignment horizontal="general" vertical="bottom"/>
    </xf>
    <xf numFmtId="0" fontId="26" fillId="0" borderId="0" applyAlignment="1" pivotButton="0" quotePrefix="0" xfId="26">
      <alignment horizontal="general" vertical="bottom"/>
    </xf>
    <xf numFmtId="3" fontId="0" fillId="0" borderId="0" applyAlignment="1" pivotButton="0" quotePrefix="0" xfId="0">
      <alignment horizontal="general" vertical="bottom"/>
    </xf>
    <xf numFmtId="0" fontId="6" fillId="0" borderId="0" applyAlignment="1" pivotButton="0" quotePrefix="0" xfId="0">
      <alignment horizontal="general" vertical="bottom"/>
    </xf>
    <xf numFmtId="0" fontId="54" fillId="0" borderId="0" applyAlignment="1" pivotButton="0" quotePrefix="0" xfId="0">
      <alignment horizontal="general" vertical="center"/>
    </xf>
    <xf numFmtId="0" fontId="22" fillId="0" borderId="0" applyAlignment="1" pivotButton="0" quotePrefix="0" xfId="0">
      <alignment horizontal="general" vertical="bottom"/>
    </xf>
    <xf numFmtId="0" fontId="55" fillId="0" borderId="0" applyAlignment="1" pivotButton="0" quotePrefix="0" xfId="0">
      <alignment horizontal="general" vertical="bottom"/>
    </xf>
    <xf numFmtId="0" fontId="5" fillId="2" borderId="1" applyAlignment="1" pivotButton="0" quotePrefix="0" xfId="0">
      <alignment horizontal="left" vertical="center"/>
    </xf>
    <xf numFmtId="0" fontId="5" fillId="2" borderId="1" applyAlignment="1" pivotButton="0" quotePrefix="0" xfId="0">
      <alignment horizontal="general" vertical="center"/>
    </xf>
    <xf numFmtId="0" fontId="21" fillId="2" borderId="1" applyAlignment="1" pivotButton="0" quotePrefix="0" xfId="0">
      <alignment horizontal="general" vertical="center"/>
    </xf>
    <xf numFmtId="0" fontId="21" fillId="13" borderId="1" applyAlignment="1" pivotButton="0" quotePrefix="0" xfId="0">
      <alignment horizontal="center" vertical="center" wrapText="1"/>
    </xf>
    <xf numFmtId="0" fontId="20" fillId="13" borderId="1" applyAlignment="1" pivotButton="0" quotePrefix="0" xfId="0">
      <alignment horizontal="center" vertical="center" wrapText="1"/>
    </xf>
    <xf numFmtId="0" fontId="9" fillId="0" borderId="1" applyAlignment="1" pivotButton="0" quotePrefix="0" xfId="0">
      <alignment horizontal="center" vertical="center" wrapText="1"/>
    </xf>
    <xf numFmtId="165" fontId="56" fillId="0" borderId="1" applyAlignment="1" pivotButton="0" quotePrefix="0" xfId="0">
      <alignment horizontal="center" vertical="center" wrapText="1"/>
    </xf>
    <xf numFmtId="2" fontId="22" fillId="0" borderId="1" applyAlignment="1" pivotButton="0" quotePrefix="0" xfId="0">
      <alignment horizontal="right" vertical="center"/>
    </xf>
    <xf numFmtId="0" fontId="24" fillId="0" borderId="1" applyAlignment="1" pivotButton="0" quotePrefix="0" xfId="0">
      <alignment horizontal="general" vertical="center"/>
    </xf>
    <xf numFmtId="2" fontId="24" fillId="0" borderId="1" applyAlignment="1" pivotButton="0" quotePrefix="0" xfId="0">
      <alignment horizontal="right" vertical="center"/>
    </xf>
    <xf numFmtId="0" fontId="24" fillId="9" borderId="1" applyAlignment="1" pivotButton="0" quotePrefix="0" xfId="0">
      <alignment horizontal="general" vertical="center"/>
    </xf>
    <xf numFmtId="2" fontId="24" fillId="9" borderId="1" applyAlignment="1" pivotButton="0" quotePrefix="0" xfId="0">
      <alignment horizontal="right" vertical="center"/>
    </xf>
    <xf numFmtId="0" fontId="57" fillId="0" borderId="1" applyAlignment="1" pivotButton="0" quotePrefix="0" xfId="0">
      <alignment horizontal="general" vertical="center"/>
    </xf>
    <xf numFmtId="165" fontId="57" fillId="0" borderId="1" applyAlignment="1" pivotButton="0" quotePrefix="0" xfId="0">
      <alignment horizontal="right" vertical="center"/>
    </xf>
    <xf numFmtId="0" fontId="7" fillId="6" borderId="1" applyAlignment="1" pivotButton="0" quotePrefix="0" xfId="0">
      <alignment horizontal="general" vertical="bottom"/>
    </xf>
    <xf numFmtId="2" fontId="7" fillId="6" borderId="1" applyAlignment="1" pivotButton="0" quotePrefix="0" xfId="0">
      <alignment horizontal="right" vertical="center"/>
    </xf>
    <xf numFmtId="0" fontId="25" fillId="0" borderId="1" applyAlignment="1" pivotButton="0" quotePrefix="0" xfId="0">
      <alignment horizontal="general" vertical="center"/>
    </xf>
    <xf numFmtId="165" fontId="25" fillId="0" borderId="1" applyAlignment="1" pivotButton="0" quotePrefix="0" xfId="0">
      <alignment horizontal="right" vertical="center"/>
    </xf>
    <xf numFmtId="2" fontId="25" fillId="0" borderId="67" applyAlignment="1" pivotButton="0" quotePrefix="0" xfId="0">
      <alignment horizontal="right" vertical="center"/>
    </xf>
    <xf numFmtId="165" fontId="25" fillId="0" borderId="67" applyAlignment="1" pivotButton="0" quotePrefix="0" xfId="0">
      <alignment horizontal="right" vertical="center"/>
    </xf>
    <xf numFmtId="0" fontId="5" fillId="2" borderId="27" applyAlignment="1" pivotButton="0" quotePrefix="0" xfId="0">
      <alignment horizontal="left" vertical="center"/>
    </xf>
    <xf numFmtId="0" fontId="21" fillId="2" borderId="27" applyAlignment="1" pivotButton="0" quotePrefix="0" xfId="0">
      <alignment horizontal="general" vertical="bottom"/>
    </xf>
    <xf numFmtId="0" fontId="24" fillId="0" borderId="27" applyAlignment="1" pivotButton="0" quotePrefix="0" xfId="0">
      <alignment horizontal="left" vertical="center"/>
    </xf>
    <xf numFmtId="165" fontId="24" fillId="0" borderId="27" applyAlignment="1" pivotButton="0" quotePrefix="0" xfId="0">
      <alignment horizontal="right" vertical="center"/>
    </xf>
    <xf numFmtId="0" fontId="0" fillId="0" borderId="67" applyAlignment="1" pivotButton="0" quotePrefix="0" xfId="0">
      <alignment horizontal="general" vertical="bottom"/>
    </xf>
    <xf numFmtId="0" fontId="0" fillId="0" borderId="68" applyAlignment="1" pivotButton="0" quotePrefix="0" xfId="0">
      <alignment horizontal="general" vertical="bottom"/>
    </xf>
    <xf numFmtId="0" fontId="24" fillId="0" borderId="27" applyAlignment="1" pivotButton="0" quotePrefix="0" xfId="0">
      <alignment horizontal="center" vertical="center" wrapText="1"/>
    </xf>
    <xf numFmtId="165" fontId="24" fillId="0" borderId="27" applyAlignment="1" pivotButton="0" quotePrefix="0" xfId="0">
      <alignment horizontal="center" vertical="center" wrapText="1"/>
    </xf>
    <xf numFmtId="0" fontId="7" fillId="6" borderId="27" applyAlignment="1" pivotButton="0" quotePrefix="0" xfId="0">
      <alignment horizontal="left" vertical="center"/>
    </xf>
    <xf numFmtId="165" fontId="7" fillId="6" borderId="27" applyAlignment="1" pivotButton="0" quotePrefix="0" xfId="0">
      <alignment horizontal="right" vertical="center"/>
    </xf>
    <xf numFmtId="165" fontId="56" fillId="0" borderId="1" applyAlignment="1" pivotButton="0" quotePrefix="0" xfId="22">
      <alignment horizontal="general" vertical="bottom"/>
    </xf>
    <xf numFmtId="165" fontId="56" fillId="0" borderId="1" applyAlignment="1" pivotButton="0" quotePrefix="0" xfId="0">
      <alignment horizontal="general" vertical="bottom"/>
    </xf>
    <xf numFmtId="165" fontId="58" fillId="3" borderId="1" applyAlignment="1" pivotButton="0" quotePrefix="0" xfId="0">
      <alignment horizontal="general" vertical="bottom"/>
    </xf>
    <xf numFmtId="165" fontId="58" fillId="0" borderId="1" applyAlignment="1" pivotButton="0" quotePrefix="0" xfId="0">
      <alignment horizontal="general" vertical="bottom"/>
    </xf>
    <xf numFmtId="0" fontId="59" fillId="0" borderId="0" applyAlignment="1" pivotButton="0" quotePrefix="0" xfId="0">
      <alignment horizontal="general" vertical="bottom"/>
    </xf>
    <xf numFmtId="0" fontId="7" fillId="6" borderId="64" applyAlignment="1" pivotButton="0" quotePrefix="0" xfId="0">
      <alignment horizontal="center" vertical="bottom"/>
    </xf>
    <xf numFmtId="165" fontId="9" fillId="0" borderId="64" applyAlignment="1" pivotButton="0" quotePrefix="0" xfId="0">
      <alignment horizontal="general" vertical="bottom"/>
    </xf>
    <xf numFmtId="165" fontId="25" fillId="9" borderId="27" applyAlignment="1" pivotButton="0" quotePrefix="0" xfId="0">
      <alignment horizontal="right" vertical="center"/>
    </xf>
    <xf numFmtId="0" fontId="20" fillId="0" borderId="0" applyAlignment="1" pivotButton="0" quotePrefix="0" xfId="0">
      <alignment horizontal="center" vertical="center"/>
    </xf>
    <xf numFmtId="0" fontId="24" fillId="14" borderId="1" applyAlignment="1" pivotButton="0" quotePrefix="0" xfId="0">
      <alignment horizontal="general" vertical="bottom"/>
    </xf>
    <xf numFmtId="0" fontId="22" fillId="14" borderId="1" applyAlignment="1" pivotButton="0" quotePrefix="0" xfId="0">
      <alignment horizontal="center" vertical="center"/>
    </xf>
    <xf numFmtId="9" fontId="9" fillId="14" borderId="1" applyAlignment="1" pivotButton="0" quotePrefix="0" xfId="0">
      <alignment horizontal="general" vertical="bottom"/>
    </xf>
    <xf numFmtId="0" fontId="22" fillId="0" borderId="0" applyAlignment="1" pivotButton="0" quotePrefix="0" xfId="0">
      <alignment horizontal="center" vertical="center"/>
    </xf>
    <xf numFmtId="0" fontId="9" fillId="9" borderId="1" applyAlignment="1" pivotButton="0" quotePrefix="0" xfId="0">
      <alignment horizontal="general" vertical="bottom"/>
    </xf>
    <xf numFmtId="0" fontId="9" fillId="0" borderId="1" applyAlignment="1" pivotButton="0" quotePrefix="0" xfId="0">
      <alignment horizontal="general" vertical="bottom"/>
    </xf>
    <xf numFmtId="0" fontId="25" fillId="9" borderId="1" applyAlignment="1" pivotButton="0" quotePrefix="0" xfId="0">
      <alignment horizontal="general" vertical="bottom"/>
    </xf>
    <xf numFmtId="165" fontId="25" fillId="9" borderId="1" applyAlignment="1" pivotButton="0" quotePrefix="0" xfId="0">
      <alignment horizontal="general" vertical="bottom"/>
    </xf>
    <xf numFmtId="9" fontId="9" fillId="0" borderId="1" applyAlignment="1" pivotButton="0" quotePrefix="0" xfId="0">
      <alignment horizontal="general" vertical="bottom"/>
    </xf>
    <xf numFmtId="0" fontId="22" fillId="0" borderId="0" applyAlignment="1" pivotButton="0" quotePrefix="0" xfId="0">
      <alignment horizontal="general" vertical="center"/>
    </xf>
    <xf numFmtId="0" fontId="60" fillId="0" borderId="1" applyAlignment="1" pivotButton="0" quotePrefix="0" xfId="0">
      <alignment horizontal="general" vertical="bottom"/>
    </xf>
    <xf numFmtId="2" fontId="22" fillId="0" borderId="0" applyAlignment="1" pivotButton="0" quotePrefix="0" xfId="0">
      <alignment horizontal="right" vertical="center"/>
    </xf>
    <xf numFmtId="0" fontId="22" fillId="0" borderId="1" applyAlignment="1" pivotButton="0" quotePrefix="0" xfId="0">
      <alignment horizontal="general" vertical="center"/>
    </xf>
    <xf numFmtId="0" fontId="22" fillId="9" borderId="1" applyAlignment="1" pivotButton="0" quotePrefix="0" xfId="0">
      <alignment horizontal="general" vertical="center"/>
    </xf>
    <xf numFmtId="2" fontId="22" fillId="9" borderId="1" applyAlignment="1" pivotButton="0" quotePrefix="0" xfId="0">
      <alignment horizontal="right" vertical="center"/>
    </xf>
    <xf numFmtId="0" fontId="28" fillId="0" borderId="1" applyAlignment="1" pivotButton="0" quotePrefix="0" xfId="0">
      <alignment horizontal="general" vertical="center"/>
    </xf>
    <xf numFmtId="165" fontId="28" fillId="0" borderId="1" applyAlignment="1" pivotButton="0" quotePrefix="0" xfId="0">
      <alignment horizontal="right" vertical="center"/>
    </xf>
    <xf numFmtId="0" fontId="28" fillId="0" borderId="0" applyAlignment="1" pivotButton="0" quotePrefix="0" xfId="0">
      <alignment horizontal="general" vertical="center"/>
    </xf>
    <xf numFmtId="2" fontId="28" fillId="0" borderId="0" applyAlignment="1" pivotButton="0" quotePrefix="0" xfId="0">
      <alignment horizontal="right" vertical="center"/>
    </xf>
    <xf numFmtId="0" fontId="5" fillId="2" borderId="64" applyAlignment="1" pivotButton="0" quotePrefix="0" xfId="0">
      <alignment horizontal="left" vertical="center"/>
    </xf>
    <xf numFmtId="0" fontId="7" fillId="6" borderId="66" applyAlignment="1" pivotButton="0" quotePrefix="0" xfId="0">
      <alignment horizontal="center" vertical="center" wrapText="1"/>
    </xf>
    <xf numFmtId="165" fontId="9" fillId="0" borderId="64" applyAlignment="1" pivotButton="0" quotePrefix="0" xfId="0">
      <alignment horizontal="center" vertical="center" wrapText="1"/>
    </xf>
    <xf numFmtId="0" fontId="21" fillId="13" borderId="64" applyAlignment="1" pivotButton="0" quotePrefix="0" xfId="0">
      <alignment horizontal="center" vertical="center" wrapText="1"/>
    </xf>
    <xf numFmtId="0" fontId="7" fillId="6" borderId="66" applyAlignment="1" pivotButton="0" quotePrefix="0" xfId="0">
      <alignment horizontal="left" vertical="bottom"/>
    </xf>
    <xf numFmtId="0" fontId="24" fillId="0" borderId="64" applyAlignment="1" pivotButton="0" quotePrefix="0" xfId="0">
      <alignment horizontal="general" vertical="bottom"/>
    </xf>
    <xf numFmtId="165" fontId="56" fillId="0" borderId="64" applyAlignment="1" pivotButton="0" quotePrefix="0" xfId="0">
      <alignment horizontal="general" vertical="bottom"/>
    </xf>
    <xf numFmtId="0" fontId="0" fillId="0" borderId="64" applyAlignment="1" pivotButton="0" quotePrefix="0" xfId="0">
      <alignment horizontal="general" vertical="bottom"/>
    </xf>
    <xf numFmtId="165" fontId="24" fillId="0" borderId="64" applyAlignment="1" pivotButton="0" quotePrefix="0" xfId="0">
      <alignment horizontal="general" vertical="bottom"/>
    </xf>
    <xf numFmtId="165" fontId="58" fillId="3" borderId="64" applyAlignment="1" pivotButton="0" quotePrefix="0" xfId="0">
      <alignment horizontal="general" vertical="bottom"/>
    </xf>
    <xf numFmtId="0" fontId="25" fillId="0" borderId="64" applyAlignment="1" pivotButton="0" quotePrefix="0" xfId="0">
      <alignment horizontal="general" vertical="bottom"/>
    </xf>
    <xf numFmtId="165" fontId="25" fillId="0" borderId="64" applyAlignment="1" pivotButton="0" quotePrefix="0" xfId="0">
      <alignment horizontal="general" vertical="bottom"/>
    </xf>
    <xf numFmtId="0" fontId="25" fillId="9" borderId="64" applyAlignment="1" pivotButton="0" quotePrefix="0" xfId="0">
      <alignment horizontal="general" vertical="bottom"/>
    </xf>
    <xf numFmtId="165" fontId="25" fillId="9" borderId="64" applyAlignment="1" pivotButton="0" quotePrefix="0" xfId="0">
      <alignment horizontal="general" vertical="bottom"/>
    </xf>
    <xf numFmtId="0" fontId="5" fillId="2" borderId="64" applyAlignment="1" pivotButton="0" quotePrefix="0" xfId="0">
      <alignment horizontal="left" vertical="top"/>
    </xf>
    <xf numFmtId="0" fontId="24" fillId="14" borderId="64" applyAlignment="1" pivotButton="0" quotePrefix="0" xfId="0">
      <alignment horizontal="general" vertical="bottom"/>
    </xf>
    <xf numFmtId="9" fontId="9" fillId="14" borderId="64" applyAlignment="1" pivotButton="0" quotePrefix="0" xfId="0">
      <alignment horizontal="general" vertical="bottom"/>
    </xf>
    <xf numFmtId="165" fontId="61" fillId="9" borderId="1" applyAlignment="1" pivotButton="0" quotePrefix="0" xfId="0">
      <alignment horizontal="general" vertical="bottom"/>
    </xf>
    <xf numFmtId="165" fontId="29" fillId="0" borderId="1" applyAlignment="1" pivotButton="0" quotePrefix="0" xfId="0">
      <alignment horizontal="right" vertical="center"/>
    </xf>
    <xf numFmtId="165" fontId="7" fillId="0" borderId="1" applyAlignment="1" pivotButton="0" quotePrefix="0" xfId="0">
      <alignment horizontal="right" vertical="center"/>
    </xf>
    <xf numFmtId="0" fontId="28" fillId="0" borderId="69" applyAlignment="1" pivotButton="0" quotePrefix="0" xfId="0">
      <alignment horizontal="general" vertical="center"/>
    </xf>
    <xf numFmtId="165" fontId="7" fillId="0" borderId="70" applyAlignment="1" pivotButton="0" quotePrefix="0" xfId="0">
      <alignment horizontal="right" vertical="center"/>
    </xf>
    <xf numFmtId="0" fontId="5" fillId="2" borderId="69" applyAlignment="1" pivotButton="0" quotePrefix="0" xfId="0">
      <alignment horizontal="left" vertical="center"/>
    </xf>
    <xf numFmtId="0" fontId="7" fillId="6" borderId="66" applyAlignment="1" pivotButton="0" quotePrefix="0" xfId="0">
      <alignment horizontal="center" vertical="bottom"/>
    </xf>
    <xf numFmtId="0" fontId="22" fillId="0" borderId="1" applyAlignment="1" pivotButton="0" quotePrefix="0" xfId="0">
      <alignment horizontal="center" vertical="center" wrapText="1"/>
    </xf>
    <xf numFmtId="0" fontId="22" fillId="14" borderId="1" applyAlignment="1" pivotButton="0" quotePrefix="0" xfId="0">
      <alignment horizontal="general" vertical="center"/>
    </xf>
    <xf numFmtId="165" fontId="58" fillId="14" borderId="1" applyAlignment="1" pivotButton="0" quotePrefix="0" xfId="0">
      <alignment horizontal="general" vertical="bottom"/>
    </xf>
    <xf numFmtId="0" fontId="25" fillId="0" borderId="1" applyAlignment="1" pivotButton="0" quotePrefix="0" xfId="0">
      <alignment horizontal="general" vertical="bottom"/>
    </xf>
    <xf numFmtId="165" fontId="25" fillId="0" borderId="1" applyAlignment="1" pivotButton="0" quotePrefix="0" xfId="0">
      <alignment horizontal="general" vertical="bottom"/>
    </xf>
    <xf numFmtId="165" fontId="9" fillId="9" borderId="1" applyAlignment="1" pivotButton="0" quotePrefix="0" xfId="0">
      <alignment horizontal="general" vertical="bottom"/>
    </xf>
    <xf numFmtId="0" fontId="62" fillId="0" borderId="1" applyAlignment="1" pivotButton="0" quotePrefix="0" xfId="0">
      <alignment horizontal="general" vertical="bottom"/>
    </xf>
    <xf numFmtId="0" fontId="62" fillId="14" borderId="1" applyAlignment="1" pivotButton="0" quotePrefix="0" xfId="0">
      <alignment horizontal="general" vertical="bottom"/>
    </xf>
    <xf numFmtId="9" fontId="62" fillId="14" borderId="1" applyAlignment="1" pivotButton="0" quotePrefix="0" xfId="0">
      <alignment horizontal="general" vertical="bottom"/>
    </xf>
    <xf numFmtId="0" fontId="24" fillId="14" borderId="0" applyAlignment="1" pivotButton="0" quotePrefix="0" xfId="0">
      <alignment horizontal="general" vertical="bottom"/>
    </xf>
    <xf numFmtId="9" fontId="9" fillId="14" borderId="0" applyAlignment="1" pivotButton="0" quotePrefix="0" xfId="0">
      <alignment horizontal="general" vertical="bottom"/>
    </xf>
    <xf numFmtId="165" fontId="56" fillId="3" borderId="1" applyAlignment="1" pivotButton="0" quotePrefix="0" xfId="0">
      <alignment horizontal="general" vertical="bottom"/>
    </xf>
    <xf numFmtId="0" fontId="5" fillId="2" borderId="26" applyAlignment="1" pivotButton="0" quotePrefix="0" xfId="0">
      <alignment horizontal="left" vertical="center"/>
    </xf>
    <xf numFmtId="0" fontId="60" fillId="0" borderId="64" applyAlignment="1" pivotButton="0" quotePrefix="0" xfId="0">
      <alignment horizontal="general" vertical="bottom"/>
    </xf>
    <xf numFmtId="165" fontId="28" fillId="0" borderId="0" applyAlignment="1" pivotButton="0" quotePrefix="0" xfId="0">
      <alignment horizontal="right" vertical="center"/>
    </xf>
    <xf numFmtId="0" fontId="5" fillId="2" borderId="1" applyAlignment="1" pivotButton="0" quotePrefix="0" xfId="0">
      <alignment horizontal="center" vertical="center"/>
    </xf>
    <xf numFmtId="0" fontId="21" fillId="2" borderId="64" applyAlignment="1" pivotButton="0" quotePrefix="0" xfId="0">
      <alignment horizontal="left" vertical="center"/>
    </xf>
    <xf numFmtId="165" fontId="58" fillId="14" borderId="64" applyAlignment="1" pivotButton="0" quotePrefix="0" xfId="0">
      <alignment horizontal="general" vertical="bottom"/>
    </xf>
    <xf numFmtId="0" fontId="20" fillId="0" borderId="0" applyAlignment="1" pivotButton="0" quotePrefix="0" xfId="0">
      <alignment horizontal="center" vertical="center" wrapText="1"/>
    </xf>
    <xf numFmtId="165" fontId="28" fillId="0" borderId="0" applyAlignment="1" pivotButton="0" quotePrefix="0" xfId="0">
      <alignment horizontal="general" vertical="bottom"/>
    </xf>
    <xf numFmtId="0" fontId="24" fillId="0" borderId="71" applyAlignment="1" pivotButton="0" quotePrefix="0" xfId="0">
      <alignment horizontal="left" vertical="bottom"/>
    </xf>
    <xf numFmtId="165" fontId="9" fillId="0" borderId="0" applyAlignment="1" pivotButton="0" quotePrefix="0" xfId="0">
      <alignment horizontal="general" vertical="bottom"/>
    </xf>
    <xf numFmtId="2" fontId="9" fillId="0" borderId="0" applyAlignment="1" pivotButton="0" quotePrefix="0" xfId="0">
      <alignment horizontal="general" vertical="bottom"/>
    </xf>
    <xf numFmtId="0" fontId="20" fillId="13" borderId="1" applyAlignment="1" pivotButton="0" quotePrefix="0" xfId="0">
      <alignment horizontal="center" vertical="center"/>
    </xf>
    <xf numFmtId="0" fontId="21" fillId="30" borderId="66" applyAlignment="1" pivotButton="0" quotePrefix="0" xfId="0">
      <alignment horizontal="left" vertical="center"/>
    </xf>
    <xf numFmtId="182" fontId="21" fillId="30" borderId="60" applyAlignment="1" pivotButton="0" quotePrefix="0" xfId="0">
      <alignment horizontal="left" vertical="center"/>
    </xf>
    <xf numFmtId="0" fontId="21" fillId="30" borderId="60" applyAlignment="1" pivotButton="0" quotePrefix="0" xfId="0">
      <alignment horizontal="left" vertical="center"/>
    </xf>
    <xf numFmtId="0" fontId="63" fillId="0" borderId="0" applyAlignment="1" pivotButton="0" quotePrefix="0" xfId="0">
      <alignment horizontal="general" vertical="bottom"/>
    </xf>
    <xf numFmtId="0" fontId="64" fillId="0" borderId="0" applyAlignment="1" pivotButton="0" quotePrefix="0" xfId="0">
      <alignment horizontal="general" vertical="bottom"/>
    </xf>
    <xf numFmtId="0" fontId="0" fillId="0" borderId="0" applyAlignment="1" pivotButton="0" quotePrefix="0" xfId="0">
      <alignment horizontal="general" vertical="bottom"/>
    </xf>
    <xf numFmtId="0" fontId="21" fillId="13" borderId="71" applyAlignment="1" pivotButton="0" quotePrefix="0" xfId="0">
      <alignment horizontal="center" vertical="center" wrapText="1"/>
    </xf>
    <xf numFmtId="165" fontId="0" fillId="0" borderId="64" applyAlignment="1" pivotButton="0" quotePrefix="0" xfId="0">
      <alignment horizontal="general" vertical="bottom"/>
    </xf>
    <xf numFmtId="0" fontId="0" fillId="0" borderId="0" applyAlignment="1" pivotButton="0" quotePrefix="0" xfId="0">
      <alignment horizontal="general" vertical="bottom" wrapText="1"/>
    </xf>
    <xf numFmtId="165" fontId="58" fillId="0" borderId="64" applyAlignment="1" pivotButton="0" quotePrefix="0" xfId="0">
      <alignment horizontal="general" vertical="bottom"/>
    </xf>
    <xf numFmtId="0" fontId="65" fillId="0" borderId="0" applyAlignment="1" pivotButton="0" quotePrefix="0" xfId="0">
      <alignment horizontal="general" vertical="bottom"/>
    </xf>
    <xf numFmtId="0" fontId="25" fillId="9" borderId="0" applyAlignment="1" pivotButton="0" quotePrefix="0" xfId="0">
      <alignment horizontal="general" vertical="bottom"/>
    </xf>
    <xf numFmtId="2" fontId="28" fillId="6" borderId="0" applyAlignment="1" pivotButton="0" quotePrefix="0" xfId="0">
      <alignment horizontal="right" vertical="center"/>
    </xf>
    <xf numFmtId="0" fontId="21" fillId="30" borderId="66" applyAlignment="1" pivotButton="0" quotePrefix="0" xfId="0">
      <alignment horizontal="center" vertical="center" wrapText="1"/>
    </xf>
    <xf numFmtId="182" fontId="21" fillId="30" borderId="60" applyAlignment="1" pivotButton="0" quotePrefix="0" xfId="0">
      <alignment horizontal="center" vertical="center" wrapText="1"/>
    </xf>
    <xf numFmtId="0" fontId="63" fillId="3" borderId="0" applyAlignment="1" pivotButton="0" quotePrefix="0" xfId="0">
      <alignment horizontal="general" vertical="bottom"/>
    </xf>
    <xf numFmtId="0" fontId="6" fillId="0" borderId="0" applyAlignment="1" pivotButton="0" quotePrefix="0" xfId="0">
      <alignment horizontal="left" vertical="center"/>
    </xf>
    <xf numFmtId="2" fontId="22" fillId="0" borderId="1" applyAlignment="1" pivotButton="0" quotePrefix="0" xfId="0">
      <alignment horizontal="center" vertical="center" wrapText="1"/>
    </xf>
    <xf numFmtId="0" fontId="24" fillId="0" borderId="72" applyAlignment="1" pivotButton="0" quotePrefix="0" xfId="0">
      <alignment horizontal="general" vertical="bottom"/>
    </xf>
    <xf numFmtId="0" fontId="28" fillId="9" borderId="1" applyAlignment="1" pivotButton="0" quotePrefix="0" xfId="0">
      <alignment horizontal="general" vertical="center"/>
    </xf>
    <xf numFmtId="165" fontId="28" fillId="9" borderId="1" applyAlignment="1" pivotButton="0" quotePrefix="0" xfId="0">
      <alignment horizontal="right" vertical="center"/>
    </xf>
    <xf numFmtId="165" fontId="21" fillId="13" borderId="64" applyAlignment="1" pivotButton="0" quotePrefix="0" xfId="0">
      <alignment horizontal="center" vertical="center" wrapText="1"/>
    </xf>
    <xf numFmtId="0" fontId="7" fillId="6" borderId="64" applyAlignment="1" pivotButton="0" quotePrefix="0" xfId="0">
      <alignment horizontal="left" vertical="bottom"/>
    </xf>
    <xf numFmtId="165" fontId="56" fillId="3" borderId="64" applyAlignment="1" pivotButton="0" quotePrefix="0" xfId="0">
      <alignment horizontal="general" vertical="bottom"/>
    </xf>
    <xf numFmtId="0" fontId="62" fillId="0" borderId="64" applyAlignment="1" pivotButton="0" quotePrefix="0" xfId="0">
      <alignment horizontal="general" vertical="bottom"/>
    </xf>
    <xf numFmtId="0" fontId="66" fillId="0" borderId="0" applyAlignment="1" pivotButton="0" quotePrefix="0" xfId="0">
      <alignment horizontal="general" vertical="center"/>
    </xf>
    <xf numFmtId="0" fontId="5" fillId="13" borderId="1" applyAlignment="1" pivotButton="0" quotePrefix="0" xfId="0">
      <alignment horizontal="center" vertical="center" wrapText="1"/>
    </xf>
    <xf numFmtId="164" fontId="4" fillId="6" borderId="1" applyAlignment="1" pivotButton="0" quotePrefix="0" xfId="0">
      <alignment horizontal="center" vertical="center" wrapText="1"/>
    </xf>
    <xf numFmtId="165" fontId="4" fillId="6" borderId="1" applyAlignment="1" pivotButton="0" quotePrefix="0" xfId="0">
      <alignment horizontal="center" vertical="center" wrapText="1"/>
    </xf>
    <xf numFmtId="165" fontId="6" fillId="0" borderId="0" applyAlignment="1" pivotButton="0" quotePrefix="0" xfId="0">
      <alignment horizontal="right" vertical="center"/>
    </xf>
    <xf numFmtId="164" fontId="6" fillId="0" borderId="0" applyAlignment="1" pivotButton="0" quotePrefix="0" xfId="0">
      <alignment horizontal="right" vertical="center"/>
    </xf>
    <xf numFmtId="0" fontId="7" fillId="6" borderId="1" applyAlignment="1" pivotButton="0" quotePrefix="0" xfId="0">
      <alignment horizontal="left" vertical="center"/>
    </xf>
    <xf numFmtId="165" fontId="7" fillId="6" borderId="1" applyAlignment="1" pivotButton="0" quotePrefix="0" xfId="0">
      <alignment horizontal="right" vertical="center"/>
    </xf>
    <xf numFmtId="164" fontId="7" fillId="6" borderId="1" applyAlignment="1" pivotButton="0" quotePrefix="0" xfId="0">
      <alignment horizontal="right" vertical="center"/>
    </xf>
    <xf numFmtId="165" fontId="6" fillId="6" borderId="1" applyAlignment="1" pivotButton="0" quotePrefix="0" xfId="0">
      <alignment horizontal="right" vertical="center"/>
    </xf>
    <xf numFmtId="164" fontId="6" fillId="6" borderId="1" applyAlignment="1" pivotButton="0" quotePrefix="0" xfId="0">
      <alignment horizontal="right" vertical="center"/>
    </xf>
    <xf numFmtId="0" fontId="7" fillId="9" borderId="73" applyAlignment="1" pivotButton="0" quotePrefix="0" xfId="0">
      <alignment horizontal="left" vertical="center"/>
    </xf>
    <xf numFmtId="165" fontId="7" fillId="9" borderId="73" applyAlignment="1" pivotButton="0" quotePrefix="0" xfId="0">
      <alignment horizontal="right" vertical="center"/>
    </xf>
    <xf numFmtId="164" fontId="7" fillId="9" borderId="73" applyAlignment="1" pivotButton="0" quotePrefix="0" xfId="0">
      <alignment horizontal="right" vertical="center"/>
    </xf>
    <xf numFmtId="183" fontId="6" fillId="0" borderId="0" applyAlignment="1" pivotButton="0" quotePrefix="0" xfId="0">
      <alignment horizontal="right" vertical="center"/>
    </xf>
    <xf numFmtId="184" fontId="6" fillId="0" borderId="0" applyAlignment="1" pivotButton="0" quotePrefix="0" xfId="0">
      <alignment horizontal="right" vertical="center"/>
    </xf>
    <xf numFmtId="185" fontId="6" fillId="0" borderId="0" applyAlignment="1" pivotButton="0" quotePrefix="0" xfId="0">
      <alignment horizontal="right" vertical="center"/>
    </xf>
    <xf numFmtId="185" fontId="7" fillId="6" borderId="1" applyAlignment="1" pivotButton="0" quotePrefix="0" xfId="0">
      <alignment horizontal="right" vertical="center"/>
    </xf>
    <xf numFmtId="185" fontId="7" fillId="9" borderId="73" applyAlignment="1" pivotButton="0" quotePrefix="0" xfId="0">
      <alignment horizontal="right" vertical="center"/>
    </xf>
    <xf numFmtId="0" fontId="67" fillId="0" borderId="0" applyAlignment="1" pivotButton="0" quotePrefix="0" xfId="0">
      <alignment horizontal="general" vertical="center"/>
    </xf>
    <xf numFmtId="0" fontId="20" fillId="2" borderId="1" applyAlignment="1" pivotButton="0" quotePrefix="0" xfId="0">
      <alignment horizontal="general" vertical="center"/>
    </xf>
    <xf numFmtId="0" fontId="68" fillId="13" borderId="1" applyAlignment="1" pivotButton="0" quotePrefix="0" xfId="0">
      <alignment horizontal="general" vertical="bottom" wrapText="1"/>
    </xf>
    <xf numFmtId="0" fontId="68" fillId="13" borderId="0" applyAlignment="1" pivotButton="0" quotePrefix="0" xfId="0">
      <alignment horizontal="general" vertical="bottom" wrapText="1"/>
    </xf>
    <xf numFmtId="186" fontId="22" fillId="0" borderId="1" applyAlignment="1" pivotButton="0" quotePrefix="0" xfId="0">
      <alignment horizontal="center" vertical="center"/>
    </xf>
    <xf numFmtId="166" fontId="22" fillId="0" borderId="1" applyAlignment="1" pivotButton="0" quotePrefix="0" xfId="0">
      <alignment horizontal="right" vertical="center"/>
    </xf>
    <xf numFmtId="166" fontId="0" fillId="0" borderId="0" applyAlignment="1" pivotButton="0" quotePrefix="0" xfId="0">
      <alignment horizontal="right" vertical="bottom"/>
    </xf>
    <xf numFmtId="0" fontId="28" fillId="6" borderId="1" applyAlignment="1" pivotButton="0" quotePrefix="0" xfId="0">
      <alignment horizontal="general" vertical="center"/>
    </xf>
    <xf numFmtId="186" fontId="28" fillId="6" borderId="1" applyAlignment="1" pivotButton="0" quotePrefix="0" xfId="0">
      <alignment horizontal="center" vertical="center"/>
    </xf>
    <xf numFmtId="166" fontId="28" fillId="6" borderId="1" applyAlignment="1" pivotButton="0" quotePrefix="0" xfId="0">
      <alignment horizontal="right" vertical="center"/>
    </xf>
    <xf numFmtId="186" fontId="22" fillId="0" borderId="0" applyAlignment="1" pivotButton="0" quotePrefix="0" xfId="0">
      <alignment horizontal="general" vertical="bottom"/>
    </xf>
    <xf numFmtId="166" fontId="22" fillId="0" borderId="0" applyAlignment="1" pivotButton="0" quotePrefix="0" xfId="0">
      <alignment horizontal="general" vertical="bottom"/>
    </xf>
    <xf numFmtId="166" fontId="0" fillId="0" borderId="0" applyAlignment="1" pivotButton="0" quotePrefix="0" xfId="0">
      <alignment horizontal="general" vertical="bottom"/>
    </xf>
    <xf numFmtId="165" fontId="22" fillId="0" borderId="0" applyAlignment="1" pivotButton="0" quotePrefix="0" xfId="0">
      <alignment horizontal="general" vertical="bottom"/>
    </xf>
    <xf numFmtId="0" fontId="27" fillId="0" borderId="0" applyAlignment="1" pivotButton="0" quotePrefix="0" xfId="0">
      <alignment horizontal="left" vertical="center"/>
    </xf>
    <xf numFmtId="0" fontId="27" fillId="2" borderId="1" applyAlignment="1" pivotButton="0" quotePrefix="0" xfId="0">
      <alignment horizontal="general" vertical="center"/>
    </xf>
    <xf numFmtId="186" fontId="20" fillId="13" borderId="1" applyAlignment="1" pivotButton="0" quotePrefix="0" xfId="0">
      <alignment horizontal="center" vertical="center"/>
    </xf>
    <xf numFmtId="186" fontId="22" fillId="0" borderId="1" applyAlignment="1" pivotButton="0" quotePrefix="0" xfId="0">
      <alignment horizontal="right" vertical="center"/>
    </xf>
    <xf numFmtId="186" fontId="28" fillId="6" borderId="1" applyAlignment="1" pivotButton="0" quotePrefix="0" xfId="0">
      <alignment horizontal="right" vertical="center"/>
    </xf>
    <xf numFmtId="0" fontId="22" fillId="0" borderId="0" applyAlignment="1" pivotButton="0" quotePrefix="0" xfId="0">
      <alignment horizontal="left" vertical="center"/>
    </xf>
    <xf numFmtId="187" fontId="22" fillId="0" borderId="0" applyAlignment="1" pivotButton="0" quotePrefix="0" xfId="0">
      <alignment horizontal="right" vertical="center"/>
    </xf>
    <xf numFmtId="1" fontId="22" fillId="0" borderId="1" applyAlignment="1" pivotButton="0" quotePrefix="0" xfId="0">
      <alignment horizontal="center" vertical="center"/>
    </xf>
    <xf numFmtId="166" fontId="22" fillId="0" borderId="1" applyAlignment="1" pivotButton="0" quotePrefix="0" xfId="0">
      <alignment horizontal="right" vertical="center"/>
    </xf>
    <xf numFmtId="1" fontId="28" fillId="6" borderId="1" applyAlignment="1" pivotButton="0" quotePrefix="0" xfId="0">
      <alignment horizontal="center" vertical="center"/>
    </xf>
    <xf numFmtId="2" fontId="28" fillId="6" borderId="1" applyAlignment="1" pivotButton="0" quotePrefix="0" xfId="0">
      <alignment horizontal="right" vertical="center"/>
    </xf>
    <xf numFmtId="166" fontId="28" fillId="6" borderId="1" applyAlignment="1" pivotButton="0" quotePrefix="0" xfId="0">
      <alignment horizontal="right" vertical="center"/>
    </xf>
    <xf numFmtId="1" fontId="22" fillId="0" borderId="1" applyAlignment="1" pivotButton="0" quotePrefix="0" xfId="0">
      <alignment horizontal="right" vertical="center"/>
    </xf>
    <xf numFmtId="169" fontId="22" fillId="0" borderId="1" applyAlignment="1" pivotButton="0" quotePrefix="0" xfId="0">
      <alignment horizontal="right" vertical="center"/>
    </xf>
    <xf numFmtId="2" fontId="22" fillId="0" borderId="0" applyAlignment="1" pivotButton="0" quotePrefix="0" xfId="0">
      <alignment horizontal="general" vertical="bottom"/>
    </xf>
    <xf numFmtId="2" fontId="28" fillId="0" borderId="1" applyAlignment="1" pivotButton="0" quotePrefix="0" xfId="0">
      <alignment horizontal="right" vertical="center"/>
    </xf>
    <xf numFmtId="165" fontId="22" fillId="0" borderId="0" applyAlignment="1" pivotButton="0" quotePrefix="0" xfId="0">
      <alignment horizontal="right" vertical="center"/>
    </xf>
    <xf numFmtId="0" fontId="22" fillId="0" borderId="1" applyAlignment="1" pivotButton="0" quotePrefix="0" xfId="0">
      <alignment horizontal="general" vertical="center" wrapText="1"/>
    </xf>
    <xf numFmtId="0" fontId="22" fillId="0" borderId="1" applyAlignment="1" pivotButton="0" quotePrefix="0" xfId="0">
      <alignment horizontal="center" vertical="center"/>
    </xf>
    <xf numFmtId="2" fontId="0" fillId="0" borderId="0" applyAlignment="1" pivotButton="0" quotePrefix="0" xfId="0">
      <alignment horizontal="general" vertical="bottom"/>
    </xf>
    <xf numFmtId="3" fontId="22" fillId="0" borderId="1" applyAlignment="1" pivotButton="0" quotePrefix="0" xfId="0">
      <alignment horizontal="right" vertical="center"/>
    </xf>
    <xf numFmtId="0" fontId="22" fillId="0" borderId="0" applyAlignment="1" pivotButton="0" quotePrefix="0" xfId="0">
      <alignment horizontal="general" vertical="center" wrapText="1"/>
    </xf>
    <xf numFmtId="188" fontId="22" fillId="0" borderId="1" applyAlignment="1" pivotButton="0" quotePrefix="0" xfId="17">
      <alignment horizontal="right" vertical="center"/>
    </xf>
    <xf numFmtId="3" fontId="22" fillId="0" borderId="0" applyAlignment="1" pivotButton="0" quotePrefix="0" xfId="0">
      <alignment horizontal="general" vertical="bottom"/>
    </xf>
    <xf numFmtId="0" fontId="21" fillId="2" borderId="27" applyAlignment="1" pivotButton="0" quotePrefix="0" xfId="0">
      <alignment horizontal="left" vertical="center"/>
    </xf>
    <xf numFmtId="165" fontId="24" fillId="0" borderId="27" applyAlignment="1" pivotButton="0" quotePrefix="0" xfId="0">
      <alignment horizontal="right" vertical="center"/>
    </xf>
    <xf numFmtId="165" fontId="25" fillId="0" borderId="27" applyAlignment="1" pivotButton="0" quotePrefix="0" xfId="0">
      <alignment horizontal="right" vertical="center"/>
    </xf>
    <xf numFmtId="165" fontId="24" fillId="3" borderId="27" applyAlignment="1" pivotButton="0" quotePrefix="0" xfId="0">
      <alignment horizontal="right" vertical="center"/>
    </xf>
    <xf numFmtId="0" fontId="25" fillId="9" borderId="27" applyAlignment="1" pivotButton="0" quotePrefix="0" xfId="0">
      <alignment horizontal="left" vertical="center"/>
    </xf>
    <xf numFmtId="0" fontId="25" fillId="9" borderId="27" applyAlignment="1" pivotButton="0" quotePrefix="0" xfId="0">
      <alignment horizontal="center" vertical="center"/>
    </xf>
    <xf numFmtId="166" fontId="25" fillId="9" borderId="27" applyAlignment="1" pivotButton="0" quotePrefix="0" xfId="0">
      <alignment horizontal="right" vertical="center"/>
    </xf>
    <xf numFmtId="2" fontId="22" fillId="3" borderId="1" applyAlignment="1" pivotButton="0" quotePrefix="0" xfId="0">
      <alignment horizontal="right" vertical="center"/>
    </xf>
    <xf numFmtId="166" fontId="28" fillId="0" borderId="1" applyAlignment="1" pivotButton="0" quotePrefix="0" xfId="0">
      <alignment horizontal="right" vertical="center"/>
    </xf>
    <xf numFmtId="0" fontId="27" fillId="2" borderId="1" applyAlignment="1" pivotButton="0" quotePrefix="0" xfId="0">
      <alignment horizontal="left" vertical="center"/>
    </xf>
    <xf numFmtId="0" fontId="21" fillId="4" borderId="1" applyAlignment="1" pivotButton="0" quotePrefix="0" xfId="0">
      <alignment horizontal="general" vertical="center"/>
    </xf>
    <xf numFmtId="0" fontId="51" fillId="0" borderId="1" applyAlignment="1" pivotButton="0" quotePrefix="0" xfId="0">
      <alignment horizontal="general" vertical="bottom"/>
    </xf>
    <xf numFmtId="2" fontId="51" fillId="0" borderId="1" applyAlignment="1" pivotButton="0" quotePrefix="0" xfId="0">
      <alignment horizontal="right" vertical="center"/>
    </xf>
    <xf numFmtId="0" fontId="28" fillId="4" borderId="1" applyAlignment="1" pivotButton="0" quotePrefix="0" xfId="0">
      <alignment horizontal="left" vertical="center"/>
    </xf>
    <xf numFmtId="0" fontId="9" fillId="31" borderId="66" applyAlignment="1" pivotButton="0" quotePrefix="0" xfId="0">
      <alignment horizontal="left" vertical="bottom"/>
    </xf>
    <xf numFmtId="2" fontId="0" fillId="0" borderId="0" applyAlignment="1" pivotButton="0" quotePrefix="0" xfId="0">
      <alignment horizontal="general" vertical="bottom"/>
    </xf>
    <xf numFmtId="0" fontId="21" fillId="13" borderId="1" applyAlignment="1" pivotButton="0" quotePrefix="0" xfId="0">
      <alignment horizontal="center" vertical="center"/>
    </xf>
    <xf numFmtId="166" fontId="0" fillId="0" borderId="0" applyAlignment="1" pivotButton="0" quotePrefix="0" xfId="0">
      <alignment horizontal="general" vertical="bottom"/>
    </xf>
    <xf numFmtId="0" fontId="21" fillId="13" borderId="27" applyAlignment="1" pivotButton="0" quotePrefix="0" xfId="0">
      <alignment horizontal="left" vertical="center"/>
    </xf>
    <xf numFmtId="166" fontId="21" fillId="13" borderId="27" applyAlignment="1" pivotButton="0" quotePrefix="0" xfId="0">
      <alignment horizontal="general" vertical="bottom"/>
    </xf>
    <xf numFmtId="165" fontId="25" fillId="9" borderId="27" applyAlignment="1" pivotButton="0" quotePrefix="0" xfId="0">
      <alignment horizontal="right" vertical="center"/>
    </xf>
    <xf numFmtId="0" fontId="21" fillId="4" borderId="69" applyAlignment="1" pivotButton="0" quotePrefix="0" xfId="0">
      <alignment horizontal="left" vertical="center"/>
    </xf>
    <xf numFmtId="0" fontId="69" fillId="0" borderId="0" applyAlignment="1" pivotButton="0" quotePrefix="0" xfId="0">
      <alignment horizontal="general" vertical="center"/>
    </xf>
    <xf numFmtId="0" fontId="7" fillId="0" borderId="0" applyAlignment="1" pivotButton="0" quotePrefix="0" xfId="0">
      <alignment horizontal="general" vertical="bottom"/>
    </xf>
    <xf numFmtId="0" fontId="0" fillId="0" borderId="0" applyAlignment="1" pivotButton="0" quotePrefix="0" xfId="0">
      <alignment horizontal="right" vertical="center"/>
    </xf>
    <xf numFmtId="0" fontId="7" fillId="32" borderId="1" applyAlignment="1" pivotButton="0" quotePrefix="0" xfId="0">
      <alignment horizontal="left" vertical="center"/>
    </xf>
    <xf numFmtId="164" fontId="7" fillId="32" borderId="1" applyAlignment="1" pivotButton="0" quotePrefix="0" xfId="0">
      <alignment horizontal="right" vertical="center"/>
    </xf>
    <xf numFmtId="186" fontId="28" fillId="0" borderId="1" applyAlignment="1" pivotButton="0" quotePrefix="0" xfId="0">
      <alignment horizontal="center" vertical="center"/>
    </xf>
    <xf numFmtId="0" fontId="28" fillId="9" borderId="1" applyAlignment="1" pivotButton="0" quotePrefix="0" xfId="0">
      <alignment horizontal="general" vertical="bottom"/>
    </xf>
    <xf numFmtId="186" fontId="28" fillId="9" borderId="1" applyAlignment="1" pivotButton="0" quotePrefix="0" xfId="0">
      <alignment horizontal="center" vertical="center"/>
    </xf>
    <xf numFmtId="0" fontId="60" fillId="0" borderId="0" applyAlignment="1" pivotButton="0" quotePrefix="0" xfId="0">
      <alignment horizontal="general" vertical="bottom"/>
    </xf>
    <xf numFmtId="0" fontId="70" fillId="0" borderId="0" applyAlignment="1" pivotButton="0" quotePrefix="0" xfId="0">
      <alignment horizontal="general" vertical="center"/>
    </xf>
    <xf numFmtId="183" fontId="6" fillId="0" borderId="1" applyAlignment="1" pivotButton="0" quotePrefix="0" xfId="0">
      <alignment horizontal="right" vertical="center"/>
    </xf>
    <xf numFmtId="184" fontId="6" fillId="0" borderId="1" applyAlignment="1" pivotButton="0" quotePrefix="0" xfId="0">
      <alignment horizontal="right" vertical="center"/>
    </xf>
    <xf numFmtId="0" fontId="0" fillId="0" borderId="0" applyAlignment="1" pivotButton="0" quotePrefix="0" xfId="23">
      <alignment horizontal="center" vertical="bottom"/>
    </xf>
    <xf numFmtId="0" fontId="0" fillId="0" borderId="0" applyAlignment="1" pivotButton="0" quotePrefix="0" xfId="23">
      <alignment horizontal="general" vertical="bottom"/>
    </xf>
    <xf numFmtId="0" fontId="48" fillId="24" borderId="63" applyAlignment="1" pivotButton="0" quotePrefix="0" xfId="0">
      <alignment horizontal="left" vertical="top" wrapText="1"/>
    </xf>
    <xf numFmtId="0" fontId="48" fillId="24" borderId="64" applyAlignment="1" pivotButton="0" quotePrefix="0" xfId="0">
      <alignment horizontal="left" vertical="top" wrapText="1"/>
    </xf>
    <xf numFmtId="0" fontId="0" fillId="3" borderId="64" applyAlignment="1" pivotButton="0" quotePrefix="0" xfId="0">
      <alignment horizontal="left" vertical="top" wrapText="1"/>
    </xf>
    <xf numFmtId="0" fontId="48" fillId="24" borderId="64" applyAlignment="1" pivotButton="0" quotePrefix="0" xfId="23">
      <alignment horizontal="left" vertical="top" wrapText="1"/>
    </xf>
    <xf numFmtId="0" fontId="48" fillId="25" borderId="64" applyAlignment="1" pivotButton="0" quotePrefix="0" xfId="23">
      <alignment horizontal="left" vertical="top" wrapText="1"/>
    </xf>
    <xf numFmtId="0" fontId="48" fillId="25" borderId="64" applyAlignment="1" pivotButton="0" quotePrefix="0" xfId="0">
      <alignment horizontal="left" vertical="top" wrapText="1"/>
    </xf>
    <xf numFmtId="0" fontId="49" fillId="26" borderId="0" applyAlignment="1" pivotButton="0" quotePrefix="0" xfId="0">
      <alignment horizontal="general" vertical="bottom"/>
    </xf>
    <xf numFmtId="0" fontId="0" fillId="0" borderId="0" applyAlignment="1" pivotButton="0" quotePrefix="0" xfId="23">
      <alignment horizontal="left" vertical="top" wrapText="1"/>
    </xf>
    <xf numFmtId="1" fontId="52" fillId="0" borderId="64" applyAlignment="1" pivotButton="0" quotePrefix="0" xfId="0">
      <alignment horizontal="left" vertical="bottom"/>
    </xf>
    <xf numFmtId="0" fontId="0" fillId="0" borderId="64" applyAlignment="1" pivotButton="0" quotePrefix="0" xfId="23">
      <alignment horizontal="general" vertical="bottom"/>
    </xf>
    <xf numFmtId="0" fontId="52" fillId="0" borderId="64" applyAlignment="1" pivotButton="0" quotePrefix="0" xfId="0">
      <alignment horizontal="left" vertical="bottom"/>
    </xf>
    <xf numFmtId="0" fontId="0" fillId="0" borderId="74" applyAlignment="1" pivotButton="0" quotePrefix="0" xfId="31">
      <alignment horizontal="general" vertical="bottom"/>
    </xf>
    <xf numFmtId="0" fontId="0" fillId="0" borderId="75" applyAlignment="1" pivotButton="0" quotePrefix="0" xfId="32">
      <alignment horizontal="general" vertical="bottom"/>
    </xf>
    <xf numFmtId="0" fontId="0" fillId="0" borderId="64" applyAlignment="1" pivotButton="0" quotePrefix="0" xfId="23">
      <alignment horizontal="general" vertical="top" wrapText="1"/>
    </xf>
    <xf numFmtId="0" fontId="0" fillId="3" borderId="64" applyAlignment="1" pivotButton="0" quotePrefix="0" xfId="0">
      <alignment horizontal="general" vertical="bottom"/>
    </xf>
    <xf numFmtId="0" fontId="0" fillId="30" borderId="64" applyAlignment="1" pivotButton="0" quotePrefix="0" xfId="0">
      <alignment horizontal="general" vertical="bottom"/>
    </xf>
    <xf numFmtId="0" fontId="71" fillId="0" borderId="64" applyAlignment="1" pivotButton="0" quotePrefix="0" xfId="0">
      <alignment horizontal="general" vertical="bottom"/>
    </xf>
    <xf numFmtId="0" fontId="0" fillId="30" borderId="64" applyAlignment="1" pivotButton="0" quotePrefix="0" xfId="23">
      <alignment horizontal="general" vertical="bottom"/>
    </xf>
    <xf numFmtId="0" fontId="26" fillId="0" borderId="0" applyAlignment="1" pivotButton="0" quotePrefix="0" xfId="23">
      <alignment horizontal="general" vertical="bottom"/>
    </xf>
    <xf numFmtId="0" fontId="22" fillId="0" borderId="0" applyAlignment="1" pivotButton="0" quotePrefix="0" xfId="23">
      <alignment horizontal="general" vertical="bottom"/>
    </xf>
    <xf numFmtId="1" fontId="52" fillId="30" borderId="64" applyAlignment="1" pivotButton="0" quotePrefix="0" xfId="0">
      <alignment horizontal="left" vertical="bottom"/>
    </xf>
    <xf numFmtId="0" fontId="52" fillId="30" borderId="64" applyAlignment="1" pivotButton="0" quotePrefix="0" xfId="0">
      <alignment horizontal="left" vertical="bottom"/>
    </xf>
    <xf numFmtId="0" fontId="0" fillId="30" borderId="0" applyAlignment="1" pivotButton="0" quotePrefix="0" xfId="23">
      <alignment horizontal="general" vertical="bottom"/>
    </xf>
    <xf numFmtId="0" fontId="0" fillId="0" borderId="64" applyAlignment="1" pivotButton="0" quotePrefix="0" xfId="23">
      <alignment horizontal="left" vertical="top" wrapText="1"/>
    </xf>
    <xf numFmtId="0" fontId="0" fillId="33" borderId="0" applyAlignment="1" pivotButton="0" quotePrefix="0" xfId="23">
      <alignment horizontal="general" vertical="bottom"/>
    </xf>
    <xf numFmtId="1" fontId="22" fillId="0" borderId="64" applyAlignment="1" pivotButton="0" quotePrefix="0" xfId="0">
      <alignment horizontal="left" vertical="bottom"/>
    </xf>
    <xf numFmtId="0" fontId="22" fillId="0" borderId="64" applyAlignment="1" pivotButton="0" quotePrefix="0" xfId="0">
      <alignment horizontal="general" vertical="bottom"/>
    </xf>
    <xf numFmtId="0" fontId="22" fillId="0" borderId="64" applyAlignment="1" pivotButton="0" quotePrefix="0" xfId="23">
      <alignment horizontal="general" vertical="bottom"/>
    </xf>
    <xf numFmtId="0" fontId="22" fillId="0" borderId="64" applyAlignment="1" pivotButton="0" quotePrefix="0" xfId="23">
      <alignment horizontal="general" vertical="top" wrapText="1"/>
    </xf>
    <xf numFmtId="0" fontId="22" fillId="0" borderId="64" applyAlignment="1" pivotButton="0" quotePrefix="0" xfId="0">
      <alignment horizontal="left" vertical="bottom"/>
    </xf>
    <xf numFmtId="0" fontId="0" fillId="0" borderId="0" applyAlignment="1" pivotButton="0" quotePrefix="0" xfId="23">
      <alignment horizontal="general" vertical="top" wrapText="1"/>
    </xf>
    <xf numFmtId="0" fontId="0" fillId="30" borderId="0" applyAlignment="1" pivotButton="0" quotePrefix="0" xfId="0">
      <alignment horizontal="general" vertical="bottom"/>
    </xf>
    <xf numFmtId="1" fontId="52" fillId="3" borderId="64" applyAlignment="1" pivotButton="0" quotePrefix="0" xfId="0">
      <alignment horizontal="left" vertical="bottom"/>
    </xf>
    <xf numFmtId="0" fontId="0" fillId="3" borderId="64" applyAlignment="1" pivotButton="0" quotePrefix="0" xfId="23">
      <alignment horizontal="general" vertical="bottom"/>
    </xf>
    <xf numFmtId="0" fontId="52" fillId="3" borderId="64" applyAlignment="1" pivotButton="0" quotePrefix="0" xfId="0">
      <alignment horizontal="left" vertical="bottom"/>
    </xf>
    <xf numFmtId="0" fontId="0" fillId="3" borderId="0" applyAlignment="1" pivotButton="0" quotePrefix="0" xfId="23">
      <alignment horizontal="general" vertical="bottom"/>
    </xf>
    <xf numFmtId="0" fontId="26" fillId="0" borderId="64" applyAlignment="1" pivotButton="0" quotePrefix="0" xfId="23">
      <alignment horizontal="general" vertical="bottom"/>
    </xf>
    <xf numFmtId="0" fontId="0" fillId="33" borderId="64" applyAlignment="1" pivotButton="0" quotePrefix="0" xfId="23">
      <alignment horizontal="general" vertical="bottom"/>
    </xf>
    <xf numFmtId="0" fontId="0" fillId="0" borderId="64" applyAlignment="1" pivotButton="0" quotePrefix="0" xfId="0">
      <alignment horizontal="left" vertical="bottom"/>
    </xf>
    <xf numFmtId="0" fontId="0" fillId="0" borderId="0" applyAlignment="1" pivotButton="0" quotePrefix="0" xfId="24">
      <alignment horizontal="left" vertical="bottom"/>
    </xf>
    <xf numFmtId="0" fontId="0" fillId="0" borderId="0" applyAlignment="1" pivotButton="0" quotePrefix="0" xfId="24">
      <alignment horizontal="general" vertical="bottom"/>
    </xf>
    <xf numFmtId="0" fontId="0" fillId="29" borderId="0" applyAlignment="1" pivotButton="0" quotePrefix="0" xfId="24">
      <alignment horizontal="general" vertical="bottom"/>
    </xf>
    <xf numFmtId="0" fontId="0" fillId="0" borderId="0" applyAlignment="1" pivotButton="0" quotePrefix="0" xfId="24">
      <alignment horizontal="center" vertical="bottom"/>
    </xf>
    <xf numFmtId="0" fontId="48" fillId="24" borderId="64" applyAlignment="1" pivotButton="0" quotePrefix="0" xfId="24">
      <alignment horizontal="left" vertical="top" wrapText="1"/>
    </xf>
    <xf numFmtId="0" fontId="48" fillId="25" borderId="64" applyAlignment="1" pivotButton="0" quotePrefix="0" xfId="24">
      <alignment horizontal="left" vertical="top" wrapText="1"/>
    </xf>
    <xf numFmtId="0" fontId="49" fillId="26" borderId="64" applyAlignment="1" pivotButton="0" quotePrefix="0" xfId="0">
      <alignment horizontal="center" vertical="bottom"/>
    </xf>
    <xf numFmtId="0" fontId="50" fillId="23" borderId="64" applyAlignment="1" pivotButton="0" quotePrefix="0" xfId="0">
      <alignment horizontal="center" vertical="bottom"/>
    </xf>
    <xf numFmtId="0" fontId="50" fillId="23" borderId="29" applyAlignment="1" pivotButton="0" quotePrefix="0" xfId="0">
      <alignment horizontal="center" vertical="bottom" wrapText="1"/>
    </xf>
    <xf numFmtId="0" fontId="50" fillId="23" borderId="64" applyAlignment="1" pivotButton="0" quotePrefix="0" xfId="0">
      <alignment horizontal="center" vertical="bottom" wrapText="1"/>
    </xf>
    <xf numFmtId="0" fontId="50" fillId="23" borderId="63" applyAlignment="1" pivotButton="0" quotePrefix="0" xfId="0">
      <alignment horizontal="center" vertical="bottom"/>
    </xf>
    <xf numFmtId="0" fontId="50" fillId="23" borderId="0" applyAlignment="1" pivotButton="0" quotePrefix="0" xfId="0">
      <alignment horizontal="center" vertical="bottom"/>
    </xf>
    <xf numFmtId="0" fontId="50" fillId="23" borderId="0" applyAlignment="1" pivotButton="0" quotePrefix="0" xfId="0">
      <alignment horizontal="center" vertical="bottom" wrapText="1"/>
    </xf>
    <xf numFmtId="0" fontId="0" fillId="0" borderId="0" applyAlignment="1" pivotButton="0" quotePrefix="0" xfId="24">
      <alignment horizontal="left" vertical="top" wrapText="1"/>
    </xf>
    <xf numFmtId="0" fontId="0" fillId="29" borderId="64" applyAlignment="1" pivotButton="0" quotePrefix="0" xfId="0">
      <alignment horizontal="general" vertical="bottom"/>
    </xf>
    <xf numFmtId="0" fontId="0" fillId="0" borderId="64" applyAlignment="1" pivotButton="0" quotePrefix="0" xfId="24">
      <alignment horizontal="general" vertical="bottom"/>
    </xf>
    <xf numFmtId="0" fontId="52" fillId="0" borderId="29" applyAlignment="1" pivotButton="0" quotePrefix="0" xfId="0">
      <alignment horizontal="left" vertical="bottom"/>
    </xf>
    <xf numFmtId="0" fontId="0" fillId="0" borderId="64" applyAlignment="1" pivotButton="0" quotePrefix="0" xfId="24">
      <alignment horizontal="center" vertical="center"/>
    </xf>
    <xf numFmtId="0" fontId="0" fillId="0" borderId="64" applyAlignment="1" pivotButton="0" quotePrefix="0" xfId="0">
      <alignment horizontal="center" vertical="bottom"/>
    </xf>
    <xf numFmtId="0" fontId="0" fillId="0" borderId="64" applyAlignment="1" pivotButton="0" quotePrefix="0" xfId="24">
      <alignment horizontal="center" vertical="bottom"/>
    </xf>
    <xf numFmtId="175" fontId="0" fillId="0" borderId="64" applyAlignment="1" pivotButton="0" quotePrefix="0" xfId="15">
      <alignment horizontal="center" vertical="bottom"/>
    </xf>
    <xf numFmtId="9" fontId="0" fillId="0" borderId="64" applyAlignment="1" pivotButton="0" quotePrefix="0" xfId="0">
      <alignment horizontal="center" vertical="bottom"/>
    </xf>
    <xf numFmtId="9" fontId="0" fillId="0" borderId="64" applyAlignment="1" pivotButton="0" quotePrefix="0" xfId="24">
      <alignment horizontal="center" vertical="bottom"/>
    </xf>
    <xf numFmtId="176" fontId="0" fillId="0" borderId="64" applyAlignment="1" pivotButton="0" quotePrefix="0" xfId="24">
      <alignment horizontal="general" vertical="bottom"/>
    </xf>
    <xf numFmtId="177" fontId="0" fillId="0" borderId="64" applyAlignment="1" pivotButton="0" quotePrefix="0" xfId="24">
      <alignment horizontal="general" vertical="bottom"/>
    </xf>
    <xf numFmtId="179" fontId="0" fillId="0" borderId="64" applyAlignment="1" pivotButton="0" quotePrefix="0" xfId="24">
      <alignment horizontal="center" vertical="bottom"/>
    </xf>
    <xf numFmtId="179" fontId="0" fillId="0" borderId="64" applyAlignment="1" pivotButton="0" quotePrefix="0" xfId="24">
      <alignment horizontal="general" vertical="bottom"/>
    </xf>
    <xf numFmtId="180" fontId="0" fillId="0" borderId="64" applyAlignment="1" pivotButton="0" quotePrefix="0" xfId="24">
      <alignment horizontal="center" vertical="bottom"/>
    </xf>
    <xf numFmtId="175" fontId="0" fillId="0" borderId="64" applyAlignment="1" pivotButton="0" quotePrefix="0" xfId="15">
      <alignment horizontal="general" vertical="bottom"/>
    </xf>
    <xf numFmtId="175" fontId="0" fillId="0" borderId="29" applyAlignment="1" pivotButton="0" quotePrefix="0" xfId="15">
      <alignment horizontal="center" vertical="bottom"/>
    </xf>
    <xf numFmtId="0" fontId="0" fillId="0" borderId="29" applyAlignment="1" pivotButton="0" quotePrefix="0" xfId="24">
      <alignment horizontal="center" vertical="bottom"/>
    </xf>
    <xf numFmtId="0" fontId="0" fillId="0" borderId="64" applyAlignment="1" pivotButton="0" quotePrefix="0" xfId="24">
      <alignment horizontal="general" vertical="top" wrapText="1"/>
    </xf>
    <xf numFmtId="0" fontId="0" fillId="29" borderId="64" applyAlignment="1" pivotButton="0" quotePrefix="0" xfId="24">
      <alignment horizontal="general" vertical="bottom"/>
    </xf>
    <xf numFmtId="1" fontId="52" fillId="0" borderId="0" applyAlignment="1" pivotButton="0" quotePrefix="0" xfId="0">
      <alignment horizontal="left" vertical="bottom"/>
    </xf>
    <xf numFmtId="0" fontId="0" fillId="3" borderId="64" applyAlignment="1" pivotButton="0" quotePrefix="0" xfId="24">
      <alignment horizontal="general" vertical="bottom"/>
    </xf>
    <xf numFmtId="0" fontId="22" fillId="0" borderId="64" applyAlignment="1" pivotButton="0" quotePrefix="0" xfId="24">
      <alignment horizontal="center" vertical="bottom"/>
    </xf>
    <xf numFmtId="0" fontId="26" fillId="0" borderId="0" applyAlignment="1" pivotButton="0" quotePrefix="0" xfId="24">
      <alignment horizontal="general" vertical="bottom"/>
    </xf>
    <xf numFmtId="0" fontId="0" fillId="0" borderId="0" applyAlignment="1" pivotButton="0" quotePrefix="0" xfId="24">
      <alignment horizontal="center" vertical="center"/>
    </xf>
    <xf numFmtId="0" fontId="0" fillId="33" borderId="64" applyAlignment="1" pivotButton="0" quotePrefix="0" xfId="24">
      <alignment horizontal="general" vertical="bottom"/>
    </xf>
    <xf numFmtId="0" fontId="0" fillId="0" borderId="0" applyAlignment="1" pivotButton="0" quotePrefix="0" xfId="0">
      <alignment horizontal="center" vertical="bottom"/>
    </xf>
    <xf numFmtId="0" fontId="22" fillId="0" borderId="0" applyAlignment="1" pivotButton="0" quotePrefix="0" xfId="24">
      <alignment horizontal="general" vertical="bottom"/>
    </xf>
    <xf numFmtId="10" fontId="0" fillId="0" borderId="64" applyAlignment="1" pivotButton="0" quotePrefix="0" xfId="24">
      <alignment horizontal="center" vertical="bottom"/>
    </xf>
    <xf numFmtId="180" fontId="0" fillId="0" borderId="0" applyAlignment="1" pivotButton="0" quotePrefix="0" xfId="24">
      <alignment horizontal="center" vertical="bottom"/>
    </xf>
    <xf numFmtId="0" fontId="0" fillId="34" borderId="64" applyAlignment="1" pivotButton="0" quotePrefix="0" xfId="24">
      <alignment horizontal="center" vertical="bottom"/>
    </xf>
    <xf numFmtId="0" fontId="0" fillId="0" borderId="63" applyAlignment="1" pivotButton="0" quotePrefix="0" xfId="24">
      <alignment horizontal="center" vertical="center"/>
    </xf>
    <xf numFmtId="0" fontId="0" fillId="0" borderId="63" applyAlignment="1" pivotButton="0" quotePrefix="0" xfId="24">
      <alignment horizontal="center" vertical="bottom"/>
    </xf>
    <xf numFmtId="0" fontId="0" fillId="0" borderId="65" applyAlignment="1" pivotButton="0" quotePrefix="0" xfId="24">
      <alignment horizontal="center" vertical="center"/>
    </xf>
    <xf numFmtId="0" fontId="0" fillId="0" borderId="65" applyAlignment="1" pivotButton="0" quotePrefix="0" xfId="24">
      <alignment horizontal="center" vertical="bottom"/>
    </xf>
    <xf numFmtId="180" fontId="0" fillId="0" borderId="65" applyAlignment="1" pivotButton="0" quotePrefix="0" xfId="24">
      <alignment horizontal="center" vertical="bottom"/>
    </xf>
    <xf numFmtId="0" fontId="0" fillId="34" borderId="65" applyAlignment="1" pivotButton="0" quotePrefix="0" xfId="24">
      <alignment horizontal="center" vertical="bottom"/>
    </xf>
    <xf numFmtId="1" fontId="52" fillId="0" borderId="63" applyAlignment="1" pivotButton="0" quotePrefix="0" xfId="0">
      <alignment horizontal="left" vertical="bottom"/>
    </xf>
    <xf numFmtId="0" fontId="0" fillId="0" borderId="63" applyAlignment="1" pivotButton="0" quotePrefix="0" xfId="0">
      <alignment horizontal="general" vertical="bottom"/>
    </xf>
    <xf numFmtId="0" fontId="0" fillId="29" borderId="63" applyAlignment="1" pivotButton="0" quotePrefix="0" xfId="0">
      <alignment horizontal="general" vertical="bottom"/>
    </xf>
    <xf numFmtId="0" fontId="0" fillId="0" borderId="63" applyAlignment="1" pivotButton="0" quotePrefix="0" xfId="24">
      <alignment horizontal="general" vertical="bottom"/>
    </xf>
    <xf numFmtId="0" fontId="52" fillId="0" borderId="59" applyAlignment="1" pivotButton="0" quotePrefix="0" xfId="0">
      <alignment horizontal="left" vertical="bottom"/>
    </xf>
    <xf numFmtId="9" fontId="0" fillId="0" borderId="0" applyAlignment="1" pivotButton="0" quotePrefix="0" xfId="24">
      <alignment horizontal="center" vertical="bottom"/>
    </xf>
    <xf numFmtId="179" fontId="0" fillId="0" borderId="0" applyAlignment="1" pivotButton="0" quotePrefix="0" xfId="24">
      <alignment horizontal="center" vertical="bottom"/>
    </xf>
    <xf numFmtId="179" fontId="0" fillId="0" borderId="0" applyAlignment="1" pivotButton="0" quotePrefix="0" xfId="24">
      <alignment horizontal="general" vertical="bottom"/>
    </xf>
    <xf numFmtId="177" fontId="0" fillId="0" borderId="0" applyAlignment="1" pivotButton="0" quotePrefix="0" xfId="24">
      <alignment horizontal="general" vertical="bottom"/>
    </xf>
    <xf numFmtId="9" fontId="0" fillId="0" borderId="0" applyAlignment="1" pivotButton="0" quotePrefix="0" xfId="0">
      <alignment horizontal="center" vertical="bottom"/>
    </xf>
    <xf numFmtId="176" fontId="0" fillId="0" borderId="0" applyAlignment="1" pivotButton="0" quotePrefix="0" xfId="24">
      <alignment horizontal="general" vertical="bottom"/>
    </xf>
    <xf numFmtId="0" fontId="0" fillId="0" borderId="64" applyAlignment="1" pivotButton="0" quotePrefix="0" xfId="24">
      <alignment horizontal="left" vertical="top" wrapText="1"/>
    </xf>
    <xf numFmtId="1" fontId="52" fillId="0" borderId="65" applyAlignment="1" pivotButton="0" quotePrefix="0" xfId="0">
      <alignment horizontal="left" vertical="bottom"/>
    </xf>
    <xf numFmtId="0" fontId="0" fillId="0" borderId="65" applyAlignment="1" pivotButton="0" quotePrefix="0" xfId="24">
      <alignment horizontal="left" vertical="top" wrapText="1"/>
    </xf>
    <xf numFmtId="0" fontId="0" fillId="29" borderId="65" applyAlignment="1" pivotButton="0" quotePrefix="0" xfId="24">
      <alignment horizontal="general" vertical="bottom"/>
    </xf>
    <xf numFmtId="0" fontId="0" fillId="0" borderId="65" applyAlignment="1" pivotButton="0" quotePrefix="0" xfId="24">
      <alignment horizontal="general" vertical="bottom"/>
    </xf>
    <xf numFmtId="0" fontId="0" fillId="0" borderId="65" applyAlignment="1" pivotButton="0" quotePrefix="0" xfId="0">
      <alignment horizontal="general" vertical="bottom"/>
    </xf>
    <xf numFmtId="0" fontId="52" fillId="0" borderId="60" applyAlignment="1" pivotButton="0" quotePrefix="0" xfId="0">
      <alignment horizontal="left" vertical="bottom"/>
    </xf>
    <xf numFmtId="0" fontId="0" fillId="0" borderId="66" applyAlignment="1" pivotButton="0" quotePrefix="0" xfId="24">
      <alignment horizontal="center" vertical="center"/>
    </xf>
    <xf numFmtId="0" fontId="0" fillId="0" borderId="66" applyAlignment="1" pivotButton="0" quotePrefix="0" xfId="24">
      <alignment horizontal="center" vertical="bottom"/>
    </xf>
    <xf numFmtId="0" fontId="0" fillId="0" borderId="59" applyAlignment="1" pivotButton="0" quotePrefix="0" xfId="24">
      <alignment horizontal="center" vertical="bottom"/>
    </xf>
    <xf numFmtId="175" fontId="0" fillId="0" borderId="59" applyAlignment="1" pivotButton="0" quotePrefix="0" xfId="15">
      <alignment horizontal="center" vertical="bottom"/>
    </xf>
    <xf numFmtId="9" fontId="0" fillId="0" borderId="63" applyAlignment="1" pivotButton="0" quotePrefix="0" xfId="24">
      <alignment horizontal="center" vertical="bottom"/>
    </xf>
    <xf numFmtId="179" fontId="0" fillId="0" borderId="63" applyAlignment="1" pivotButton="0" quotePrefix="0" xfId="24">
      <alignment horizontal="center" vertical="bottom"/>
    </xf>
    <xf numFmtId="179" fontId="0" fillId="0" borderId="63" applyAlignment="1" pivotButton="0" quotePrefix="0" xfId="24">
      <alignment horizontal="general" vertical="bottom"/>
    </xf>
    <xf numFmtId="177" fontId="0" fillId="0" borderId="63" applyAlignment="1" pivotButton="0" quotePrefix="0" xfId="24">
      <alignment horizontal="general" vertical="bottom"/>
    </xf>
    <xf numFmtId="0" fontId="52" fillId="0" borderId="62" applyAlignment="1" pivotButton="0" quotePrefix="0" xfId="0">
      <alignment horizontal="left" vertical="bottom"/>
    </xf>
    <xf numFmtId="0" fontId="0" fillId="0" borderId="62" applyAlignment="1" pivotButton="0" quotePrefix="0" xfId="24">
      <alignment horizontal="center" vertical="bottom"/>
    </xf>
    <xf numFmtId="175" fontId="0" fillId="0" borderId="62" applyAlignment="1" pivotButton="0" quotePrefix="0" xfId="15">
      <alignment horizontal="center" vertical="bottom"/>
    </xf>
    <xf numFmtId="9" fontId="0" fillId="0" borderId="65" applyAlignment="1" pivotButton="0" quotePrefix="0" xfId="24">
      <alignment horizontal="center" vertical="bottom"/>
    </xf>
    <xf numFmtId="179" fontId="0" fillId="0" borderId="65" applyAlignment="1" pivotButton="0" quotePrefix="0" xfId="24">
      <alignment horizontal="center" vertical="bottom"/>
    </xf>
    <xf numFmtId="179" fontId="0" fillId="0" borderId="65" applyAlignment="1" pivotButton="0" quotePrefix="0" xfId="24">
      <alignment horizontal="general" vertical="bottom"/>
    </xf>
    <xf numFmtId="177" fontId="0" fillId="0" borderId="65" applyAlignment="1" pivotButton="0" quotePrefix="0" xfId="24">
      <alignment horizontal="general" vertical="bottom"/>
    </xf>
    <xf numFmtId="0" fontId="0" fillId="0" borderId="29" applyAlignment="1" pivotButton="0" quotePrefix="0" xfId="0">
      <alignment horizontal="center" vertical="bottom"/>
    </xf>
    <xf numFmtId="181" fontId="0" fillId="0" borderId="64" applyAlignment="1" pivotButton="0" quotePrefix="0" xfId="24">
      <alignment horizontal="general" vertical="bottom"/>
    </xf>
    <xf numFmtId="1" fontId="0" fillId="0" borderId="64" applyAlignment="1" pivotButton="0" quotePrefix="0" xfId="0">
      <alignment horizontal="left" vertical="bottom"/>
    </xf>
    <xf numFmtId="0" fontId="0" fillId="0" borderId="64" applyAlignment="1" pivotButton="0" quotePrefix="0" xfId="0">
      <alignment horizontal="center" vertical="center"/>
    </xf>
    <xf numFmtId="179" fontId="0" fillId="0" borderId="64" applyAlignment="1" pivotButton="0" quotePrefix="0" xfId="19">
      <alignment horizontal="center" vertical="bottom"/>
    </xf>
    <xf numFmtId="179" fontId="0" fillId="0" borderId="64" applyAlignment="1" pivotButton="0" quotePrefix="0" xfId="19">
      <alignment horizontal="general" vertical="bottom"/>
    </xf>
    <xf numFmtId="0" fontId="0" fillId="0" borderId="0" applyAlignment="1" pivotButton="0" quotePrefix="0" xfId="24">
      <alignment horizontal="general" vertical="top" wrapText="1"/>
    </xf>
    <xf numFmtId="0" fontId="26" fillId="11" borderId="64" applyAlignment="1" pivotButton="0" quotePrefix="0" xfId="24">
      <alignment horizontal="center" vertical="center"/>
    </xf>
    <xf numFmtId="0" fontId="22" fillId="29" borderId="64" applyAlignment="1" pivotButton="0" quotePrefix="0" xfId="0">
      <alignment horizontal="general" vertical="bottom"/>
    </xf>
    <xf numFmtId="0" fontId="22" fillId="0" borderId="64" applyAlignment="1" pivotButton="0" quotePrefix="0" xfId="24">
      <alignment horizontal="general" vertical="top" wrapText="1"/>
    </xf>
    <xf numFmtId="0" fontId="22" fillId="0" borderId="64" applyAlignment="1" pivotButton="0" quotePrefix="0" xfId="24">
      <alignment horizontal="general" vertical="bottom"/>
    </xf>
    <xf numFmtId="0" fontId="0" fillId="29" borderId="64" applyAlignment="1" pivotButton="0" quotePrefix="0" xfId="24">
      <alignment horizontal="general" vertical="top" wrapText="1"/>
    </xf>
    <xf numFmtId="0" fontId="52" fillId="3" borderId="29" applyAlignment="1" pivotButton="0" quotePrefix="0" xfId="0">
      <alignment horizontal="left" vertical="bottom"/>
    </xf>
    <xf numFmtId="0" fontId="0" fillId="3" borderId="29" applyAlignment="1" pivotButton="0" quotePrefix="0" xfId="24">
      <alignment horizontal="center" vertical="bottom"/>
    </xf>
    <xf numFmtId="175" fontId="0" fillId="3" borderId="29" applyAlignment="1" pivotButton="0" quotePrefix="0" xfId="15">
      <alignment horizontal="center" vertical="bottom"/>
    </xf>
    <xf numFmtId="0" fontId="22" fillId="29" borderId="64" applyAlignment="1" pivotButton="0" quotePrefix="0" xfId="24">
      <alignment horizontal="general" vertical="top" wrapText="1"/>
    </xf>
    <xf numFmtId="0" fontId="22" fillId="0" borderId="29" applyAlignment="1" pivotButton="0" quotePrefix="0" xfId="0">
      <alignment horizontal="left" vertical="bottom"/>
    </xf>
    <xf numFmtId="0" fontId="22" fillId="0" borderId="29" applyAlignment="1" pivotButton="0" quotePrefix="0" xfId="24">
      <alignment horizontal="center" vertical="bottom"/>
    </xf>
    <xf numFmtId="175" fontId="22" fillId="0" borderId="29" applyAlignment="1" pivotButton="0" quotePrefix="0" xfId="15">
      <alignment horizontal="center" vertical="bottom"/>
    </xf>
    <xf numFmtId="9" fontId="22" fillId="0" borderId="64" applyAlignment="1" pivotButton="0" quotePrefix="0" xfId="24">
      <alignment horizontal="center" vertical="bottom"/>
    </xf>
    <xf numFmtId="179" fontId="22" fillId="0" borderId="64" applyAlignment="1" pivotButton="0" quotePrefix="0" xfId="24">
      <alignment horizontal="center" vertical="bottom"/>
    </xf>
    <xf numFmtId="179" fontId="22" fillId="0" borderId="64" applyAlignment="1" pivotButton="0" quotePrefix="0" xfId="24">
      <alignment horizontal="general" vertical="bottom"/>
    </xf>
    <xf numFmtId="177" fontId="22" fillId="0" borderId="64" applyAlignment="1" pivotButton="0" quotePrefix="0" xfId="24">
      <alignment horizontal="general" vertical="bottom"/>
    </xf>
    <xf numFmtId="0" fontId="26" fillId="0" borderId="64" applyAlignment="1" pivotButton="0" quotePrefix="0" xfId="24">
      <alignment horizontal="general" vertical="bottom"/>
    </xf>
    <xf numFmtId="175" fontId="0" fillId="0" borderId="0" applyAlignment="1" pivotButton="0" quotePrefix="0" xfId="15">
      <alignment horizontal="center" vertical="bottom"/>
    </xf>
    <xf numFmtId="0" fontId="0" fillId="29" borderId="0" applyAlignment="1" pivotButton="0" quotePrefix="0" xfId="0">
      <alignment horizontal="general" vertical="bottom"/>
    </xf>
    <xf numFmtId="0" fontId="52" fillId="0" borderId="0" applyAlignment="1" pivotButton="0" quotePrefix="0" xfId="0">
      <alignment horizontal="left" vertical="bottom"/>
    </xf>
    <xf numFmtId="175" fontId="0" fillId="3" borderId="0" applyAlignment="1" pivotButton="0" quotePrefix="0" xfId="24">
      <alignment horizontal="general" vertical="bottom"/>
    </xf>
    <xf numFmtId="0" fontId="0" fillId="3" borderId="0" applyAlignment="1" pivotButton="0" quotePrefix="0" xfId="24">
      <alignment horizontal="general" vertical="bottom"/>
    </xf>
    <xf numFmtId="0" fontId="0" fillId="34" borderId="0" applyAlignment="1" pivotButton="0" quotePrefix="0" xfId="24">
      <alignment horizontal="center" vertical="bottom"/>
    </xf>
    <xf numFmtId="175" fontId="0" fillId="0" borderId="0" applyAlignment="1" pivotButton="0" quotePrefix="0" xfId="24">
      <alignment horizontal="center" vertical="bottom"/>
    </xf>
    <xf numFmtId="9" fontId="0" fillId="0" borderId="0" applyAlignment="1" pivotButton="0" quotePrefix="0" xfId="19">
      <alignment horizontal="general" vertical="bottom"/>
    </xf>
    <xf numFmtId="0" fontId="48" fillId="24" borderId="64" applyAlignment="1" pivotButton="0" quotePrefix="0" xfId="25">
      <alignment horizontal="left" vertical="top" wrapText="1"/>
    </xf>
    <xf numFmtId="0" fontId="48" fillId="25" borderId="64" applyAlignment="1" pivotButton="0" quotePrefix="0" xfId="25">
      <alignment horizontal="left" vertical="top" wrapText="1"/>
    </xf>
    <xf numFmtId="0" fontId="49" fillId="26" borderId="0" applyAlignment="1" pivotButton="0" quotePrefix="0" xfId="0">
      <alignment horizontal="general" vertical="bottom" wrapText="1"/>
    </xf>
    <xf numFmtId="0" fontId="49" fillId="26" borderId="64" applyAlignment="1" pivotButton="0" quotePrefix="0" xfId="0">
      <alignment horizontal="center" vertical="bottom" wrapText="1"/>
    </xf>
    <xf numFmtId="0" fontId="50" fillId="23" borderId="63" applyAlignment="1" pivotButton="0" quotePrefix="0" xfId="0">
      <alignment horizontal="center" vertical="bottom" wrapText="1"/>
    </xf>
    <xf numFmtId="0" fontId="0" fillId="0" borderId="0" applyAlignment="1" pivotButton="0" quotePrefix="0" xfId="25">
      <alignment horizontal="left" vertical="top" wrapText="1"/>
    </xf>
    <xf numFmtId="1" fontId="52" fillId="0" borderId="64" applyAlignment="1" pivotButton="0" quotePrefix="0" xfId="0">
      <alignment horizontal="left" vertical="bottom" wrapText="1"/>
    </xf>
    <xf numFmtId="0" fontId="0" fillId="0" borderId="64" applyAlignment="1" pivotButton="0" quotePrefix="0" xfId="0">
      <alignment horizontal="general" vertical="bottom" wrapText="1"/>
    </xf>
    <xf numFmtId="0" fontId="0" fillId="29" borderId="64" applyAlignment="1" pivotButton="0" quotePrefix="0" xfId="0">
      <alignment horizontal="general" vertical="bottom" wrapText="1"/>
    </xf>
    <xf numFmtId="0" fontId="0" fillId="0" borderId="64" applyAlignment="1" pivotButton="0" quotePrefix="0" xfId="25">
      <alignment horizontal="general" vertical="bottom" wrapText="1"/>
    </xf>
    <xf numFmtId="0" fontId="52" fillId="0" borderId="29" applyAlignment="1" pivotButton="0" quotePrefix="0" xfId="0">
      <alignment horizontal="left" vertical="bottom" wrapText="1"/>
    </xf>
    <xf numFmtId="0" fontId="0" fillId="0" borderId="64" applyAlignment="1" pivotButton="0" quotePrefix="0" xfId="25">
      <alignment horizontal="center" vertical="center" wrapText="1"/>
    </xf>
    <xf numFmtId="0" fontId="0" fillId="0" borderId="64" applyAlignment="1" pivotButton="0" quotePrefix="0" xfId="0">
      <alignment horizontal="center" vertical="bottom" wrapText="1"/>
    </xf>
    <xf numFmtId="0" fontId="0" fillId="0" borderId="64" applyAlignment="1" pivotButton="0" quotePrefix="0" xfId="25">
      <alignment horizontal="center" vertical="bottom" wrapText="1"/>
    </xf>
    <xf numFmtId="0" fontId="0" fillId="0" borderId="29" applyAlignment="1" pivotButton="0" quotePrefix="0" xfId="25">
      <alignment horizontal="center" vertical="bottom" wrapText="1"/>
    </xf>
    <xf numFmtId="175" fontId="0" fillId="0" borderId="29" applyAlignment="1" pivotButton="0" quotePrefix="0" xfId="20">
      <alignment horizontal="center" vertical="bottom" wrapText="1"/>
    </xf>
    <xf numFmtId="9" fontId="0" fillId="0" borderId="64" applyAlignment="1" pivotButton="0" quotePrefix="0" xfId="0">
      <alignment horizontal="center" vertical="bottom" wrapText="1"/>
    </xf>
    <xf numFmtId="9" fontId="0" fillId="0" borderId="64" applyAlignment="1" pivotButton="0" quotePrefix="0" xfId="25">
      <alignment horizontal="center" vertical="bottom" wrapText="1"/>
    </xf>
    <xf numFmtId="176" fontId="0" fillId="0" borderId="64" applyAlignment="1" pivotButton="0" quotePrefix="0" xfId="25">
      <alignment horizontal="general" vertical="bottom" wrapText="1"/>
    </xf>
    <xf numFmtId="177" fontId="0" fillId="0" borderId="64" applyAlignment="1" pivotButton="0" quotePrefix="0" xfId="25">
      <alignment horizontal="general" vertical="bottom" wrapText="1"/>
    </xf>
    <xf numFmtId="179" fontId="0" fillId="0" borderId="64" applyAlignment="1" pivotButton="0" quotePrefix="0" xfId="25">
      <alignment horizontal="center" vertical="bottom" wrapText="1"/>
    </xf>
    <xf numFmtId="179" fontId="0" fillId="0" borderId="64" applyAlignment="1" pivotButton="0" quotePrefix="0" xfId="25">
      <alignment horizontal="general" vertical="bottom" wrapText="1"/>
    </xf>
    <xf numFmtId="0" fontId="0" fillId="0" borderId="0" applyAlignment="1" pivotButton="0" quotePrefix="0" xfId="25">
      <alignment horizontal="general" vertical="bottom" wrapText="1"/>
    </xf>
    <xf numFmtId="175" fontId="0" fillId="0" borderId="64" applyAlignment="1" pivotButton="0" quotePrefix="0" xfId="20">
      <alignment horizontal="center" vertical="bottom" wrapText="1"/>
    </xf>
    <xf numFmtId="9" fontId="0" fillId="0" borderId="0" applyAlignment="1" pivotButton="0" quotePrefix="0" xfId="25">
      <alignment horizontal="center" vertical="bottom" wrapText="1"/>
    </xf>
    <xf numFmtId="179" fontId="0" fillId="0" borderId="0" applyAlignment="1" pivotButton="0" quotePrefix="0" xfId="25">
      <alignment horizontal="center" vertical="bottom" wrapText="1"/>
    </xf>
    <xf numFmtId="179" fontId="0" fillId="0" borderId="0" applyAlignment="1" pivotButton="0" quotePrefix="0" xfId="25">
      <alignment horizontal="general" vertical="bottom" wrapText="1"/>
    </xf>
    <xf numFmtId="177" fontId="0" fillId="0" borderId="0" applyAlignment="1" pivotButton="0" quotePrefix="0" xfId="25">
      <alignment horizontal="general" vertical="bottom" wrapText="1"/>
    </xf>
    <xf numFmtId="9" fontId="0" fillId="0" borderId="0" applyAlignment="1" pivotButton="0" quotePrefix="0" xfId="0">
      <alignment horizontal="center" vertical="bottom" wrapText="1"/>
    </xf>
    <xf numFmtId="0" fontId="0" fillId="0" borderId="0" applyAlignment="1" pivotButton="0" quotePrefix="0" xfId="0">
      <alignment horizontal="center" vertical="bottom" wrapText="1"/>
    </xf>
    <xf numFmtId="176" fontId="0" fillId="0" borderId="0" applyAlignment="1" pivotButton="0" quotePrefix="0" xfId="25">
      <alignment horizontal="general" vertical="bottom" wrapText="1"/>
    </xf>
    <xf numFmtId="179" fontId="0" fillId="0" borderId="64" applyAlignment="1" pivotButton="0" quotePrefix="0" xfId="29">
      <alignment horizontal="center" vertical="bottom" wrapText="1"/>
    </xf>
    <xf numFmtId="179" fontId="0" fillId="0" borderId="64" applyAlignment="1" pivotButton="0" quotePrefix="0" xfId="29">
      <alignment horizontal="general" vertical="bottom" wrapText="1"/>
    </xf>
    <xf numFmtId="175" fontId="0" fillId="0" borderId="64" applyAlignment="1" pivotButton="0" quotePrefix="0" xfId="20">
      <alignment horizontal="general" vertical="bottom" wrapText="1"/>
    </xf>
    <xf numFmtId="180" fontId="0" fillId="0" borderId="64" applyAlignment="1" pivotButton="0" quotePrefix="0" xfId="25">
      <alignment horizontal="center" vertical="bottom" wrapText="1"/>
    </xf>
    <xf numFmtId="10" fontId="0" fillId="0" borderId="64" applyAlignment="1" pivotButton="0" quotePrefix="0" xfId="25">
      <alignment horizontal="center" vertical="bottom" wrapText="1"/>
    </xf>
    <xf numFmtId="0" fontId="0" fillId="0" borderId="64" applyAlignment="1" pivotButton="0" quotePrefix="0" xfId="0">
      <alignment horizontal="left" vertical="bottom" wrapText="1"/>
    </xf>
    <xf numFmtId="0" fontId="0" fillId="3" borderId="64" applyAlignment="1" pivotButton="0" quotePrefix="0" xfId="25">
      <alignment horizontal="general" vertical="bottom" wrapText="1"/>
    </xf>
    <xf numFmtId="0" fontId="0" fillId="29" borderId="64" applyAlignment="1" pivotButton="0" quotePrefix="0" xfId="25">
      <alignment horizontal="general" vertical="bottom" wrapText="1"/>
    </xf>
    <xf numFmtId="0" fontId="0" fillId="0" borderId="64" applyAlignment="1" pivotButton="0" quotePrefix="0" xfId="25">
      <alignment horizontal="general" vertical="top" wrapText="1"/>
    </xf>
    <xf numFmtId="1" fontId="0" fillId="0" borderId="64" applyAlignment="1" pivotButton="0" quotePrefix="0" xfId="0">
      <alignment horizontal="left" vertical="bottom" wrapText="1"/>
    </xf>
    <xf numFmtId="0" fontId="0" fillId="0" borderId="64" applyAlignment="1" pivotButton="0" quotePrefix="0" xfId="0">
      <alignment horizontal="center" vertical="center" wrapText="1"/>
    </xf>
    <xf numFmtId="0" fontId="0" fillId="0" borderId="29" applyAlignment="1" pivotButton="0" quotePrefix="0" xfId="0">
      <alignment horizontal="center" vertical="bottom" wrapText="1"/>
    </xf>
    <xf numFmtId="0" fontId="0" fillId="0" borderId="0" applyAlignment="1" pivotButton="0" quotePrefix="0" xfId="25">
      <alignment horizontal="general" vertical="top" wrapText="1"/>
    </xf>
    <xf numFmtId="0" fontId="26" fillId="11" borderId="64" applyAlignment="1" pivotButton="0" quotePrefix="0" xfId="25">
      <alignment horizontal="center" vertical="center" wrapText="1"/>
    </xf>
    <xf numFmtId="0" fontId="22" fillId="0" borderId="64" applyAlignment="1" pivotButton="0" quotePrefix="0" xfId="0">
      <alignment horizontal="general" vertical="bottom" wrapText="1"/>
    </xf>
    <xf numFmtId="0" fontId="22" fillId="29" borderId="64" applyAlignment="1" pivotButton="0" quotePrefix="0" xfId="0">
      <alignment horizontal="general" vertical="bottom" wrapText="1"/>
    </xf>
    <xf numFmtId="0" fontId="22" fillId="0" borderId="0" applyAlignment="1" pivotButton="0" quotePrefix="0" xfId="25">
      <alignment horizontal="general" vertical="bottom" wrapText="1"/>
    </xf>
    <xf numFmtId="0" fontId="22" fillId="0" borderId="64" applyAlignment="1" pivotButton="0" quotePrefix="0" xfId="25">
      <alignment horizontal="general" vertical="top" wrapText="1"/>
    </xf>
    <xf numFmtId="0" fontId="22" fillId="0" borderId="64" applyAlignment="1" pivotButton="0" quotePrefix="0" xfId="25">
      <alignment horizontal="general" vertical="bottom" wrapText="1"/>
    </xf>
    <xf numFmtId="0" fontId="72" fillId="0" borderId="0" applyAlignment="1" pivotButton="0" quotePrefix="0" xfId="0">
      <alignment horizontal="general" vertical="bottom"/>
    </xf>
    <xf numFmtId="0" fontId="0" fillId="35" borderId="0" applyAlignment="1" pivotButton="0" quotePrefix="0" xfId="0">
      <alignment horizontal="general" vertical="bottom"/>
    </xf>
    <xf numFmtId="0" fontId="5" fillId="13" borderId="0" applyAlignment="1" pivotButton="0" quotePrefix="0" xfId="0">
      <alignment horizontal="center" vertical="center" wrapText="1"/>
    </xf>
    <xf numFmtId="9" fontId="0" fillId="0" borderId="0" applyAlignment="1" pivotButton="0" quotePrefix="0" xfId="0">
      <alignment horizontal="general" vertical="bottom"/>
    </xf>
    <xf numFmtId="165" fontId="0" fillId="0" borderId="0" applyAlignment="1" pivotButton="0" quotePrefix="0" xfId="0">
      <alignment horizontal="general" vertical="bottom"/>
    </xf>
    <xf numFmtId="0" fontId="6" fillId="14" borderId="1" applyAlignment="1" pivotButton="0" quotePrefix="0" xfId="0">
      <alignment horizontal="right" vertical="center"/>
    </xf>
    <xf numFmtId="0" fontId="6" fillId="14" borderId="1" applyAlignment="1" pivotButton="0" quotePrefix="0" xfId="0">
      <alignment horizontal="left" vertical="center"/>
    </xf>
    <xf numFmtId="0" fontId="6" fillId="14"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0" applyAlignment="1" pivotButton="0" quotePrefix="0" xfId="0">
      <alignment horizontal="left" vertical="center"/>
    </xf>
    <xf numFmtId="0" fontId="5" fillId="2" borderId="0" applyAlignment="1" pivotButton="0" quotePrefix="0" xfId="0">
      <alignment horizontal="general" vertical="bottom"/>
    </xf>
    <xf numFmtId="0" fontId="6" fillId="0" borderId="1" applyAlignment="1" pivotButton="0" quotePrefix="0" xfId="0">
      <alignment horizontal="left" vertical="center"/>
    </xf>
    <xf numFmtId="164" fontId="6" fillId="0" borderId="1" applyAlignment="1" pivotButton="0" quotePrefix="0" xfId="0">
      <alignment horizontal="right" vertical="center"/>
    </xf>
    <xf numFmtId="165" fontId="6" fillId="0" borderId="1" applyAlignment="1" pivotButton="0" quotePrefix="0" xfId="0">
      <alignment horizontal="right" vertical="center"/>
    </xf>
    <xf numFmtId="0" fontId="7" fillId="0" borderId="1" applyAlignment="1" pivotButton="0" quotePrefix="0" xfId="0">
      <alignment horizontal="left" vertical="center"/>
    </xf>
    <xf numFmtId="0" fontId="6" fillId="3" borderId="1" applyAlignment="1" pivotButton="0" quotePrefix="0" xfId="0">
      <alignment horizontal="center" vertical="center" wrapText="1"/>
    </xf>
    <xf numFmtId="0" fontId="8" fillId="0" borderId="0" applyAlignment="1" pivotButton="0" quotePrefix="0" xfId="0">
      <alignment horizontal="general" vertical="center"/>
    </xf>
    <xf numFmtId="0" fontId="9" fillId="0" borderId="0" applyAlignment="1" pivotButton="0" quotePrefix="0" xfId="0">
      <alignment horizontal="general" vertical="bottom"/>
    </xf>
    <xf numFmtId="0" fontId="10" fillId="4" borderId="2" applyAlignment="1" pivotButton="0" quotePrefix="0" xfId="0">
      <alignment horizontal="center" vertical="center" wrapText="1" readingOrder="1"/>
    </xf>
    <xf numFmtId="0" fontId="10" fillId="4" borderId="3" applyAlignment="1" pivotButton="0" quotePrefix="0" xfId="0">
      <alignment horizontal="center" vertical="center" wrapText="1" readingOrder="1"/>
    </xf>
    <xf numFmtId="0" fontId="11" fillId="5" borderId="3" applyAlignment="1" pivotButton="0" quotePrefix="0" xfId="0">
      <alignment horizontal="center" vertical="center" wrapText="1" readingOrder="1"/>
    </xf>
    <xf numFmtId="0" fontId="0" fillId="0" borderId="79" pivotButton="0" quotePrefix="0" xfId="0"/>
    <xf numFmtId="0" fontId="0" fillId="0" borderId="80" pivotButton="0" quotePrefix="0" xfId="0"/>
    <xf numFmtId="0" fontId="10" fillId="4" borderId="4" applyAlignment="1" pivotButton="0" quotePrefix="0" xfId="0">
      <alignment horizontal="center" vertical="center" wrapText="1" readingOrder="1"/>
    </xf>
    <xf numFmtId="0" fontId="12" fillId="6" borderId="5" applyAlignment="1" pivotButton="0" quotePrefix="0" xfId="0">
      <alignment horizontal="general" vertical="center" wrapText="1"/>
    </xf>
    <xf numFmtId="0" fontId="11" fillId="5" borderId="6" applyAlignment="1" pivotButton="0" quotePrefix="0" xfId="0">
      <alignment horizontal="center" vertical="center" wrapText="1" readingOrder="1"/>
    </xf>
    <xf numFmtId="0" fontId="10" fillId="4" borderId="7" applyAlignment="1" pivotButton="0" quotePrefix="0" xfId="0">
      <alignment horizontal="center" vertical="center" wrapText="1" readingOrder="1"/>
    </xf>
    <xf numFmtId="0" fontId="0" fillId="0" borderId="24" pivotButton="0" quotePrefix="0" xfId="0"/>
    <xf numFmtId="0" fontId="11" fillId="7" borderId="8" applyAlignment="1" pivotButton="0" quotePrefix="0" xfId="0">
      <alignment horizontal="center" vertical="center" wrapText="1" readingOrder="1"/>
    </xf>
    <xf numFmtId="0" fontId="10" fillId="4" borderId="9" applyAlignment="1" pivotButton="0" quotePrefix="0" xfId="0">
      <alignment horizontal="center" vertical="center" wrapText="1" readingOrder="1"/>
    </xf>
    <xf numFmtId="0" fontId="12" fillId="6" borderId="5" applyAlignment="1" pivotButton="0" quotePrefix="0" xfId="0">
      <alignment horizontal="center" vertical="center" wrapText="1"/>
    </xf>
    <xf numFmtId="0" fontId="0" fillId="0" borderId="7" pivotButton="0" quotePrefix="0" xfId="0"/>
    <xf numFmtId="0" fontId="10" fillId="8" borderId="10" applyAlignment="1" pivotButton="0" quotePrefix="0" xfId="0">
      <alignment horizontal="left" vertical="center" wrapText="1" readingOrder="1"/>
    </xf>
    <xf numFmtId="0" fontId="13" fillId="6" borderId="8" applyAlignment="1" pivotButton="0" quotePrefix="0" xfId="0">
      <alignment horizontal="left" vertical="center" wrapText="1" readingOrder="1"/>
    </xf>
    <xf numFmtId="0" fontId="12" fillId="6" borderId="8" applyAlignment="1" pivotButton="0" quotePrefix="0" xfId="0">
      <alignment horizontal="general" vertical="center" wrapText="1"/>
    </xf>
    <xf numFmtId="0" fontId="13" fillId="6" borderId="8" applyAlignment="1" pivotButton="0" quotePrefix="0" xfId="0">
      <alignment horizontal="center" vertical="center" wrapText="1" readingOrder="1"/>
    </xf>
    <xf numFmtId="0" fontId="11" fillId="9" borderId="8" applyAlignment="1" pivotButton="0" quotePrefix="0" xfId="0">
      <alignment horizontal="center" vertical="center" wrapText="1" readingOrder="1"/>
    </xf>
    <xf numFmtId="0" fontId="11" fillId="7" borderId="11" applyAlignment="1" pivotButton="0" quotePrefix="0" xfId="0">
      <alignment horizontal="center" vertical="center" wrapText="1" readingOrder="1"/>
    </xf>
    <xf numFmtId="0" fontId="12" fillId="6" borderId="10" applyAlignment="1" pivotButton="0" quotePrefix="0" xfId="0">
      <alignment horizontal="center" vertical="center" wrapText="1"/>
    </xf>
    <xf numFmtId="0" fontId="12" fillId="6" borderId="8" applyAlignment="1" pivotButton="0" quotePrefix="0" xfId="0">
      <alignment horizontal="center" vertical="center" wrapText="1"/>
    </xf>
    <xf numFmtId="0" fontId="11" fillId="10" borderId="8" applyAlignment="1" pivotButton="0" quotePrefix="0" xfId="0">
      <alignment horizontal="center" vertical="center" wrapText="1" readingOrder="1"/>
    </xf>
    <xf numFmtId="0" fontId="11" fillId="6" borderId="10" applyAlignment="1" pivotButton="0" quotePrefix="0" xfId="0">
      <alignment horizontal="center" vertical="center" wrapText="1" readingOrder="1"/>
    </xf>
    <xf numFmtId="0" fontId="12" fillId="9" borderId="8" applyAlignment="1" pivotButton="0" quotePrefix="0" xfId="0">
      <alignment horizontal="center" vertical="center" wrapText="1"/>
    </xf>
    <xf numFmtId="0" fontId="11" fillId="5" borderId="8" applyAlignment="1" pivotButton="0" quotePrefix="0" xfId="0">
      <alignment horizontal="center" vertical="center" wrapText="1" readingOrder="1"/>
    </xf>
    <xf numFmtId="0" fontId="13" fillId="6" borderId="12" applyAlignment="1" pivotButton="0" quotePrefix="0" xfId="0">
      <alignment horizontal="left" vertical="center" wrapText="1" readingOrder="1"/>
    </xf>
    <xf numFmtId="0" fontId="12" fillId="6" borderId="12" applyAlignment="1" pivotButton="0" quotePrefix="0" xfId="0">
      <alignment horizontal="general" vertical="center" wrapText="1"/>
    </xf>
    <xf numFmtId="0" fontId="12" fillId="6" borderId="12" applyAlignment="1" pivotButton="0" quotePrefix="0" xfId="0">
      <alignment horizontal="center" vertical="center" wrapText="1"/>
    </xf>
    <xf numFmtId="0" fontId="13" fillId="6" borderId="12" applyAlignment="1" pivotButton="0" quotePrefix="0" xfId="0">
      <alignment horizontal="center" vertical="center" wrapText="1" readingOrder="1"/>
    </xf>
    <xf numFmtId="0" fontId="11" fillId="9" borderId="12" applyAlignment="1" pivotButton="0" quotePrefix="0" xfId="0">
      <alignment horizontal="center" vertical="center" wrapText="1" readingOrder="1"/>
    </xf>
    <xf numFmtId="0" fontId="12" fillId="9" borderId="12" applyAlignment="1" pivotButton="0" quotePrefix="0" xfId="0">
      <alignment horizontal="center" vertical="center" wrapText="1"/>
    </xf>
    <xf numFmtId="0" fontId="11" fillId="7" borderId="13" applyAlignment="1" pivotButton="0" quotePrefix="0" xfId="0">
      <alignment horizontal="center" vertical="center" wrapText="1" readingOrder="1"/>
    </xf>
    <xf numFmtId="0" fontId="12" fillId="6" borderId="14" applyAlignment="1" pivotButton="0" quotePrefix="0" xfId="0">
      <alignment horizontal="center" vertical="center" wrapText="1"/>
    </xf>
    <xf numFmtId="0" fontId="11" fillId="6" borderId="15" applyAlignment="1" pivotButton="0" quotePrefix="0" xfId="0">
      <alignment horizontal="center" vertical="center" wrapText="1" readingOrder="1"/>
    </xf>
    <xf numFmtId="0" fontId="11" fillId="5" borderId="12" applyAlignment="1" pivotButton="0" quotePrefix="0" xfId="0">
      <alignment horizontal="center" vertical="center" wrapText="1" readingOrder="1"/>
    </xf>
    <xf numFmtId="0" fontId="10" fillId="8" borderId="15" applyAlignment="1" pivotButton="0" quotePrefix="0" xfId="0">
      <alignment horizontal="left" vertical="center" wrapText="1" readingOrder="1"/>
    </xf>
    <xf numFmtId="0" fontId="12" fillId="6" borderId="16" applyAlignment="1" pivotButton="0" quotePrefix="0" xfId="0">
      <alignment horizontal="general" vertical="center" wrapText="1"/>
    </xf>
    <xf numFmtId="0" fontId="13" fillId="6" borderId="16" applyAlignment="1" pivotButton="0" quotePrefix="0" xfId="0">
      <alignment horizontal="center" vertical="center" wrapText="1" readingOrder="1"/>
    </xf>
    <xf numFmtId="0" fontId="11" fillId="9" borderId="16" applyAlignment="1" pivotButton="0" quotePrefix="0" xfId="0">
      <alignment horizontal="center" vertical="center" wrapText="1" readingOrder="1"/>
    </xf>
    <xf numFmtId="0" fontId="11" fillId="7" borderId="17" applyAlignment="1" pivotButton="0" quotePrefix="0" xfId="0">
      <alignment horizontal="center" vertical="center" wrapText="1" readingOrder="1"/>
    </xf>
    <xf numFmtId="0" fontId="12" fillId="6" borderId="18" applyAlignment="1" pivotButton="0" quotePrefix="0" xfId="0">
      <alignment horizontal="center" vertical="center" wrapText="1"/>
    </xf>
    <xf numFmtId="0" fontId="11" fillId="6" borderId="19" applyAlignment="1" pivotButton="0" quotePrefix="0" xfId="0">
      <alignment horizontal="center" vertical="center" wrapText="1" readingOrder="1"/>
    </xf>
    <xf numFmtId="0" fontId="11" fillId="6" borderId="16" applyAlignment="1" pivotButton="0" quotePrefix="0" xfId="0">
      <alignment horizontal="center" vertical="center" wrapText="1" readingOrder="1"/>
    </xf>
    <xf numFmtId="0" fontId="14" fillId="4" borderId="20" applyAlignment="1" pivotButton="0" quotePrefix="0" xfId="0">
      <alignment horizontal="center" vertical="center" wrapText="1" readingOrder="1"/>
    </xf>
    <xf numFmtId="0" fontId="0" fillId="0" borderId="77" pivotButton="0" quotePrefix="0" xfId="0"/>
    <xf numFmtId="0" fontId="0" fillId="0" borderId="83" pivotButton="0" quotePrefix="0" xfId="0"/>
    <xf numFmtId="0" fontId="15" fillId="5" borderId="20" applyAlignment="1" pivotButton="0" quotePrefix="0" xfId="0">
      <alignment horizontal="center" vertical="center" wrapText="1" readingOrder="1"/>
    </xf>
    <xf numFmtId="0" fontId="0" fillId="0" borderId="89" pivotButton="0" quotePrefix="0" xfId="0"/>
    <xf numFmtId="0" fontId="0" fillId="0" borderId="90" pivotButton="0" quotePrefix="0" xfId="0"/>
    <xf numFmtId="0" fontId="14" fillId="4" borderId="21" applyAlignment="1" pivotButton="0" quotePrefix="0" xfId="0">
      <alignment horizontal="center" vertical="center" wrapText="1" readingOrder="1"/>
    </xf>
    <xf numFmtId="0" fontId="16" fillId="11" borderId="5" applyAlignment="1" pivotButton="0" quotePrefix="0" xfId="0">
      <alignment horizontal="general" vertical="center" wrapText="1"/>
    </xf>
    <xf numFmtId="0" fontId="15" fillId="5" borderId="6" applyAlignment="1" pivotButton="0" quotePrefix="0" xfId="0">
      <alignment horizontal="center" vertical="center" wrapText="1" readingOrder="1"/>
    </xf>
    <xf numFmtId="0" fontId="15" fillId="5" borderId="3" applyAlignment="1" pivotButton="0" quotePrefix="0" xfId="0">
      <alignment horizontal="center" vertical="center" wrapText="1" readingOrder="1"/>
    </xf>
    <xf numFmtId="0" fontId="15" fillId="5" borderId="22" applyAlignment="1" pivotButton="0" quotePrefix="0" xfId="0">
      <alignment horizontal="center" vertical="center" wrapText="1" readingOrder="1"/>
    </xf>
    <xf numFmtId="0" fontId="14" fillId="4" borderId="4" applyAlignment="1" pivotButton="0" quotePrefix="0" xfId="0">
      <alignment horizontal="center" vertical="center" wrapText="1" readingOrder="1"/>
    </xf>
    <xf numFmtId="0" fontId="0" fillId="0" borderId="85" pivotButton="0" quotePrefix="0" xfId="0"/>
    <xf numFmtId="0" fontId="0" fillId="0" borderId="86" pivotButton="0" quotePrefix="0" xfId="0"/>
    <xf numFmtId="0" fontId="0" fillId="0" borderId="87" pivotButton="0" quotePrefix="0" xfId="0"/>
    <xf numFmtId="0" fontId="0" fillId="0" borderId="23" pivotButton="0" quotePrefix="0" xfId="0"/>
    <xf numFmtId="0" fontId="15" fillId="7" borderId="20" applyAlignment="1" pivotButton="0" quotePrefix="0" xfId="0">
      <alignment horizontal="center" vertical="center" wrapText="1" readingOrder="1"/>
    </xf>
    <xf numFmtId="0" fontId="14" fillId="4" borderId="23" applyAlignment="1" pivotButton="0" quotePrefix="0" xfId="0">
      <alignment horizontal="center" vertical="center" wrapText="1" readingOrder="1"/>
    </xf>
    <xf numFmtId="0" fontId="16" fillId="11" borderId="5" applyAlignment="1" pivotButton="0" quotePrefix="0" xfId="0">
      <alignment horizontal="center" vertical="center" wrapText="1"/>
    </xf>
    <xf numFmtId="0" fontId="15" fillId="5" borderId="24" applyAlignment="1" pivotButton="0" quotePrefix="0" xfId="0">
      <alignment horizontal="center" vertical="center" wrapText="1" readingOrder="1"/>
    </xf>
    <xf numFmtId="0" fontId="14" fillId="4" borderId="9" applyAlignment="1" pivotButton="0" quotePrefix="0" xfId="0">
      <alignment horizontal="center" vertical="center" wrapText="1" readingOrder="1"/>
    </xf>
    <xf numFmtId="0" fontId="16" fillId="12" borderId="20" applyAlignment="1" pivotButton="0" quotePrefix="0" xfId="0">
      <alignment horizontal="center" vertical="center" wrapText="1"/>
    </xf>
    <xf numFmtId="0" fontId="17" fillId="5" borderId="6" applyAlignment="1" pivotButton="0" quotePrefix="0" xfId="0">
      <alignment horizontal="left" vertical="center" wrapText="1" readingOrder="1"/>
    </xf>
    <xf numFmtId="0" fontId="16" fillId="5" borderId="3" applyAlignment="1" pivotButton="0" quotePrefix="0" xfId="0">
      <alignment horizontal="general" vertical="center" wrapText="1"/>
    </xf>
    <xf numFmtId="0" fontId="15" fillId="12" borderId="3" applyAlignment="1" pivotButton="0" quotePrefix="0" xfId="0">
      <alignment horizontal="center" vertical="center" wrapText="1" readingOrder="1"/>
    </xf>
    <xf numFmtId="0" fontId="16" fillId="12" borderId="3" applyAlignment="1" pivotButton="0" quotePrefix="0" xfId="0">
      <alignment horizontal="center" vertical="center" wrapText="1"/>
    </xf>
    <xf numFmtId="0" fontId="16" fillId="12" borderId="25" applyAlignment="1" pivotButton="0" quotePrefix="0" xfId="0">
      <alignment horizontal="center" vertical="center" wrapText="1"/>
    </xf>
    <xf numFmtId="0" fontId="15" fillId="5" borderId="18" applyAlignment="1" pivotButton="0" quotePrefix="0" xfId="0">
      <alignment horizontal="center" vertical="center" wrapText="1" readingOrder="1"/>
    </xf>
    <xf numFmtId="0" fontId="16" fillId="12" borderId="10" applyAlignment="1" pivotButton="0" quotePrefix="0" xfId="0">
      <alignment horizontal="center" vertical="center" wrapText="1"/>
    </xf>
    <xf numFmtId="0" fontId="16" fillId="12" borderId="8" applyAlignment="1" pivotButton="0" quotePrefix="0" xfId="0">
      <alignment horizontal="center" vertical="center" wrapText="1"/>
    </xf>
    <xf numFmtId="0" fontId="15" fillId="7" borderId="11" applyAlignment="1" pivotButton="0" quotePrefix="0" xfId="0">
      <alignment horizontal="center" vertical="center" wrapText="1" readingOrder="1"/>
    </xf>
    <xf numFmtId="0" fontId="0" fillId="0" borderId="81" pivotButton="0" quotePrefix="0" xfId="0"/>
    <xf numFmtId="0" fontId="0" fillId="0" borderId="84" pivotButton="0" quotePrefix="0" xfId="0"/>
    <xf numFmtId="0" fontId="17" fillId="5" borderId="10" applyAlignment="1" pivotButton="0" quotePrefix="0" xfId="0">
      <alignment horizontal="left" vertical="center" wrapText="1" readingOrder="1"/>
    </xf>
    <xf numFmtId="0" fontId="16" fillId="5" borderId="8" applyAlignment="1" pivotButton="0" quotePrefix="0" xfId="0">
      <alignment horizontal="general" vertical="center" wrapText="1"/>
    </xf>
    <xf numFmtId="0" fontId="15" fillId="12" borderId="8" applyAlignment="1" pivotButton="0" quotePrefix="0" xfId="0">
      <alignment horizontal="center" vertical="center" wrapText="1" readingOrder="1"/>
    </xf>
    <xf numFmtId="0" fontId="16" fillId="12" borderId="11" applyAlignment="1" pivotButton="0" quotePrefix="0" xfId="0">
      <alignment horizontal="center" vertical="center" wrapText="1"/>
    </xf>
    <xf numFmtId="0" fontId="15" fillId="5" borderId="5" applyAlignment="1" pivotButton="0" quotePrefix="0" xfId="0">
      <alignment horizontal="center" vertical="center" wrapText="1" readingOrder="1"/>
    </xf>
    <xf numFmtId="0" fontId="17" fillId="10" borderId="10" applyAlignment="1" pivotButton="0" quotePrefix="0" xfId="0">
      <alignment horizontal="left" vertical="center" wrapText="1" readingOrder="1"/>
    </xf>
    <xf numFmtId="0" fontId="16" fillId="10" borderId="8" applyAlignment="1" pivotButton="0" quotePrefix="0" xfId="0">
      <alignment horizontal="general" vertical="center" wrapText="1"/>
    </xf>
    <xf numFmtId="0" fontId="17" fillId="10" borderId="8" applyAlignment="1" pivotButton="0" quotePrefix="0" xfId="0">
      <alignment horizontal="left" vertical="center" wrapText="1" readingOrder="1"/>
    </xf>
    <xf numFmtId="0" fontId="15" fillId="10" borderId="5" applyAlignment="1" pivotButton="0" quotePrefix="0" xfId="0">
      <alignment horizontal="center" vertical="center" wrapText="1" readingOrder="1"/>
    </xf>
    <xf numFmtId="0" fontId="15" fillId="10" borderId="8" applyAlignment="1" pivotButton="0" quotePrefix="0" xfId="0">
      <alignment horizontal="center" vertical="center" wrapText="1" readingOrder="1"/>
    </xf>
    <xf numFmtId="0" fontId="15" fillId="12" borderId="11" applyAlignment="1" pivotButton="0" quotePrefix="0" xfId="0">
      <alignment horizontal="center" vertical="center" wrapText="1" readingOrder="1"/>
    </xf>
    <xf numFmtId="0" fontId="17" fillId="10" borderId="15" applyAlignment="1" pivotButton="0" quotePrefix="0" xfId="0">
      <alignment horizontal="left" vertical="center" wrapText="1" readingOrder="1"/>
    </xf>
    <xf numFmtId="0" fontId="16" fillId="10" borderId="12" applyAlignment="1" pivotButton="0" quotePrefix="0" xfId="0">
      <alignment horizontal="general" vertical="center" wrapText="1"/>
    </xf>
    <xf numFmtId="0" fontId="17" fillId="10" borderId="12" applyAlignment="1" pivotButton="0" quotePrefix="0" xfId="0">
      <alignment horizontal="left" vertical="center" wrapText="1" readingOrder="1"/>
    </xf>
    <xf numFmtId="0" fontId="15" fillId="12" borderId="12" applyAlignment="1" pivotButton="0" quotePrefix="0" xfId="0">
      <alignment horizontal="center" vertical="center" wrapText="1" readingOrder="1"/>
    </xf>
    <xf numFmtId="0" fontId="16" fillId="12" borderId="12" applyAlignment="1" pivotButton="0" quotePrefix="0" xfId="0">
      <alignment horizontal="center" vertical="center" wrapText="1"/>
    </xf>
    <xf numFmtId="0" fontId="16" fillId="12" borderId="13" applyAlignment="1" pivotButton="0" quotePrefix="0" xfId="0">
      <alignment horizontal="center" vertical="center" wrapText="1"/>
    </xf>
    <xf numFmtId="0" fontId="15" fillId="10" borderId="14" applyAlignment="1" pivotButton="0" quotePrefix="0" xfId="0">
      <alignment horizontal="center" vertical="center" wrapText="1" readingOrder="1"/>
    </xf>
    <xf numFmtId="0" fontId="16" fillId="11" borderId="14" applyAlignment="1" pivotButton="0" quotePrefix="0" xfId="0">
      <alignment horizontal="center" vertical="center" wrapText="1"/>
    </xf>
    <xf numFmtId="0" fontId="16" fillId="12" borderId="15" applyAlignment="1" pivotButton="0" quotePrefix="0" xfId="0">
      <alignment horizontal="center" vertical="center" wrapText="1"/>
    </xf>
    <xf numFmtId="0" fontId="15" fillId="10" borderId="12" applyAlignment="1" pivotButton="0" quotePrefix="0" xfId="0">
      <alignment horizontal="center" vertical="center" wrapText="1" readingOrder="1"/>
    </xf>
    <xf numFmtId="0" fontId="15" fillId="7" borderId="13" applyAlignment="1" pivotButton="0" quotePrefix="0" xfId="0">
      <alignment horizontal="center" vertical="center" wrapText="1" readingOrder="1"/>
    </xf>
    <xf numFmtId="0" fontId="14" fillId="8" borderId="19" applyAlignment="1" pivotButton="0" quotePrefix="0" xfId="0">
      <alignment horizontal="left" vertical="center" wrapText="1" readingOrder="1"/>
    </xf>
    <xf numFmtId="0" fontId="0" fillId="0" borderId="91" pivotButton="0" quotePrefix="0" xfId="0"/>
    <xf numFmtId="0" fontId="14" fillId="8" borderId="16" applyAlignment="1" pivotButton="0" quotePrefix="0" xfId="0">
      <alignment horizontal="left" vertical="center" wrapText="1" readingOrder="1"/>
    </xf>
    <xf numFmtId="0" fontId="16" fillId="8" borderId="16" applyAlignment="1" pivotButton="0" quotePrefix="0" xfId="0">
      <alignment horizontal="general" vertical="center" wrapText="1"/>
    </xf>
    <xf numFmtId="0" fontId="15" fillId="7" borderId="16" applyAlignment="1" pivotButton="0" quotePrefix="0" xfId="0">
      <alignment horizontal="center" vertical="center" wrapText="1" readingOrder="1"/>
    </xf>
    <xf numFmtId="0" fontId="15" fillId="7" borderId="17" applyAlignment="1" pivotButton="0" quotePrefix="0" xfId="0">
      <alignment horizontal="center" vertical="center" wrapText="1" readingOrder="1"/>
    </xf>
    <xf numFmtId="0" fontId="16" fillId="11" borderId="20" applyAlignment="1" pivotButton="0" quotePrefix="0" xfId="0">
      <alignment horizontal="center" vertical="center" wrapText="1"/>
    </xf>
    <xf numFmtId="0" fontId="16" fillId="7" borderId="19" applyAlignment="1" pivotButton="0" quotePrefix="0" xfId="0">
      <alignment horizontal="center" vertical="center" wrapText="1"/>
    </xf>
    <xf numFmtId="0" fontId="16" fillId="7" borderId="16" applyAlignment="1" pivotButton="0" quotePrefix="0" xfId="0">
      <alignment horizontal="center" vertical="center" wrapText="1"/>
    </xf>
    <xf numFmtId="0" fontId="16" fillId="12" borderId="18" applyAlignment="1" pivotButton="0" quotePrefix="0" xfId="0">
      <alignment horizontal="general" vertical="center" wrapText="1"/>
    </xf>
    <xf numFmtId="0" fontId="17" fillId="12" borderId="6" applyAlignment="1" pivotButton="0" quotePrefix="0" xfId="0">
      <alignment horizontal="left" vertical="center" wrapText="1" readingOrder="1"/>
    </xf>
    <xf numFmtId="0" fontId="16" fillId="12" borderId="3" applyAlignment="1" pivotButton="0" quotePrefix="0" xfId="0">
      <alignment horizontal="general" vertical="center" wrapText="1"/>
    </xf>
    <xf numFmtId="0" fontId="15" fillId="12" borderId="25" applyAlignment="1" pivotButton="0" quotePrefix="0" xfId="0">
      <alignment horizontal="center" vertical="center" wrapText="1" readingOrder="1"/>
    </xf>
    <xf numFmtId="0" fontId="15" fillId="7" borderId="18" applyAlignment="1" pivotButton="0" quotePrefix="0" xfId="0">
      <alignment horizontal="center" vertical="center" wrapText="1" readingOrder="1"/>
    </xf>
    <xf numFmtId="0" fontId="16" fillId="11" borderId="18" applyAlignment="1" pivotButton="0" quotePrefix="0" xfId="0">
      <alignment horizontal="center" vertical="center" wrapText="1"/>
    </xf>
    <xf numFmtId="0" fontId="16" fillId="12" borderId="6" applyAlignment="1" pivotButton="0" quotePrefix="0" xfId="0">
      <alignment horizontal="center" vertical="center" wrapText="1"/>
    </xf>
    <xf numFmtId="0" fontId="15" fillId="7" borderId="25" applyAlignment="1" pivotButton="0" quotePrefix="0" xfId="0">
      <alignment horizontal="center" vertical="center" wrapText="1" readingOrder="1"/>
    </xf>
    <xf numFmtId="0" fontId="16" fillId="12" borderId="14" applyAlignment="1" pivotButton="0" quotePrefix="0" xfId="0">
      <alignment horizontal="general" vertical="center" wrapText="1"/>
    </xf>
    <xf numFmtId="0" fontId="17" fillId="12" borderId="15" applyAlignment="1" pivotButton="0" quotePrefix="0" xfId="0">
      <alignment horizontal="left" vertical="center" wrapText="1" readingOrder="1"/>
    </xf>
    <xf numFmtId="0" fontId="0" fillId="0" borderId="93" pivotButton="0" quotePrefix="0" xfId="0"/>
    <xf numFmtId="0" fontId="16" fillId="12" borderId="12" applyAlignment="1" pivotButton="0" quotePrefix="0" xfId="0">
      <alignment horizontal="general" vertical="center" wrapText="1"/>
    </xf>
    <xf numFmtId="0" fontId="15" fillId="7" borderId="14" applyAlignment="1" pivotButton="0" quotePrefix="0" xfId="0">
      <alignment horizontal="center" vertical="center" wrapText="1" readingOrder="1"/>
    </xf>
    <xf numFmtId="0" fontId="15" fillId="7" borderId="19" applyAlignment="1" pivotButton="0" quotePrefix="0" xfId="0">
      <alignment horizontal="center" vertical="center" wrapText="1" readingOrder="1"/>
    </xf>
    <xf numFmtId="0" fontId="18" fillId="0" borderId="0" applyAlignment="1" pivotButton="0" quotePrefix="0" xfId="0">
      <alignment horizontal="general" vertical="bottom"/>
    </xf>
    <xf numFmtId="0" fontId="19" fillId="0" borderId="0" applyAlignment="1" pivotButton="0" quotePrefix="0" xfId="0">
      <alignment horizontal="general" vertical="bottom"/>
    </xf>
    <xf numFmtId="0" fontId="20" fillId="2" borderId="26" applyAlignment="1" pivotButton="0" quotePrefix="0" xfId="0">
      <alignment horizontal="center" vertical="center"/>
    </xf>
    <xf numFmtId="0" fontId="21" fillId="2" borderId="1" applyAlignment="1" pivotButton="0" quotePrefix="0" xfId="0">
      <alignment horizontal="left" vertical="center"/>
    </xf>
    <xf numFmtId="0" fontId="0" fillId="0" borderId="67" pivotButton="0" quotePrefix="0" xfId="0"/>
    <xf numFmtId="0" fontId="0" fillId="0" borderId="68" pivotButton="0" quotePrefix="0" xfId="0"/>
    <xf numFmtId="0" fontId="20" fillId="13" borderId="1" applyAlignment="1" pivotButton="0" quotePrefix="0" xfId="0">
      <alignment horizontal="left" vertical="center"/>
    </xf>
    <xf numFmtId="0" fontId="20" fillId="13" borderId="0" applyAlignment="1" pivotButton="0" quotePrefix="0" xfId="0">
      <alignment horizontal="left" vertical="center"/>
    </xf>
    <xf numFmtId="0" fontId="21" fillId="13" borderId="1" applyAlignment="1" pivotButton="0" quotePrefix="0" xfId="0">
      <alignment horizontal="left" vertical="center"/>
    </xf>
    <xf numFmtId="0" fontId="22" fillId="6" borderId="1" applyAlignment="1" pivotButton="0" quotePrefix="0" xfId="0">
      <alignment horizontal="general" vertical="bottom"/>
    </xf>
    <xf numFmtId="165" fontId="23" fillId="14" borderId="1" applyAlignment="1" pivotButton="0" quotePrefix="0" xfId="0">
      <alignment horizontal="general" vertical="bottom"/>
    </xf>
    <xf numFmtId="165" fontId="22" fillId="6" borderId="1" applyAlignment="1" pivotButton="0" quotePrefix="0" xfId="0">
      <alignment horizontal="general" vertical="bottom"/>
    </xf>
    <xf numFmtId="166" fontId="22" fillId="6" borderId="1" applyAlignment="1" pivotButton="0" quotePrefix="0" xfId="0">
      <alignment horizontal="general" vertical="bottom"/>
    </xf>
    <xf numFmtId="0" fontId="24" fillId="0" borderId="1" applyAlignment="1" pivotButton="0" quotePrefix="0" xfId="0">
      <alignment horizontal="general" vertical="bottom"/>
    </xf>
    <xf numFmtId="9" fontId="23" fillId="14" borderId="1" applyAlignment="1" pivotButton="0" quotePrefix="0" xfId="0">
      <alignment horizontal="general" vertical="bottom"/>
    </xf>
    <xf numFmtId="165" fontId="24" fillId="0" borderId="1" applyAlignment="1" pivotButton="0" quotePrefix="0" xfId="0">
      <alignment horizontal="general" vertical="bottom"/>
    </xf>
    <xf numFmtId="0" fontId="22" fillId="0" borderId="1" applyAlignment="1" pivotButton="0" quotePrefix="0" xfId="0">
      <alignment horizontal="general" vertical="bottom"/>
    </xf>
    <xf numFmtId="165" fontId="22" fillId="0" borderId="1" applyAlignment="1" pivotButton="0" quotePrefix="0" xfId="0">
      <alignment horizontal="general" vertical="bottom"/>
    </xf>
    <xf numFmtId="0" fontId="25" fillId="0" borderId="0" applyAlignment="1" pivotButton="0" quotePrefix="0" xfId="0">
      <alignment horizontal="general" vertical="bottom"/>
    </xf>
    <xf numFmtId="167" fontId="25" fillId="0" borderId="1" applyAlignment="1" pivotButton="0" quotePrefix="0" xfId="0">
      <alignment horizontal="general" vertical="bottom"/>
    </xf>
    <xf numFmtId="165" fontId="26" fillId="6" borderId="1" applyAlignment="1" pivotButton="0" quotePrefix="0" xfId="0">
      <alignment horizontal="general" vertical="bottom"/>
    </xf>
    <xf numFmtId="0" fontId="27" fillId="0" borderId="0" applyAlignment="1" pivotButton="0" quotePrefix="0" xfId="0">
      <alignment horizontal="general" vertical="bottom"/>
    </xf>
    <xf numFmtId="0" fontId="26" fillId="0" borderId="1" applyAlignment="1" pivotButton="0" quotePrefix="0" xfId="0">
      <alignment horizontal="general" vertical="bottom"/>
    </xf>
    <xf numFmtId="0" fontId="28" fillId="0" borderId="0" applyAlignment="1" pivotButton="0" quotePrefix="0" xfId="0">
      <alignment horizontal="general" vertical="bottom"/>
    </xf>
    <xf numFmtId="165" fontId="28" fillId="0" borderId="1" applyAlignment="1" pivotButton="0" quotePrefix="0" xfId="0">
      <alignment horizontal="general" vertical="bottom"/>
    </xf>
    <xf numFmtId="0" fontId="29" fillId="0" borderId="0" applyAlignment="1" pivotButton="0" quotePrefix="0" xfId="0">
      <alignment horizontal="general" vertical="bottom"/>
    </xf>
    <xf numFmtId="165" fontId="29" fillId="0" borderId="0" applyAlignment="1" pivotButton="0" quotePrefix="0" xfId="0">
      <alignment horizontal="general" vertical="bottom"/>
    </xf>
    <xf numFmtId="165" fontId="0" fillId="0" borderId="0" applyAlignment="1" pivotButton="0" quotePrefix="0" xfId="0">
      <alignment horizontal="general" vertical="bottom"/>
    </xf>
    <xf numFmtId="168" fontId="0" fillId="0" borderId="0" applyAlignment="1" pivotButton="0" quotePrefix="0" xfId="0">
      <alignment horizontal="general" vertical="bottom"/>
    </xf>
    <xf numFmtId="0" fontId="21" fillId="13" borderId="27" applyAlignment="1" pivotButton="0" quotePrefix="0" xfId="0">
      <alignment horizontal="center" vertical="center"/>
    </xf>
    <xf numFmtId="0" fontId="30" fillId="0" borderId="1" applyAlignment="1" pivotButton="0" quotePrefix="0" xfId="0">
      <alignment horizontal="general" vertical="bottom"/>
    </xf>
    <xf numFmtId="169" fontId="30" fillId="0" borderId="1" applyAlignment="1" pivotButton="0" quotePrefix="0" xfId="0">
      <alignment horizontal="general" vertical="bottom"/>
    </xf>
    <xf numFmtId="165" fontId="30" fillId="0" borderId="1" applyAlignment="1" pivotButton="0" quotePrefix="0" xfId="0">
      <alignment horizontal="general" vertical="bottom"/>
    </xf>
    <xf numFmtId="9" fontId="25" fillId="14" borderId="27" applyAlignment="1" pivotButton="0" quotePrefix="0" xfId="0">
      <alignment horizontal="center" vertical="center"/>
    </xf>
    <xf numFmtId="0" fontId="24" fillId="6" borderId="1" applyAlignment="1" pivotButton="0" quotePrefix="0" xfId="0">
      <alignment horizontal="general" vertical="bottom"/>
    </xf>
    <xf numFmtId="169" fontId="24" fillId="6" borderId="1" applyAlignment="1" pivotButton="0" quotePrefix="0" xfId="0">
      <alignment horizontal="general" vertical="bottom"/>
    </xf>
    <xf numFmtId="165" fontId="24" fillId="6" borderId="1" applyAlignment="1" pivotButton="0" quotePrefix="0" xfId="0">
      <alignment horizontal="general" vertical="bottom"/>
    </xf>
    <xf numFmtId="169" fontId="24" fillId="0" borderId="1" applyAlignment="1" pivotButton="0" quotePrefix="0" xfId="0">
      <alignment horizontal="general" vertical="bottom"/>
    </xf>
    <xf numFmtId="0" fontId="30" fillId="6" borderId="1" applyAlignment="1" pivotButton="0" quotePrefix="0" xfId="0">
      <alignment horizontal="general" vertical="bottom"/>
    </xf>
    <xf numFmtId="169" fontId="30" fillId="6" borderId="1" applyAlignment="1" pivotButton="0" quotePrefix="0" xfId="0">
      <alignment horizontal="general" vertical="bottom"/>
    </xf>
    <xf numFmtId="0" fontId="24" fillId="6" borderId="28" applyAlignment="1" pivotButton="0" quotePrefix="0" xfId="0">
      <alignment horizontal="general" vertical="bottom"/>
    </xf>
    <xf numFmtId="0" fontId="24" fillId="0" borderId="0" applyAlignment="1" pivotButton="0" quotePrefix="0" xfId="0">
      <alignment horizontal="general" vertical="bottom"/>
    </xf>
    <xf numFmtId="0" fontId="31" fillId="11" borderId="0" applyAlignment="1" pivotButton="0" quotePrefix="0" xfId="22">
      <alignment horizontal="general" vertical="bottom"/>
    </xf>
    <xf numFmtId="0" fontId="32" fillId="11" borderId="0" applyAlignment="1" pivotButton="0" quotePrefix="0" xfId="22">
      <alignment horizontal="general" vertical="bottom"/>
    </xf>
    <xf numFmtId="0" fontId="33" fillId="15" borderId="29" applyAlignment="1" pivotButton="0" quotePrefix="0" xfId="22">
      <alignment horizontal="left" vertical="center" wrapText="1" indent="1" readingOrder="1"/>
    </xf>
    <xf numFmtId="0" fontId="34" fillId="16" borderId="30" applyAlignment="1" pivotButton="0" quotePrefix="0" xfId="22">
      <alignment horizontal="center" vertical="center" wrapText="1" readingOrder="1"/>
    </xf>
    <xf numFmtId="0" fontId="0" fillId="0" borderId="98" pivotButton="0" quotePrefix="0" xfId="0"/>
    <xf numFmtId="0" fontId="0" fillId="0" borderId="99" pivotButton="0" quotePrefix="0" xfId="0"/>
    <xf numFmtId="0" fontId="35" fillId="17" borderId="31" applyAlignment="1" pivotButton="0" quotePrefix="0" xfId="22">
      <alignment horizontal="center" vertical="center" wrapText="1" readingOrder="1"/>
    </xf>
    <xf numFmtId="0" fontId="35" fillId="17" borderId="32" applyAlignment="1" pivotButton="0" quotePrefix="0" xfId="22">
      <alignment horizontal="center" vertical="center" wrapText="1" readingOrder="1"/>
    </xf>
    <xf numFmtId="0" fontId="0" fillId="0" borderId="101" pivotButton="0" quotePrefix="0" xfId="0"/>
    <xf numFmtId="0" fontId="35" fillId="17" borderId="33" applyAlignment="1" pivotButton="0" quotePrefix="0" xfId="22">
      <alignment horizontal="center" vertical="center" wrapText="1" readingOrder="1"/>
    </xf>
    <xf numFmtId="0" fontId="36" fillId="16" borderId="34" applyAlignment="1" pivotButton="0" quotePrefix="0" xfId="22">
      <alignment horizontal="center" vertical="center" wrapText="1" readingOrder="1"/>
    </xf>
    <xf numFmtId="0" fontId="0" fillId="0" borderId="62" pivotButton="0" quotePrefix="0" xfId="0"/>
    <xf numFmtId="0" fontId="37" fillId="15" borderId="35" applyAlignment="1" pivotButton="0" quotePrefix="0" xfId="22">
      <alignment horizontal="center" vertical="center" wrapText="1" readingOrder="1"/>
    </xf>
    <xf numFmtId="0" fontId="37" fillId="15" borderId="36" applyAlignment="1" pivotButton="0" quotePrefix="0" xfId="22">
      <alignment horizontal="center" vertical="center" wrapText="1" readingOrder="1"/>
    </xf>
    <xf numFmtId="0" fontId="38" fillId="9" borderId="36" applyAlignment="1" pivotButton="0" quotePrefix="0" xfId="22">
      <alignment horizontal="center" vertical="center" wrapText="1" readingOrder="1"/>
    </xf>
    <xf numFmtId="0" fontId="38" fillId="9" borderId="37" applyAlignment="1" pivotButton="0" quotePrefix="0" xfId="22">
      <alignment horizontal="center" vertical="center" wrapText="1" readingOrder="1"/>
    </xf>
    <xf numFmtId="0" fontId="38" fillId="9" borderId="38" applyAlignment="1" pivotButton="0" quotePrefix="0" xfId="22">
      <alignment horizontal="center" vertical="center" wrapText="1" readingOrder="1"/>
    </xf>
    <xf numFmtId="0" fontId="37" fillId="15" borderId="37" applyAlignment="1" pivotButton="0" quotePrefix="0" xfId="22">
      <alignment horizontal="center" vertical="center" wrapText="1" readingOrder="1"/>
    </xf>
    <xf numFmtId="0" fontId="31" fillId="11" borderId="0" applyAlignment="1" pivotButton="0" quotePrefix="0" xfId="22">
      <alignment horizontal="general" vertical="center"/>
    </xf>
    <xf numFmtId="0" fontId="33" fillId="18" borderId="39" applyAlignment="1" pivotButton="0" quotePrefix="0" xfId="22">
      <alignment horizontal="left" vertical="center" wrapText="1" indent="1" readingOrder="1"/>
    </xf>
    <xf numFmtId="0" fontId="39" fillId="19" borderId="39" applyAlignment="1" pivotButton="0" quotePrefix="0" xfId="22">
      <alignment horizontal="left" vertical="center" wrapText="1" indent="1" readingOrder="1"/>
    </xf>
    <xf numFmtId="170" fontId="40" fillId="6" borderId="40" applyAlignment="1" pivotButton="0" quotePrefix="0" xfId="22">
      <alignment horizontal="center" vertical="center" wrapText="1" readingOrder="1"/>
    </xf>
    <xf numFmtId="170" fontId="40" fillId="6" borderId="41" applyAlignment="1" pivotButton="0" quotePrefix="0" xfId="22">
      <alignment horizontal="center" vertical="center" wrapText="1" readingOrder="1"/>
    </xf>
    <xf numFmtId="171" fontId="40" fillId="6" borderId="24" applyAlignment="1" pivotButton="0" quotePrefix="0" xfId="28">
      <alignment horizontal="center" vertical="center" wrapText="1" readingOrder="1"/>
    </xf>
    <xf numFmtId="0" fontId="38" fillId="20" borderId="24" applyAlignment="1" pivotButton="0" quotePrefix="0" xfId="22">
      <alignment horizontal="center" vertical="center" wrapText="1" readingOrder="1"/>
    </xf>
    <xf numFmtId="0" fontId="38" fillId="20" borderId="8" applyAlignment="1" pivotButton="0" quotePrefix="0" xfId="22">
      <alignment horizontal="center" vertical="center" wrapText="1" readingOrder="1"/>
    </xf>
    <xf numFmtId="0" fontId="38" fillId="21" borderId="24" applyAlignment="1" pivotButton="0" quotePrefix="0" xfId="22">
      <alignment horizontal="center" vertical="center" wrapText="1" readingOrder="1"/>
    </xf>
    <xf numFmtId="0" fontId="38" fillId="20" borderId="42" applyAlignment="1" pivotButton="0" quotePrefix="0" xfId="22">
      <alignment horizontal="center" vertical="center" wrapText="1" readingOrder="1"/>
    </xf>
    <xf numFmtId="170" fontId="40" fillId="6" borderId="43" applyAlignment="1" pivotButton="0" quotePrefix="0" xfId="22">
      <alignment horizontal="center" vertical="center" wrapText="1" readingOrder="1"/>
    </xf>
    <xf numFmtId="170" fontId="40" fillId="6" borderId="44" applyAlignment="1" pivotButton="0" quotePrefix="0" xfId="22">
      <alignment horizontal="center" vertical="center" wrapText="1" readingOrder="1"/>
    </xf>
    <xf numFmtId="0" fontId="38" fillId="21" borderId="45" applyAlignment="1" pivotButton="0" quotePrefix="0" xfId="22">
      <alignment horizontal="center" vertical="center" wrapText="1" readingOrder="1"/>
    </xf>
    <xf numFmtId="0" fontId="33" fillId="18" borderId="46" applyAlignment="1" pivotButton="0" quotePrefix="0" xfId="22">
      <alignment horizontal="left" vertical="center" wrapText="1" indent="1" readingOrder="1"/>
    </xf>
    <xf numFmtId="0" fontId="39" fillId="19" borderId="46" applyAlignment="1" pivotButton="0" quotePrefix="0" xfId="22">
      <alignment horizontal="left" vertical="center" wrapText="1" indent="1" readingOrder="1"/>
    </xf>
    <xf numFmtId="171" fontId="40" fillId="6" borderId="8" applyAlignment="1" pivotButton="0" quotePrefix="0" xfId="28">
      <alignment horizontal="center" vertical="center" wrapText="1" readingOrder="1"/>
    </xf>
    <xf numFmtId="0" fontId="16" fillId="6" borderId="8" applyAlignment="1" pivotButton="0" quotePrefix="0" xfId="22">
      <alignment horizontal="center" vertical="center" wrapText="1"/>
    </xf>
    <xf numFmtId="0" fontId="38" fillId="20" borderId="47" applyAlignment="1" pivotButton="0" quotePrefix="0" xfId="22">
      <alignment horizontal="center" vertical="center" wrapText="1" readingOrder="1"/>
    </xf>
    <xf numFmtId="0" fontId="34" fillId="22" borderId="45" applyAlignment="1" pivotButton="0" quotePrefix="0" xfId="22">
      <alignment horizontal="center" vertical="center" wrapText="1" readingOrder="1"/>
    </xf>
    <xf numFmtId="0" fontId="34" fillId="22" borderId="24" applyAlignment="1" pivotButton="0" quotePrefix="0" xfId="22">
      <alignment horizontal="center" vertical="center" wrapText="1" readingOrder="1"/>
    </xf>
    <xf numFmtId="0" fontId="34" fillId="22" borderId="48" applyAlignment="1" pivotButton="0" quotePrefix="0" xfId="22">
      <alignment horizontal="center" vertical="center" wrapText="1" readingOrder="1"/>
    </xf>
    <xf numFmtId="0" fontId="16" fillId="6" borderId="47" applyAlignment="1" pivotButton="0" quotePrefix="0" xfId="22">
      <alignment horizontal="center" vertical="center" wrapText="1"/>
    </xf>
    <xf numFmtId="0" fontId="33" fillId="18" borderId="49" applyAlignment="1" pivotButton="0" quotePrefix="0" xfId="22">
      <alignment horizontal="left" vertical="center" wrapText="1" indent="1" readingOrder="1"/>
    </xf>
    <xf numFmtId="0" fontId="39" fillId="19" borderId="49" applyAlignment="1" pivotButton="0" quotePrefix="0" xfId="22">
      <alignment horizontal="left" vertical="center" wrapText="1" indent="1" readingOrder="1"/>
    </xf>
    <xf numFmtId="170" fontId="40" fillId="6" borderId="50" applyAlignment="1" pivotButton="0" quotePrefix="0" xfId="22">
      <alignment horizontal="center" vertical="center" wrapText="1" readingOrder="1"/>
    </xf>
    <xf numFmtId="170" fontId="40" fillId="6" borderId="51" applyAlignment="1" pivotButton="0" quotePrefix="0" xfId="22">
      <alignment horizontal="center" vertical="center" wrapText="1" readingOrder="1"/>
    </xf>
    <xf numFmtId="171" fontId="40" fillId="6" borderId="52" applyAlignment="1" pivotButton="0" quotePrefix="0" xfId="28">
      <alignment horizontal="center" vertical="center" wrapText="1" readingOrder="1"/>
    </xf>
    <xf numFmtId="0" fontId="38" fillId="20" borderId="52" applyAlignment="1" pivotButton="0" quotePrefix="0" xfId="22">
      <alignment horizontal="center" vertical="center" wrapText="1" readingOrder="1"/>
    </xf>
    <xf numFmtId="170" fontId="40" fillId="6" borderId="53" applyAlignment="1" pivotButton="0" quotePrefix="0" xfId="22">
      <alignment horizontal="center" vertical="center" wrapText="1" readingOrder="1"/>
    </xf>
    <xf numFmtId="0" fontId="16" fillId="6" borderId="52" applyAlignment="1" pivotButton="0" quotePrefix="0" xfId="22">
      <alignment horizontal="center" vertical="center" wrapText="1"/>
    </xf>
    <xf numFmtId="0" fontId="38" fillId="20" borderId="45" applyAlignment="1" pivotButton="0" quotePrefix="0" xfId="22">
      <alignment horizontal="center" vertical="center" wrapText="1" readingOrder="1"/>
    </xf>
    <xf numFmtId="0" fontId="41" fillId="11" borderId="0" applyAlignment="1" pivotButton="0" quotePrefix="0" xfId="22">
      <alignment horizontal="general" vertical="center"/>
    </xf>
    <xf numFmtId="0" fontId="42" fillId="4" borderId="29" applyAlignment="1" pivotButton="0" quotePrefix="0" xfId="22">
      <alignment horizontal="left" vertical="center" wrapText="1" indent="1" readingOrder="1"/>
    </xf>
    <xf numFmtId="170" fontId="38" fillId="6" borderId="54" applyAlignment="1" pivotButton="0" quotePrefix="0" xfId="22">
      <alignment horizontal="center" vertical="center" wrapText="1" readingOrder="1"/>
    </xf>
    <xf numFmtId="170" fontId="38" fillId="6" borderId="55" applyAlignment="1" pivotButton="0" quotePrefix="0" xfId="22">
      <alignment horizontal="center" vertical="center" wrapText="1" readingOrder="1"/>
    </xf>
    <xf numFmtId="171" fontId="43" fillId="6" borderId="56" applyAlignment="1" pivotButton="0" quotePrefix="0" xfId="28">
      <alignment horizontal="center" vertical="center" wrapText="1" readingOrder="1"/>
    </xf>
    <xf numFmtId="0" fontId="44" fillId="20" borderId="56" applyAlignment="1" pivotButton="0" quotePrefix="0" xfId="22">
      <alignment horizontal="center" vertical="center" wrapText="1" readingOrder="1"/>
    </xf>
    <xf numFmtId="170" fontId="38" fillId="6" borderId="56" applyAlignment="1" pivotButton="0" quotePrefix="0" xfId="22">
      <alignment horizontal="center" vertical="center" wrapText="1" readingOrder="1"/>
    </xf>
    <xf numFmtId="0" fontId="38" fillId="21" borderId="56" applyAlignment="1" pivotButton="0" quotePrefix="0" xfId="22">
      <alignment horizontal="center" vertical="center" wrapText="1" readingOrder="1"/>
    </xf>
    <xf numFmtId="0" fontId="44" fillId="20" borderId="57" applyAlignment="1" pivotButton="0" quotePrefix="0" xfId="22">
      <alignment horizontal="center" vertical="center" wrapText="1" readingOrder="1"/>
    </xf>
    <xf numFmtId="171" fontId="45" fillId="4" borderId="56" applyAlignment="1" pivotButton="0" quotePrefix="0" xfId="28">
      <alignment horizontal="center" vertical="center" wrapText="1" readingOrder="1"/>
    </xf>
    <xf numFmtId="171" fontId="38" fillId="6" borderId="24" applyAlignment="1" pivotButton="0" quotePrefix="0" xfId="28">
      <alignment horizontal="center" vertical="center" wrapText="1" readingOrder="1"/>
    </xf>
    <xf numFmtId="0" fontId="46" fillId="11" borderId="0" applyAlignment="1" pivotButton="0" quotePrefix="0" xfId="22">
      <alignment horizontal="general" vertical="bottom"/>
    </xf>
    <xf numFmtId="0" fontId="34" fillId="16" borderId="31" applyAlignment="1" pivotButton="0" quotePrefix="0" xfId="22">
      <alignment horizontal="center" vertical="center" wrapText="1" readingOrder="1"/>
    </xf>
    <xf numFmtId="0" fontId="47" fillId="4" borderId="36" applyAlignment="1" pivotButton="0" quotePrefix="0" xfId="22">
      <alignment horizontal="center" vertical="center" wrapText="1" readingOrder="1"/>
    </xf>
    <xf numFmtId="0" fontId="38" fillId="9" borderId="58" applyAlignment="1" pivotButton="0" quotePrefix="0" xfId="22">
      <alignment horizontal="center" vertical="center" wrapText="1" readingOrder="1"/>
    </xf>
    <xf numFmtId="0" fontId="33" fillId="18" borderId="40" applyAlignment="1" pivotButton="0" quotePrefix="0" xfId="22">
      <alignment horizontal="left" vertical="center" wrapText="1" indent="1" readingOrder="1"/>
    </xf>
    <xf numFmtId="172" fontId="31" fillId="11" borderId="0" applyAlignment="1" pivotButton="0" quotePrefix="0" xfId="22">
      <alignment horizontal="general" vertical="center"/>
    </xf>
    <xf numFmtId="0" fontId="33" fillId="18" borderId="43" applyAlignment="1" pivotButton="0" quotePrefix="0" xfId="22">
      <alignment horizontal="left" vertical="center" wrapText="1" indent="1" readingOrder="1"/>
    </xf>
    <xf numFmtId="0" fontId="33" fillId="18" borderId="50" applyAlignment="1" pivotButton="0" quotePrefix="0" xfId="22">
      <alignment horizontal="left" vertical="center" wrapText="1" indent="1" readingOrder="1"/>
    </xf>
    <xf numFmtId="0" fontId="34" fillId="22" borderId="52" applyAlignment="1" pivotButton="0" quotePrefix="0" xfId="22">
      <alignment horizontal="center" vertical="center" wrapText="1"/>
    </xf>
    <xf numFmtId="0" fontId="35" fillId="20" borderId="52" applyAlignment="1" pivotButton="0" quotePrefix="0" xfId="22">
      <alignment horizontal="center" vertical="center" wrapText="1"/>
    </xf>
    <xf numFmtId="173" fontId="31" fillId="11" borderId="0" applyAlignment="1" pivotButton="0" quotePrefix="0" xfId="22">
      <alignment horizontal="general" vertical="bottom"/>
    </xf>
    <xf numFmtId="0" fontId="32" fillId="11" borderId="59" applyAlignment="1" pivotButton="0" quotePrefix="0" xfId="22">
      <alignment horizontal="general" vertical="bottom"/>
    </xf>
    <xf numFmtId="0" fontId="35" fillId="23" borderId="34" applyAlignment="1" pivotButton="0" quotePrefix="0" xfId="22">
      <alignment horizontal="center" vertical="center" wrapText="1" readingOrder="1"/>
    </xf>
    <xf numFmtId="0" fontId="34" fillId="16" borderId="34" applyAlignment="1" pivotButton="0" quotePrefix="0" xfId="22">
      <alignment horizontal="center" vertical="center" wrapText="1" readingOrder="1"/>
    </xf>
    <xf numFmtId="0" fontId="34" fillId="4" borderId="39" applyAlignment="1" pivotButton="0" quotePrefix="0" xfId="22">
      <alignment horizontal="general" vertical="center" wrapText="1" readingOrder="1"/>
    </xf>
    <xf numFmtId="0" fontId="34" fillId="4" borderId="60" applyAlignment="1" pivotButton="0" quotePrefix="0" xfId="22">
      <alignment horizontal="general" vertical="center" wrapText="1" readingOrder="1"/>
    </xf>
    <xf numFmtId="174" fontId="47" fillId="4" borderId="50" applyAlignment="1" pivotButton="0" quotePrefix="0" xfId="22">
      <alignment horizontal="center" vertical="center" wrapText="1" readingOrder="1"/>
    </xf>
    <xf numFmtId="174" fontId="47" fillId="4" borderId="52" applyAlignment="1" pivotButton="0" quotePrefix="0" xfId="22">
      <alignment horizontal="center" vertical="center" wrapText="1" readingOrder="1"/>
    </xf>
    <xf numFmtId="0" fontId="40" fillId="6" borderId="39" applyAlignment="1" pivotButton="0" quotePrefix="0" xfId="22">
      <alignment horizontal="left" vertical="center" wrapText="1" indent="1" readingOrder="1"/>
    </xf>
    <xf numFmtId="0" fontId="38" fillId="21" borderId="47" applyAlignment="1" pivotButton="0" quotePrefix="0" xfId="22">
      <alignment horizontal="center" vertical="center" wrapText="1" readingOrder="1"/>
    </xf>
    <xf numFmtId="0" fontId="40" fillId="6" borderId="60" applyAlignment="1" pivotButton="0" quotePrefix="0" xfId="22">
      <alignment horizontal="left" vertical="center" wrapText="1" indent="1" readingOrder="1"/>
    </xf>
    <xf numFmtId="0" fontId="38" fillId="19" borderId="29" applyAlignment="1" pivotButton="0" quotePrefix="0" xfId="22">
      <alignment horizontal="general" vertical="center" wrapText="1" readingOrder="1"/>
    </xf>
    <xf numFmtId="170" fontId="38" fillId="19" borderId="54" applyAlignment="1" pivotButton="0" quotePrefix="0" xfId="22">
      <alignment horizontal="center" vertical="center" wrapText="1" readingOrder="1"/>
    </xf>
    <xf numFmtId="170" fontId="38" fillId="19" borderId="55" applyAlignment="1" pivotButton="0" quotePrefix="0" xfId="22">
      <alignment horizontal="center" vertical="center" wrapText="1" readingOrder="1"/>
    </xf>
    <xf numFmtId="171" fontId="38" fillId="19" borderId="56" applyAlignment="1" pivotButton="0" quotePrefix="0" xfId="28">
      <alignment horizontal="center" vertical="center" wrapText="1" readingOrder="1"/>
    </xf>
    <xf numFmtId="0" fontId="38" fillId="21" borderId="57" applyAlignment="1" pivotButton="0" quotePrefix="0" xfId="22">
      <alignment horizontal="center" vertical="center" wrapText="1" readingOrder="1"/>
    </xf>
    <xf numFmtId="0" fontId="40" fillId="6" borderId="61" applyAlignment="1" pivotButton="0" quotePrefix="0" xfId="22">
      <alignment horizontal="left" vertical="center" wrapText="1" indent="1" readingOrder="1"/>
    </xf>
    <xf numFmtId="0" fontId="40" fillId="6" borderId="59" applyAlignment="1" pivotButton="0" quotePrefix="0" xfId="22">
      <alignment horizontal="left" vertical="center" wrapText="1" indent="1" readingOrder="1"/>
    </xf>
    <xf numFmtId="0" fontId="38" fillId="20" borderId="57" applyAlignment="1" pivotButton="0" quotePrefix="0" xfId="22">
      <alignment horizontal="center" vertical="center" wrapText="1" readingOrder="1"/>
    </xf>
    <xf numFmtId="0" fontId="34" fillId="4" borderId="62" applyAlignment="1" pivotButton="0" quotePrefix="0" xfId="22">
      <alignment horizontal="left" vertical="center" wrapText="1" indent="1" readingOrder="1"/>
    </xf>
    <xf numFmtId="0" fontId="34" fillId="4" borderId="34" applyAlignment="1" pivotButton="0" quotePrefix="0" xfId="22">
      <alignment horizontal="left" vertical="center" wrapText="1" readingOrder="1"/>
    </xf>
    <xf numFmtId="0" fontId="34" fillId="4" borderId="59" applyAlignment="1" pivotButton="0" quotePrefix="0" xfId="22">
      <alignment horizontal="left" vertical="center" wrapText="1" readingOrder="1"/>
    </xf>
    <xf numFmtId="0" fontId="0" fillId="0" borderId="102" pivotButton="0" quotePrefix="0" xfId="0"/>
    <xf numFmtId="0" fontId="34" fillId="4" borderId="60" applyAlignment="1" pivotButton="0" quotePrefix="0" xfId="22">
      <alignment horizontal="left" vertical="center" wrapText="1" readingOrder="1"/>
    </xf>
    <xf numFmtId="0" fontId="0" fillId="0" borderId="0" applyAlignment="1" pivotButton="0" quotePrefix="0" xfId="26">
      <alignment horizontal="left" vertical="bottom"/>
    </xf>
    <xf numFmtId="0" fontId="0" fillId="0" borderId="0" applyAlignment="1" pivotButton="0" quotePrefix="0" xfId="26">
      <alignment horizontal="general" vertical="bottom"/>
    </xf>
    <xf numFmtId="0" fontId="0" fillId="0" borderId="0" applyAlignment="1" pivotButton="0" quotePrefix="0" xfId="26">
      <alignment horizontal="center" vertical="bottom"/>
    </xf>
    <xf numFmtId="0" fontId="0" fillId="0" borderId="0" applyAlignment="1" pivotButton="0" quotePrefix="0" xfId="26">
      <alignment horizontal="left" vertical="top" wrapText="1"/>
    </xf>
    <xf numFmtId="0" fontId="48" fillId="24" borderId="63" applyAlignment="1" pivotButton="0" quotePrefix="0" xfId="27">
      <alignment horizontal="left" vertical="top" wrapText="1"/>
    </xf>
    <xf numFmtId="0" fontId="48" fillId="24" borderId="64" applyAlignment="1" pivotButton="0" quotePrefix="0" xfId="27">
      <alignment horizontal="left" vertical="top" wrapText="1"/>
    </xf>
    <xf numFmtId="0" fontId="0" fillId="3" borderId="64" applyAlignment="1" pivotButton="0" quotePrefix="0" xfId="27">
      <alignment horizontal="left" vertical="top" wrapText="1"/>
    </xf>
    <xf numFmtId="0" fontId="48" fillId="24" borderId="64" applyAlignment="1" pivotButton="0" quotePrefix="0" xfId="26">
      <alignment horizontal="left" vertical="top" wrapText="1"/>
    </xf>
    <xf numFmtId="0" fontId="48" fillId="25" borderId="64" applyAlignment="1" pivotButton="0" quotePrefix="0" xfId="26">
      <alignment horizontal="left" vertical="top" wrapText="1"/>
    </xf>
    <xf numFmtId="0" fontId="48" fillId="25" borderId="64" applyAlignment="1" pivotButton="0" quotePrefix="0" xfId="27">
      <alignment horizontal="left" vertical="top" wrapText="1"/>
    </xf>
    <xf numFmtId="0" fontId="49" fillId="26" borderId="0" applyAlignment="1" pivotButton="0" quotePrefix="0" xfId="27">
      <alignment horizontal="general" vertical="bottom"/>
    </xf>
    <xf numFmtId="0" fontId="49" fillId="26" borderId="64" applyAlignment="1" pivotButton="0" quotePrefix="0" xfId="27">
      <alignment horizontal="center" vertical="bottom"/>
    </xf>
    <xf numFmtId="0" fontId="50" fillId="23" borderId="64" applyAlignment="1" pivotButton="0" quotePrefix="0" xfId="27">
      <alignment horizontal="center" vertical="bottom"/>
    </xf>
    <xf numFmtId="0" fontId="50" fillId="23" borderId="29" applyAlignment="1" pivotButton="0" quotePrefix="0" xfId="27">
      <alignment horizontal="center" vertical="bottom" wrapText="1"/>
    </xf>
    <xf numFmtId="0" fontId="50" fillId="23" borderId="64" applyAlignment="1" pivotButton="0" quotePrefix="0" xfId="27">
      <alignment horizontal="center" vertical="bottom" wrapText="1"/>
    </xf>
    <xf numFmtId="0" fontId="50" fillId="23" borderId="63" applyAlignment="1" pivotButton="0" quotePrefix="0" xfId="27">
      <alignment horizontal="center" vertical="bottom"/>
    </xf>
    <xf numFmtId="0" fontId="50" fillId="23" borderId="0" applyAlignment="1" pivotButton="0" quotePrefix="0" xfId="27">
      <alignment horizontal="center" vertical="bottom"/>
    </xf>
    <xf numFmtId="0" fontId="50" fillId="23" borderId="0" applyAlignment="1" pivotButton="0" quotePrefix="0" xfId="27">
      <alignment horizontal="center" vertical="bottom" wrapText="1"/>
    </xf>
    <xf numFmtId="0" fontId="51" fillId="0" borderId="0" applyAlignment="1" pivotButton="0" quotePrefix="0" xfId="0">
      <alignment horizontal="general" vertical="bottom" wrapText="1"/>
    </xf>
    <xf numFmtId="0" fontId="51" fillId="0" borderId="0" applyAlignment="1" pivotButton="0" quotePrefix="0" xfId="0">
      <alignment horizontal="general" vertical="bottom"/>
    </xf>
    <xf numFmtId="1" fontId="52" fillId="27" borderId="64" applyAlignment="1" pivotButton="0" quotePrefix="0" xfId="27">
      <alignment horizontal="left" vertical="bottom"/>
    </xf>
    <xf numFmtId="0" fontId="0" fillId="27" borderId="64" applyAlignment="1" pivotButton="0" quotePrefix="0" xfId="27">
      <alignment horizontal="general" vertical="bottom"/>
    </xf>
    <xf numFmtId="0" fontId="0" fillId="28" borderId="64" applyAlignment="1" pivotButton="0" quotePrefix="0" xfId="27">
      <alignment horizontal="general" vertical="bottom"/>
    </xf>
    <xf numFmtId="0" fontId="0" fillId="27" borderId="64" applyAlignment="1" pivotButton="0" quotePrefix="0" xfId="26">
      <alignment horizontal="general" vertical="bottom"/>
    </xf>
    <xf numFmtId="0" fontId="52" fillId="27" borderId="29" applyAlignment="1" pivotButton="0" quotePrefix="0" xfId="27">
      <alignment horizontal="left" vertical="bottom"/>
    </xf>
    <xf numFmtId="0" fontId="0" fillId="27" borderId="64" applyAlignment="1" pivotButton="0" quotePrefix="0" xfId="26">
      <alignment horizontal="center" vertical="center"/>
    </xf>
    <xf numFmtId="0" fontId="0" fillId="27" borderId="64" applyAlignment="1" pivotButton="0" quotePrefix="0" xfId="27">
      <alignment horizontal="center" vertical="bottom"/>
    </xf>
    <xf numFmtId="0" fontId="0" fillId="27" borderId="64" applyAlignment="1" pivotButton="0" quotePrefix="0" xfId="26">
      <alignment horizontal="center" vertical="bottom"/>
    </xf>
    <xf numFmtId="0" fontId="0" fillId="27" borderId="29" applyAlignment="1" pivotButton="0" quotePrefix="0" xfId="26">
      <alignment horizontal="center" vertical="bottom"/>
    </xf>
    <xf numFmtId="175" fontId="0" fillId="27" borderId="29" applyAlignment="1" pivotButton="0" quotePrefix="0" xfId="21">
      <alignment horizontal="center" vertical="bottom"/>
    </xf>
    <xf numFmtId="9" fontId="0" fillId="27" borderId="64" applyAlignment="1" pivotButton="0" quotePrefix="0" xfId="27">
      <alignment horizontal="center" vertical="bottom"/>
    </xf>
    <xf numFmtId="9" fontId="0" fillId="27" borderId="64" applyAlignment="1" pivotButton="0" quotePrefix="0" xfId="26">
      <alignment horizontal="center" vertical="bottom"/>
    </xf>
    <xf numFmtId="176" fontId="0" fillId="27" borderId="64" applyAlignment="1" pivotButton="0" quotePrefix="0" xfId="26">
      <alignment horizontal="general" vertical="bottom"/>
    </xf>
    <xf numFmtId="177" fontId="0" fillId="27" borderId="64" applyAlignment="1" pivotButton="0" quotePrefix="0" xfId="26">
      <alignment horizontal="general" vertical="bottom"/>
    </xf>
    <xf numFmtId="178" fontId="0" fillId="0" borderId="0" applyAlignment="1" pivotButton="0" quotePrefix="0" xfId="27">
      <alignment horizontal="general" vertical="top" wrapText="1"/>
    </xf>
    <xf numFmtId="179" fontId="0" fillId="27" borderId="64" applyAlignment="1" pivotButton="0" quotePrefix="0" xfId="26">
      <alignment horizontal="center" vertical="bottom"/>
    </xf>
    <xf numFmtId="179" fontId="0" fillId="27" borderId="64" applyAlignment="1" pivotButton="0" quotePrefix="0" xfId="26">
      <alignment horizontal="general" vertical="bottom"/>
    </xf>
    <xf numFmtId="180" fontId="0" fillId="27" borderId="64" applyAlignment="1" pivotButton="0" quotePrefix="0" xfId="26">
      <alignment horizontal="center" vertical="bottom"/>
    </xf>
    <xf numFmtId="175" fontId="0" fillId="27" borderId="64" applyAlignment="1" pivotButton="0" quotePrefix="0" xfId="21">
      <alignment horizontal="general" vertical="bottom"/>
    </xf>
    <xf numFmtId="175" fontId="0" fillId="27" borderId="64" applyAlignment="1" pivotButton="0" quotePrefix="0" xfId="21">
      <alignment horizontal="center" vertical="bottom"/>
    </xf>
    <xf numFmtId="1" fontId="52" fillId="27" borderId="63" applyAlignment="1" pivotButton="0" quotePrefix="0" xfId="27">
      <alignment horizontal="left" vertical="bottom"/>
    </xf>
    <xf numFmtId="0" fontId="0" fillId="27" borderId="63" applyAlignment="1" pivotButton="0" quotePrefix="0" xfId="26">
      <alignment horizontal="general" vertical="top" wrapText="1"/>
    </xf>
    <xf numFmtId="0" fontId="0" fillId="27" borderId="63" applyAlignment="1" pivotButton="0" quotePrefix="0" xfId="26">
      <alignment horizontal="general" vertical="bottom"/>
    </xf>
    <xf numFmtId="0" fontId="0" fillId="28" borderId="63" applyAlignment="1" pivotButton="0" quotePrefix="0" xfId="27">
      <alignment horizontal="general" vertical="bottom"/>
    </xf>
    <xf numFmtId="0" fontId="0" fillId="27" borderId="63" applyAlignment="1" pivotButton="0" quotePrefix="0" xfId="27">
      <alignment horizontal="general" vertical="bottom"/>
    </xf>
    <xf numFmtId="0" fontId="0" fillId="27" borderId="0" applyAlignment="1" pivotButton="0" quotePrefix="0" xfId="26">
      <alignment horizontal="general" vertical="bottom"/>
    </xf>
    <xf numFmtId="0" fontId="52" fillId="27" borderId="59" applyAlignment="1" pivotButton="0" quotePrefix="0" xfId="27">
      <alignment horizontal="left" vertical="bottom"/>
    </xf>
    <xf numFmtId="0" fontId="0" fillId="27" borderId="63" applyAlignment="1" pivotButton="0" quotePrefix="0" xfId="26">
      <alignment horizontal="center" vertical="center"/>
    </xf>
    <xf numFmtId="0" fontId="52" fillId="27" borderId="64" applyAlignment="1" pivotButton="0" quotePrefix="0" xfId="27">
      <alignment horizontal="left" vertical="bottom"/>
    </xf>
    <xf numFmtId="1" fontId="52" fillId="27" borderId="65" applyAlignment="1" pivotButton="0" quotePrefix="0" xfId="27">
      <alignment horizontal="left" vertical="bottom"/>
    </xf>
    <xf numFmtId="0" fontId="0" fillId="27" borderId="65" applyAlignment="1" pivotButton="0" quotePrefix="0" xfId="27">
      <alignment horizontal="general" vertical="bottom"/>
    </xf>
    <xf numFmtId="0" fontId="0" fillId="28" borderId="65" applyAlignment="1" pivotButton="0" quotePrefix="0" xfId="27">
      <alignment horizontal="general" vertical="bottom"/>
    </xf>
    <xf numFmtId="0" fontId="0" fillId="27" borderId="65" applyAlignment="1" pivotButton="0" quotePrefix="0" xfId="26">
      <alignment horizontal="general" vertical="bottom"/>
    </xf>
    <xf numFmtId="0" fontId="52" fillId="27" borderId="60" applyAlignment="1" pivotButton="0" quotePrefix="0" xfId="27">
      <alignment horizontal="left" vertical="bottom"/>
    </xf>
    <xf numFmtId="0" fontId="0" fillId="27" borderId="66" applyAlignment="1" pivotButton="0" quotePrefix="0" xfId="26">
      <alignment horizontal="center" vertical="bottom"/>
    </xf>
    <xf numFmtId="0" fontId="52" fillId="27" borderId="62" applyAlignment="1" pivotButton="0" quotePrefix="0" xfId="27">
      <alignment horizontal="left" vertical="bottom"/>
    </xf>
    <xf numFmtId="0" fontId="0" fillId="27" borderId="65" applyAlignment="1" pivotButton="0" quotePrefix="0" xfId="26">
      <alignment horizontal="center" vertical="center"/>
    </xf>
    <xf numFmtId="0" fontId="0" fillId="27" borderId="62" applyAlignment="1" pivotButton="0" quotePrefix="0" xfId="26">
      <alignment horizontal="center" vertical="bottom"/>
    </xf>
    <xf numFmtId="175" fontId="0" fillId="27" borderId="62" applyAlignment="1" pivotButton="0" quotePrefix="0" xfId="21">
      <alignment horizontal="center" vertical="bottom"/>
    </xf>
    <xf numFmtId="9" fontId="0" fillId="27" borderId="65" applyAlignment="1" pivotButton="0" quotePrefix="0" xfId="27">
      <alignment horizontal="center" vertical="bottom"/>
    </xf>
    <xf numFmtId="0" fontId="0" fillId="27" borderId="65" applyAlignment="1" pivotButton="0" quotePrefix="0" xfId="27">
      <alignment horizontal="center" vertical="bottom"/>
    </xf>
    <xf numFmtId="9" fontId="0" fillId="27" borderId="65" applyAlignment="1" pivotButton="0" quotePrefix="0" xfId="26">
      <alignment horizontal="center" vertical="bottom"/>
    </xf>
    <xf numFmtId="176" fontId="0" fillId="27" borderId="65" applyAlignment="1" pivotButton="0" quotePrefix="0" xfId="26">
      <alignment horizontal="general" vertical="bottom"/>
    </xf>
    <xf numFmtId="177" fontId="0" fillId="27" borderId="65" applyAlignment="1" pivotButton="0" quotePrefix="0" xfId="26">
      <alignment horizontal="general" vertical="bottom"/>
    </xf>
    <xf numFmtId="0" fontId="0" fillId="27" borderId="64" applyAlignment="1" pivotButton="0" quotePrefix="0" xfId="26">
      <alignment horizontal="general" vertical="top" wrapText="1"/>
    </xf>
    <xf numFmtId="0" fontId="22" fillId="27" borderId="64" applyAlignment="1" pivotButton="0" quotePrefix="0" xfId="26">
      <alignment horizontal="center" vertical="bottom"/>
    </xf>
    <xf numFmtId="0" fontId="22" fillId="0" borderId="0" applyAlignment="1" pivotButton="0" quotePrefix="0" xfId="26">
      <alignment horizontal="general" vertical="bottom"/>
    </xf>
    <xf numFmtId="0" fontId="0" fillId="27" borderId="0" applyAlignment="1" pivotButton="0" quotePrefix="0" xfId="27">
      <alignment horizontal="general" vertical="bottom"/>
    </xf>
    <xf numFmtId="9" fontId="0" fillId="27" borderId="0" applyAlignment="1" pivotButton="0" quotePrefix="0" xfId="26">
      <alignment horizontal="center" vertical="bottom"/>
    </xf>
    <xf numFmtId="179" fontId="0" fillId="27" borderId="0" applyAlignment="1" pivotButton="0" quotePrefix="0" xfId="26">
      <alignment horizontal="center" vertical="bottom"/>
    </xf>
    <xf numFmtId="179" fontId="0" fillId="27" borderId="0" applyAlignment="1" pivotButton="0" quotePrefix="0" xfId="26">
      <alignment horizontal="general" vertical="bottom"/>
    </xf>
    <xf numFmtId="177" fontId="0" fillId="27" borderId="0" applyAlignment="1" pivotButton="0" quotePrefix="0" xfId="26">
      <alignment horizontal="general" vertical="bottom"/>
    </xf>
    <xf numFmtId="10" fontId="0" fillId="27" borderId="64" applyAlignment="1" pivotButton="0" quotePrefix="0" xfId="26">
      <alignment horizontal="center" vertical="bottom"/>
    </xf>
    <xf numFmtId="1" fontId="52" fillId="27" borderId="64" applyAlignment="1" pivotButton="0" quotePrefix="0" xfId="27">
      <alignment horizontal="general" vertical="top" wrapText="1"/>
    </xf>
    <xf numFmtId="0" fontId="0" fillId="27" borderId="64" applyAlignment="1" pivotButton="0" quotePrefix="0" xfId="27">
      <alignment horizontal="general" vertical="top" wrapText="1"/>
    </xf>
    <xf numFmtId="0" fontId="0" fillId="23" borderId="64" applyAlignment="1" pivotButton="0" quotePrefix="0" xfId="27">
      <alignment horizontal="general" vertical="top" wrapText="1"/>
    </xf>
    <xf numFmtId="0" fontId="52" fillId="27" borderId="29" applyAlignment="1" pivotButton="0" quotePrefix="0" xfId="27">
      <alignment horizontal="general" vertical="top" wrapText="1"/>
    </xf>
    <xf numFmtId="0" fontId="0" fillId="27" borderId="29" applyAlignment="1" pivotButton="0" quotePrefix="0" xfId="26">
      <alignment horizontal="general" vertical="top" wrapText="1"/>
    </xf>
    <xf numFmtId="175" fontId="0" fillId="27" borderId="29" applyAlignment="1" pivotButton="0" quotePrefix="0" xfId="21">
      <alignment horizontal="general" vertical="top" wrapText="1"/>
    </xf>
    <xf numFmtId="9" fontId="0" fillId="27" borderId="64" applyAlignment="1" pivotButton="0" quotePrefix="0" xfId="26">
      <alignment horizontal="general" vertical="top" wrapText="1"/>
    </xf>
    <xf numFmtId="179" fontId="0" fillId="27" borderId="64" applyAlignment="1" pivotButton="0" quotePrefix="0" xfId="26">
      <alignment horizontal="general" vertical="top" wrapText="1"/>
    </xf>
    <xf numFmtId="177" fontId="0" fillId="27" borderId="64" applyAlignment="1" pivotButton="0" quotePrefix="0" xfId="26">
      <alignment horizontal="general" vertical="top" wrapText="1"/>
    </xf>
    <xf numFmtId="0" fontId="0" fillId="0" borderId="0" applyAlignment="1" pivotButton="0" quotePrefix="0" xfId="27">
      <alignment horizontal="general" vertical="top" wrapText="1"/>
    </xf>
    <xf numFmtId="180" fontId="0" fillId="27" borderId="64" applyAlignment="1" pivotButton="0" quotePrefix="0" xfId="26">
      <alignment horizontal="general" vertical="top" wrapText="1"/>
    </xf>
    <xf numFmtId="175" fontId="0" fillId="27" borderId="64" applyAlignment="1" pivotButton="0" quotePrefix="0" xfId="21">
      <alignment horizontal="general" vertical="top" wrapText="1"/>
    </xf>
    <xf numFmtId="1" fontId="0" fillId="27" borderId="64" applyAlignment="1" pivotButton="0" quotePrefix="0" xfId="27">
      <alignment horizontal="general" vertical="top" wrapText="1"/>
    </xf>
    <xf numFmtId="0" fontId="0" fillId="27" borderId="0" applyAlignment="1" pivotButton="0" quotePrefix="0" xfId="27">
      <alignment horizontal="general" vertical="top" wrapText="1"/>
    </xf>
    <xf numFmtId="0" fontId="0" fillId="23" borderId="64" applyAlignment="1" pivotButton="0" quotePrefix="0" xfId="26">
      <alignment horizontal="general" vertical="top" wrapText="1"/>
    </xf>
    <xf numFmtId="176" fontId="0" fillId="27" borderId="64" applyAlignment="1" pivotButton="0" quotePrefix="0" xfId="26">
      <alignment horizontal="general" vertical="top" wrapText="1"/>
    </xf>
    <xf numFmtId="9" fontId="0" fillId="27" borderId="64" applyAlignment="1" pivotButton="0" quotePrefix="0" xfId="27">
      <alignment horizontal="general" vertical="top" wrapText="1"/>
    </xf>
    <xf numFmtId="0" fontId="0" fillId="27" borderId="29" applyAlignment="1" pivotButton="0" quotePrefix="0" xfId="27">
      <alignment horizontal="general" vertical="top" wrapText="1"/>
    </xf>
    <xf numFmtId="181" fontId="0" fillId="27" borderId="64" applyAlignment="1" pivotButton="0" quotePrefix="0" xfId="26">
      <alignment horizontal="general" vertical="top" wrapText="1"/>
    </xf>
    <xf numFmtId="9" fontId="0" fillId="27" borderId="0" applyAlignment="1" pivotButton="0" quotePrefix="0" xfId="26">
      <alignment horizontal="general" vertical="top" wrapText="1"/>
    </xf>
    <xf numFmtId="179" fontId="0" fillId="27" borderId="0" applyAlignment="1" pivotButton="0" quotePrefix="0" xfId="26">
      <alignment horizontal="general" vertical="top" wrapText="1"/>
    </xf>
    <xf numFmtId="177" fontId="0" fillId="27" borderId="0" applyAlignment="1" pivotButton="0" quotePrefix="0" xfId="26">
      <alignment horizontal="general" vertical="top" wrapText="1"/>
    </xf>
    <xf numFmtId="0" fontId="0" fillId="3" borderId="0" applyAlignment="1" pivotButton="0" quotePrefix="0" xfId="0">
      <alignment horizontal="general" vertical="bottom"/>
    </xf>
    <xf numFmtId="0" fontId="0" fillId="0" borderId="0" applyAlignment="1" pivotButton="0" quotePrefix="0" xfId="26">
      <alignment horizontal="general" vertical="top" wrapText="1"/>
    </xf>
    <xf numFmtId="0" fontId="27" fillId="0" borderId="0" applyAlignment="1" pivotButton="0" quotePrefix="0" xfId="27">
      <alignment horizontal="general" vertical="top" wrapText="1"/>
    </xf>
    <xf numFmtId="179" fontId="0" fillId="27" borderId="64" applyAlignment="1" pivotButton="0" quotePrefix="0" xfId="30">
      <alignment horizontal="center" vertical="bottom"/>
    </xf>
    <xf numFmtId="179" fontId="0" fillId="27" borderId="64" applyAlignment="1" pivotButton="0" quotePrefix="0" xfId="30">
      <alignment horizontal="general" vertical="bottom"/>
    </xf>
    <xf numFmtId="1" fontId="52" fillId="0" borderId="64" applyAlignment="1" pivotButton="0" quotePrefix="0" xfId="27">
      <alignment horizontal="left" vertical="bottom"/>
    </xf>
    <xf numFmtId="0" fontId="0" fillId="0" borderId="64" applyAlignment="1" pivotButton="0" quotePrefix="0" xfId="27">
      <alignment horizontal="general" vertical="bottom"/>
    </xf>
    <xf numFmtId="0" fontId="0" fillId="29" borderId="64" applyAlignment="1" pivotButton="0" quotePrefix="0" xfId="27">
      <alignment horizontal="general" vertical="bottom"/>
    </xf>
    <xf numFmtId="0" fontId="0" fillId="0" borderId="64" applyAlignment="1" pivotButton="0" quotePrefix="0" xfId="26">
      <alignment horizontal="general" vertical="bottom"/>
    </xf>
    <xf numFmtId="0" fontId="52" fillId="0" borderId="29" applyAlignment="1" pivotButton="0" quotePrefix="0" xfId="27">
      <alignment horizontal="left" vertical="bottom"/>
    </xf>
    <xf numFmtId="0" fontId="0" fillId="0" borderId="64" applyAlignment="1" pivotButton="0" quotePrefix="0" xfId="26">
      <alignment horizontal="center" vertical="center"/>
    </xf>
    <xf numFmtId="0" fontId="0" fillId="0" borderId="64" applyAlignment="1" pivotButton="0" quotePrefix="0" xfId="26">
      <alignment horizontal="center" vertical="bottom"/>
    </xf>
    <xf numFmtId="0" fontId="0" fillId="0" borderId="29" applyAlignment="1" pivotButton="0" quotePrefix="0" xfId="26">
      <alignment horizontal="center" vertical="bottom"/>
    </xf>
    <xf numFmtId="175" fontId="0" fillId="0" borderId="29" applyAlignment="1" pivotButton="0" quotePrefix="0" xfId="21">
      <alignment horizontal="center" vertical="bottom"/>
    </xf>
    <xf numFmtId="9" fontId="0" fillId="0" borderId="64" applyAlignment="1" pivotButton="0" quotePrefix="0" xfId="26">
      <alignment horizontal="center" vertical="bottom"/>
    </xf>
    <xf numFmtId="179" fontId="0" fillId="0" borderId="64" applyAlignment="1" pivotButton="0" quotePrefix="0" xfId="26">
      <alignment horizontal="center" vertical="bottom"/>
    </xf>
    <xf numFmtId="179" fontId="0" fillId="0" borderId="64" applyAlignment="1" pivotButton="0" quotePrefix="0" xfId="26">
      <alignment horizontal="general" vertical="bottom"/>
    </xf>
    <xf numFmtId="175" fontId="0" fillId="0" borderId="64" applyAlignment="1" pivotButton="0" quotePrefix="0" xfId="21">
      <alignment horizontal="general" vertical="bottom"/>
    </xf>
    <xf numFmtId="0" fontId="0" fillId="0" borderId="0" applyAlignment="1" pivotButton="0" quotePrefix="0" xfId="27">
      <alignment horizontal="general" vertical="bottom"/>
    </xf>
    <xf numFmtId="180" fontId="0" fillId="0" borderId="64" applyAlignment="1" pivotButton="0" quotePrefix="0" xfId="26">
      <alignment horizontal="center" vertical="bottom"/>
    </xf>
    <xf numFmtId="176" fontId="0" fillId="0" borderId="64" applyAlignment="1" pivotButton="0" quotePrefix="0" xfId="26">
      <alignment horizontal="general" vertical="bottom"/>
    </xf>
    <xf numFmtId="10" fontId="0" fillId="0" borderId="64" applyAlignment="1" pivotButton="0" quotePrefix="0" xfId="26">
      <alignment horizontal="center" vertical="bottom"/>
    </xf>
    <xf numFmtId="0" fontId="0" fillId="0" borderId="64" applyAlignment="1" pivotButton="0" quotePrefix="0" xfId="27">
      <alignment horizontal="center" vertical="bottom"/>
    </xf>
    <xf numFmtId="9" fontId="0" fillId="0" borderId="64" applyAlignment="1" pivotButton="0" quotePrefix="0" xfId="27">
      <alignment horizontal="center" vertical="bottom"/>
    </xf>
    <xf numFmtId="0" fontId="0" fillId="0" borderId="64" applyAlignment="1" pivotButton="0" quotePrefix="0" xfId="27">
      <alignment horizontal="left" vertical="bottom"/>
    </xf>
    <xf numFmtId="177" fontId="0" fillId="0" borderId="64" applyAlignment="1" pivotButton="0" quotePrefix="0" xfId="26">
      <alignment horizontal="general" vertical="bottom"/>
    </xf>
    <xf numFmtId="0" fontId="0" fillId="3" borderId="64" applyAlignment="1" pivotButton="0" quotePrefix="0" xfId="26">
      <alignment horizontal="general" vertical="bottom"/>
    </xf>
    <xf numFmtId="0" fontId="0" fillId="28" borderId="64" applyAlignment="1" pivotButton="0" quotePrefix="0" xfId="26">
      <alignment horizontal="general" vertical="top" wrapText="1"/>
    </xf>
    <xf numFmtId="1" fontId="0" fillId="27" borderId="64" applyAlignment="1" pivotButton="0" quotePrefix="0" xfId="27">
      <alignment horizontal="left" vertical="bottom"/>
    </xf>
    <xf numFmtId="0" fontId="0" fillId="27" borderId="64" applyAlignment="1" pivotButton="0" quotePrefix="0" xfId="27">
      <alignment horizontal="center" vertical="center"/>
    </xf>
    <xf numFmtId="0" fontId="0" fillId="27" borderId="29" applyAlignment="1" pivotButton="0" quotePrefix="0" xfId="27">
      <alignment horizontal="center" vertical="bottom"/>
    </xf>
    <xf numFmtId="0" fontId="0" fillId="27" borderId="0" applyAlignment="1" pivotButton="0" quotePrefix="0" xfId="26">
      <alignment horizontal="general" vertical="top" wrapText="1"/>
    </xf>
    <xf numFmtId="0" fontId="26" fillId="27" borderId="64" applyAlignment="1" pivotButton="0" quotePrefix="0" xfId="26">
      <alignment horizontal="center" vertical="center"/>
    </xf>
    <xf numFmtId="1" fontId="22" fillId="27" borderId="64" applyAlignment="1" pivotButton="0" quotePrefix="0" xfId="27">
      <alignment horizontal="left" vertical="bottom"/>
    </xf>
    <xf numFmtId="0" fontId="22" fillId="27" borderId="64" applyAlignment="1" pivotButton="0" quotePrefix="0" xfId="27">
      <alignment horizontal="general" vertical="bottom"/>
    </xf>
    <xf numFmtId="0" fontId="22" fillId="28" borderId="64" applyAlignment="1" pivotButton="0" quotePrefix="0" xfId="26">
      <alignment horizontal="general" vertical="top" wrapText="1"/>
    </xf>
    <xf numFmtId="0" fontId="22" fillId="27" borderId="64" applyAlignment="1" pivotButton="0" quotePrefix="0" xfId="26">
      <alignment horizontal="general" vertical="bottom"/>
    </xf>
    <xf numFmtId="0" fontId="22" fillId="27" borderId="64" applyAlignment="1" pivotButton="0" quotePrefix="0" xfId="26">
      <alignment horizontal="general" vertical="top" wrapText="1"/>
    </xf>
    <xf numFmtId="0" fontId="22" fillId="27" borderId="29" applyAlignment="1" pivotButton="0" quotePrefix="0" xfId="27">
      <alignment horizontal="left" vertical="bottom"/>
    </xf>
    <xf numFmtId="0" fontId="22" fillId="27" borderId="64" applyAlignment="1" pivotButton="0" quotePrefix="0" xfId="26">
      <alignment horizontal="center" vertical="center"/>
    </xf>
    <xf numFmtId="0" fontId="22" fillId="27" borderId="29" applyAlignment="1" pivotButton="0" quotePrefix="0" xfId="26">
      <alignment horizontal="center" vertical="bottom"/>
    </xf>
    <xf numFmtId="175" fontId="22" fillId="27" borderId="29" applyAlignment="1" pivotButton="0" quotePrefix="0" xfId="21">
      <alignment horizontal="center" vertical="bottom"/>
    </xf>
    <xf numFmtId="9" fontId="22" fillId="27" borderId="64" applyAlignment="1" pivotButton="0" quotePrefix="0" xfId="26">
      <alignment horizontal="center" vertical="bottom"/>
    </xf>
    <xf numFmtId="179" fontId="22" fillId="27" borderId="64" applyAlignment="1" pivotButton="0" quotePrefix="0" xfId="26">
      <alignment horizontal="center" vertical="bottom"/>
    </xf>
    <xf numFmtId="179" fontId="22" fillId="27" borderId="64" applyAlignment="1" pivotButton="0" quotePrefix="0" xfId="26">
      <alignment horizontal="general" vertical="bottom"/>
    </xf>
    <xf numFmtId="177" fontId="22" fillId="27" borderId="64" applyAlignment="1" pivotButton="0" quotePrefix="0" xfId="26">
      <alignment horizontal="general" vertical="bottom"/>
    </xf>
    <xf numFmtId="0" fontId="0" fillId="27" borderId="0" applyAlignment="1" pivotButton="0" quotePrefix="0" xfId="26">
      <alignment horizontal="center" vertical="bottom"/>
    </xf>
    <xf numFmtId="0" fontId="0" fillId="27" borderId="0" applyAlignment="1" pivotButton="0" quotePrefix="0" xfId="26">
      <alignment horizontal="center" vertical="center"/>
    </xf>
    <xf numFmtId="0" fontId="0" fillId="27" borderId="0" applyAlignment="1" pivotButton="0" quotePrefix="0" xfId="27">
      <alignment horizontal="center" vertical="bottom"/>
    </xf>
    <xf numFmtId="0" fontId="22" fillId="28" borderId="64" applyAlignment="1" pivotButton="0" quotePrefix="0" xfId="27">
      <alignment horizontal="general" vertical="bottom"/>
    </xf>
    <xf numFmtId="0" fontId="22" fillId="27" borderId="0" applyAlignment="1" pivotButton="0" quotePrefix="0" xfId="26">
      <alignment horizontal="center" vertical="bottom"/>
    </xf>
    <xf numFmtId="0" fontId="0" fillId="27" borderId="63" applyAlignment="1" pivotButton="0" quotePrefix="0" xfId="26">
      <alignment horizontal="center" vertical="bottom"/>
    </xf>
    <xf numFmtId="0" fontId="0" fillId="27" borderId="59" applyAlignment="1" pivotButton="0" quotePrefix="0" xfId="26">
      <alignment horizontal="center" vertical="bottom"/>
    </xf>
    <xf numFmtId="175" fontId="0" fillId="27" borderId="59" applyAlignment="1" pivotButton="0" quotePrefix="0" xfId="21">
      <alignment horizontal="center" vertical="bottom"/>
    </xf>
    <xf numFmtId="9" fontId="0" fillId="27" borderId="63" applyAlignment="1" pivotButton="0" quotePrefix="0" xfId="26">
      <alignment horizontal="center" vertical="bottom"/>
    </xf>
    <xf numFmtId="179" fontId="0" fillId="27" borderId="63" applyAlignment="1" pivotButton="0" quotePrefix="0" xfId="26">
      <alignment horizontal="center" vertical="bottom"/>
    </xf>
    <xf numFmtId="179" fontId="0" fillId="27" borderId="63" applyAlignment="1" pivotButton="0" quotePrefix="0" xfId="26">
      <alignment horizontal="general" vertical="bottom"/>
    </xf>
    <xf numFmtId="177" fontId="0" fillId="27" borderId="63" applyAlignment="1" pivotButton="0" quotePrefix="0" xfId="26">
      <alignment horizontal="general" vertical="bottom"/>
    </xf>
    <xf numFmtId="0" fontId="26" fillId="27" borderId="64" applyAlignment="1" pivotButton="0" quotePrefix="0" xfId="26">
      <alignment horizontal="general" vertical="bottom"/>
    </xf>
    <xf numFmtId="181" fontId="0" fillId="27" borderId="64" applyAlignment="1" pivotButton="0" quotePrefix="0" xfId="26">
      <alignment horizontal="general" vertical="bottom"/>
    </xf>
    <xf numFmtId="0" fontId="0" fillId="27" borderId="64" applyAlignment="1" pivotButton="0" quotePrefix="0" xfId="27">
      <alignment horizontal="left" vertical="bottom"/>
    </xf>
    <xf numFmtId="0" fontId="0" fillId="27" borderId="64" applyAlignment="1" pivotButton="0" quotePrefix="0" xfId="26">
      <alignment horizontal="left" vertical="top" wrapText="1"/>
    </xf>
    <xf numFmtId="0" fontId="0" fillId="28" borderId="64" applyAlignment="1" pivotButton="0" quotePrefix="0" xfId="26">
      <alignment horizontal="general" vertical="bottom"/>
    </xf>
    <xf numFmtId="9" fontId="0" fillId="27" borderId="0" applyAlignment="1" pivotButton="0" quotePrefix="0" xfId="27">
      <alignment horizontal="center" vertical="bottom"/>
    </xf>
    <xf numFmtId="176" fontId="0" fillId="27" borderId="0" applyAlignment="1" pivotButton="0" quotePrefix="0" xfId="26">
      <alignment horizontal="general" vertical="bottom"/>
    </xf>
    <xf numFmtId="0" fontId="0" fillId="3" borderId="64" applyAlignment="1" pivotButton="0" quotePrefix="0" xfId="27">
      <alignment horizontal="general" vertical="bottom"/>
    </xf>
    <xf numFmtId="0" fontId="26" fillId="0" borderId="0" applyAlignment="1" pivotButton="0" quotePrefix="0" xfId="26">
      <alignment horizontal="general" vertical="bottom"/>
    </xf>
    <xf numFmtId="0" fontId="26" fillId="0" borderId="64" applyAlignment="1" pivotButton="0" quotePrefix="0" xfId="27">
      <alignment horizontal="general" vertical="bottom"/>
    </xf>
    <xf numFmtId="0" fontId="26" fillId="27" borderId="64" applyAlignment="1" pivotButton="0" quotePrefix="0" xfId="26">
      <alignment horizontal="general" vertical="top" wrapText="1"/>
    </xf>
    <xf numFmtId="0" fontId="26" fillId="27" borderId="64" applyAlignment="1" pivotButton="0" quotePrefix="0" xfId="27">
      <alignment horizontal="general" vertical="bottom"/>
    </xf>
    <xf numFmtId="0" fontId="26" fillId="28" borderId="64" applyAlignment="1" pivotButton="0" quotePrefix="0" xfId="27">
      <alignment horizontal="general" vertical="bottom"/>
    </xf>
    <xf numFmtId="0" fontId="26" fillId="27" borderId="29" applyAlignment="1" pivotButton="0" quotePrefix="0" xfId="27">
      <alignment horizontal="left" vertical="bottom"/>
    </xf>
    <xf numFmtId="0" fontId="26" fillId="27" borderId="64" applyAlignment="1" pivotButton="0" quotePrefix="0" xfId="26">
      <alignment horizontal="center" vertical="bottom"/>
    </xf>
    <xf numFmtId="0" fontId="26" fillId="27" borderId="29" applyAlignment="1" pivotButton="0" quotePrefix="0" xfId="26">
      <alignment horizontal="center" vertical="bottom"/>
    </xf>
    <xf numFmtId="175" fontId="26" fillId="27" borderId="29" applyAlignment="1" pivotButton="0" quotePrefix="0" xfId="21">
      <alignment horizontal="center" vertical="bottom"/>
    </xf>
    <xf numFmtId="9" fontId="26" fillId="27" borderId="64" applyAlignment="1" pivotButton="0" quotePrefix="0" xfId="26">
      <alignment horizontal="center" vertical="bottom"/>
    </xf>
    <xf numFmtId="179" fontId="26" fillId="27" borderId="64" applyAlignment="1" pivotButton="0" quotePrefix="0" xfId="26">
      <alignment horizontal="center" vertical="bottom"/>
    </xf>
    <xf numFmtId="179" fontId="26" fillId="27" borderId="64" applyAlignment="1" pivotButton="0" quotePrefix="0" xfId="26">
      <alignment horizontal="general" vertical="bottom"/>
    </xf>
    <xf numFmtId="177" fontId="26" fillId="27" borderId="64" applyAlignment="1" pivotButton="0" quotePrefix="0" xfId="26">
      <alignment horizontal="general" vertical="bottom"/>
    </xf>
    <xf numFmtId="0" fontId="26" fillId="0" borderId="64" applyAlignment="1" pivotButton="0" quotePrefix="0" xfId="26">
      <alignment horizontal="general" vertical="bottom"/>
    </xf>
    <xf numFmtId="0" fontId="27" fillId="0" borderId="64" applyAlignment="1" pivotButton="0" quotePrefix="0" xfId="26">
      <alignment horizontal="general" vertical="bottom"/>
    </xf>
    <xf numFmtId="3" fontId="0" fillId="0" borderId="0" applyAlignment="1" pivotButton="0" quotePrefix="0" xfId="0">
      <alignment horizontal="general" vertical="bottom"/>
    </xf>
    <xf numFmtId="0" fontId="6" fillId="0" borderId="0" applyAlignment="1" pivotButton="0" quotePrefix="0" xfId="0">
      <alignment horizontal="general" vertical="bottom"/>
    </xf>
    <xf numFmtId="0" fontId="54" fillId="0" borderId="0" applyAlignment="1" pivotButton="0" quotePrefix="0" xfId="0">
      <alignment horizontal="general" vertical="center"/>
    </xf>
    <xf numFmtId="0" fontId="22" fillId="0" borderId="0" applyAlignment="1" pivotButton="0" quotePrefix="0" xfId="0">
      <alignment horizontal="general" vertical="bottom"/>
    </xf>
    <xf numFmtId="0" fontId="55" fillId="0" borderId="0" applyAlignment="1" pivotButton="0" quotePrefix="0" xfId="0">
      <alignment horizontal="general" vertical="bottom"/>
    </xf>
    <xf numFmtId="0" fontId="5" fillId="2" borderId="1" applyAlignment="1" pivotButton="0" quotePrefix="0" xfId="0">
      <alignment horizontal="left" vertical="center"/>
    </xf>
    <xf numFmtId="0" fontId="5" fillId="2" borderId="1" applyAlignment="1" pivotButton="0" quotePrefix="0" xfId="0">
      <alignment horizontal="general" vertical="center"/>
    </xf>
    <xf numFmtId="0" fontId="21" fillId="2" borderId="1" applyAlignment="1" pivotButton="0" quotePrefix="0" xfId="0">
      <alignment horizontal="general" vertical="center"/>
    </xf>
    <xf numFmtId="0" fontId="21" fillId="13" borderId="1" applyAlignment="1" pivotButton="0" quotePrefix="0" xfId="0">
      <alignment horizontal="center" vertical="center" wrapText="1"/>
    </xf>
    <xf numFmtId="0" fontId="20" fillId="13" borderId="1" applyAlignment="1" pivotButton="0" quotePrefix="0" xfId="0">
      <alignment horizontal="center" vertical="center" wrapText="1"/>
    </xf>
    <xf numFmtId="0" fontId="9" fillId="0" borderId="1" applyAlignment="1" pivotButton="0" quotePrefix="0" xfId="0">
      <alignment horizontal="center" vertical="center" wrapText="1"/>
    </xf>
    <xf numFmtId="165" fontId="56" fillId="0" borderId="1" applyAlignment="1" pivotButton="0" quotePrefix="0" xfId="0">
      <alignment horizontal="center" vertical="center" wrapText="1"/>
    </xf>
    <xf numFmtId="2" fontId="22" fillId="0" borderId="1" applyAlignment="1" pivotButton="0" quotePrefix="0" xfId="0">
      <alignment horizontal="right" vertical="center"/>
    </xf>
    <xf numFmtId="0" fontId="24" fillId="0" borderId="1" applyAlignment="1" pivotButton="0" quotePrefix="0" xfId="0">
      <alignment horizontal="general" vertical="center"/>
    </xf>
    <xf numFmtId="2" fontId="24" fillId="0" borderId="1" applyAlignment="1" pivotButton="0" quotePrefix="0" xfId="0">
      <alignment horizontal="right" vertical="center"/>
    </xf>
    <xf numFmtId="0" fontId="24" fillId="9" borderId="1" applyAlignment="1" pivotButton="0" quotePrefix="0" xfId="0">
      <alignment horizontal="general" vertical="center"/>
    </xf>
    <xf numFmtId="2" fontId="24" fillId="9" borderId="1" applyAlignment="1" pivotButton="0" quotePrefix="0" xfId="0">
      <alignment horizontal="right" vertical="center"/>
    </xf>
    <xf numFmtId="0" fontId="57" fillId="0" borderId="1" applyAlignment="1" pivotButton="0" quotePrefix="0" xfId="0">
      <alignment horizontal="general" vertical="center"/>
    </xf>
    <xf numFmtId="165" fontId="57" fillId="0" borderId="1" applyAlignment="1" pivotButton="0" quotePrefix="0" xfId="0">
      <alignment horizontal="right" vertical="center"/>
    </xf>
    <xf numFmtId="0" fontId="7" fillId="6" borderId="1" applyAlignment="1" pivotButton="0" quotePrefix="0" xfId="0">
      <alignment horizontal="general" vertical="bottom"/>
    </xf>
    <xf numFmtId="2" fontId="7" fillId="6" borderId="1" applyAlignment="1" pivotButton="0" quotePrefix="0" xfId="0">
      <alignment horizontal="right" vertical="center"/>
    </xf>
    <xf numFmtId="0" fontId="25" fillId="0" borderId="1" applyAlignment="1" pivotButton="0" quotePrefix="0" xfId="0">
      <alignment horizontal="general" vertical="center"/>
    </xf>
    <xf numFmtId="165" fontId="25" fillId="0" borderId="1" applyAlignment="1" pivotButton="0" quotePrefix="0" xfId="0">
      <alignment horizontal="right" vertical="center"/>
    </xf>
    <xf numFmtId="2" fontId="25" fillId="0" borderId="67" applyAlignment="1" pivotButton="0" quotePrefix="0" xfId="0">
      <alignment horizontal="right" vertical="center"/>
    </xf>
    <xf numFmtId="165" fontId="25" fillId="0" borderId="67" applyAlignment="1" pivotButton="0" quotePrefix="0" xfId="0">
      <alignment horizontal="right" vertical="center"/>
    </xf>
    <xf numFmtId="0" fontId="5" fillId="2" borderId="27" applyAlignment="1" pivotButton="0" quotePrefix="0" xfId="0">
      <alignment horizontal="left" vertical="center"/>
    </xf>
    <xf numFmtId="0" fontId="21" fillId="2" borderId="27" applyAlignment="1" pivotButton="0" quotePrefix="0" xfId="0">
      <alignment horizontal="general" vertical="bottom"/>
    </xf>
    <xf numFmtId="0" fontId="24" fillId="0" borderId="27" applyAlignment="1" pivotButton="0" quotePrefix="0" xfId="0">
      <alignment horizontal="left" vertical="center"/>
    </xf>
    <xf numFmtId="165" fontId="24" fillId="0" borderId="27" applyAlignment="1" pivotButton="0" quotePrefix="0" xfId="0">
      <alignment horizontal="right" vertical="center"/>
    </xf>
    <xf numFmtId="0" fontId="0" fillId="0" borderId="67" applyAlignment="1" pivotButton="0" quotePrefix="0" xfId="0">
      <alignment horizontal="general" vertical="bottom"/>
    </xf>
    <xf numFmtId="0" fontId="0" fillId="0" borderId="68" applyAlignment="1" pivotButton="0" quotePrefix="0" xfId="0">
      <alignment horizontal="general" vertical="bottom"/>
    </xf>
    <xf numFmtId="0" fontId="24" fillId="0" borderId="27" applyAlignment="1" pivotButton="0" quotePrefix="0" xfId="0">
      <alignment horizontal="center" vertical="center" wrapText="1"/>
    </xf>
    <xf numFmtId="165" fontId="24" fillId="0" borderId="27" applyAlignment="1" pivotButton="0" quotePrefix="0" xfId="0">
      <alignment horizontal="center" vertical="center" wrapText="1"/>
    </xf>
    <xf numFmtId="0" fontId="7" fillId="6" borderId="27" applyAlignment="1" pivotButton="0" quotePrefix="0" xfId="0">
      <alignment horizontal="left" vertical="center"/>
    </xf>
    <xf numFmtId="165" fontId="7" fillId="6" borderId="27" applyAlignment="1" pivotButton="0" quotePrefix="0" xfId="0">
      <alignment horizontal="right" vertical="center"/>
    </xf>
    <xf numFmtId="165" fontId="56" fillId="0" borderId="1" applyAlignment="1" pivotButton="0" quotePrefix="0" xfId="22">
      <alignment horizontal="general" vertical="bottom"/>
    </xf>
    <xf numFmtId="165" fontId="56" fillId="0" borderId="1" applyAlignment="1" pivotButton="0" quotePrefix="0" xfId="0">
      <alignment horizontal="general" vertical="bottom"/>
    </xf>
    <xf numFmtId="165" fontId="58" fillId="3" borderId="1" applyAlignment="1" pivotButton="0" quotePrefix="0" xfId="0">
      <alignment horizontal="general" vertical="bottom"/>
    </xf>
    <xf numFmtId="165" fontId="58" fillId="0" borderId="1" applyAlignment="1" pivotButton="0" quotePrefix="0" xfId="0">
      <alignment horizontal="general" vertical="bottom"/>
    </xf>
    <xf numFmtId="0" fontId="59" fillId="0" borderId="0" applyAlignment="1" pivotButton="0" quotePrefix="0" xfId="0">
      <alignment horizontal="general" vertical="bottom"/>
    </xf>
    <xf numFmtId="0" fontId="7" fillId="6" borderId="64" applyAlignment="1" pivotButton="0" quotePrefix="0" xfId="0">
      <alignment horizontal="center" vertical="bottom"/>
    </xf>
    <xf numFmtId="0" fontId="0" fillId="0" borderId="103" pivotButton="0" quotePrefix="0" xfId="0"/>
    <xf numFmtId="0" fontId="0" fillId="0" borderId="104" pivotButton="0" quotePrefix="0" xfId="0"/>
    <xf numFmtId="165" fontId="9" fillId="0" borderId="64" applyAlignment="1" pivotButton="0" quotePrefix="0" xfId="0">
      <alignment horizontal="general" vertical="bottom"/>
    </xf>
    <xf numFmtId="165" fontId="25" fillId="9" borderId="27" applyAlignment="1" pivotButton="0" quotePrefix="0" xfId="0">
      <alignment horizontal="right" vertical="center"/>
    </xf>
    <xf numFmtId="0" fontId="20" fillId="0" borderId="0" applyAlignment="1" pivotButton="0" quotePrefix="0" xfId="0">
      <alignment horizontal="center" vertical="center"/>
    </xf>
    <xf numFmtId="0" fontId="24" fillId="14" borderId="1" applyAlignment="1" pivotButton="0" quotePrefix="0" xfId="0">
      <alignment horizontal="general" vertical="bottom"/>
    </xf>
    <xf numFmtId="0" fontId="22" fillId="14" borderId="1" applyAlignment="1" pivotButton="0" quotePrefix="0" xfId="0">
      <alignment horizontal="center" vertical="center"/>
    </xf>
    <xf numFmtId="9" fontId="9" fillId="14" borderId="1" applyAlignment="1" pivotButton="0" quotePrefix="0" xfId="0">
      <alignment horizontal="general" vertical="bottom"/>
    </xf>
    <xf numFmtId="0" fontId="22" fillId="0" borderId="0" applyAlignment="1" pivotButton="0" quotePrefix="0" xfId="0">
      <alignment horizontal="center" vertical="center"/>
    </xf>
    <xf numFmtId="0" fontId="9" fillId="9" borderId="1" applyAlignment="1" pivotButton="0" quotePrefix="0" xfId="0">
      <alignment horizontal="general" vertical="bottom"/>
    </xf>
    <xf numFmtId="0" fontId="9" fillId="0" borderId="1" applyAlignment="1" pivotButton="0" quotePrefix="0" xfId="0">
      <alignment horizontal="general" vertical="bottom"/>
    </xf>
    <xf numFmtId="0" fontId="25" fillId="9" borderId="1" applyAlignment="1" pivotButton="0" quotePrefix="0" xfId="0">
      <alignment horizontal="general" vertical="bottom"/>
    </xf>
    <xf numFmtId="165" fontId="25" fillId="9" borderId="1" applyAlignment="1" pivotButton="0" quotePrefix="0" xfId="0">
      <alignment horizontal="general" vertical="bottom"/>
    </xf>
    <xf numFmtId="9" fontId="9" fillId="0" borderId="1" applyAlignment="1" pivotButton="0" quotePrefix="0" xfId="0">
      <alignment horizontal="general" vertical="bottom"/>
    </xf>
    <xf numFmtId="0" fontId="22" fillId="0" borderId="0" applyAlignment="1" pivotButton="0" quotePrefix="0" xfId="0">
      <alignment horizontal="general" vertical="center"/>
    </xf>
    <xf numFmtId="0" fontId="60" fillId="0" borderId="1" applyAlignment="1" pivotButton="0" quotePrefix="0" xfId="0">
      <alignment horizontal="general" vertical="bottom"/>
    </xf>
    <xf numFmtId="2" fontId="22" fillId="0" borderId="0" applyAlignment="1" pivotButton="0" quotePrefix="0" xfId="0">
      <alignment horizontal="right" vertical="center"/>
    </xf>
    <xf numFmtId="0" fontId="22" fillId="0" borderId="1" applyAlignment="1" pivotButton="0" quotePrefix="0" xfId="0">
      <alignment horizontal="general" vertical="center"/>
    </xf>
    <xf numFmtId="0" fontId="22" fillId="9" borderId="1" applyAlignment="1" pivotButton="0" quotePrefix="0" xfId="0">
      <alignment horizontal="general" vertical="center"/>
    </xf>
    <xf numFmtId="2" fontId="22" fillId="9" borderId="1" applyAlignment="1" pivotButton="0" quotePrefix="0" xfId="0">
      <alignment horizontal="right" vertical="center"/>
    </xf>
    <xf numFmtId="0" fontId="28" fillId="0" borderId="1" applyAlignment="1" pivotButton="0" quotePrefix="0" xfId="0">
      <alignment horizontal="general" vertical="center"/>
    </xf>
    <xf numFmtId="165" fontId="28" fillId="0" borderId="1" applyAlignment="1" pivotButton="0" quotePrefix="0" xfId="0">
      <alignment horizontal="right" vertical="center"/>
    </xf>
    <xf numFmtId="0" fontId="28" fillId="0" borderId="0" applyAlignment="1" pivotButton="0" quotePrefix="0" xfId="0">
      <alignment horizontal="general" vertical="center"/>
    </xf>
    <xf numFmtId="2" fontId="28" fillId="0" borderId="0" applyAlignment="1" pivotButton="0" quotePrefix="0" xfId="0">
      <alignment horizontal="right" vertical="center"/>
    </xf>
    <xf numFmtId="0" fontId="5" fillId="2" borderId="64" applyAlignment="1" pivotButton="0" quotePrefix="0" xfId="0">
      <alignment horizontal="left" vertical="center"/>
    </xf>
    <xf numFmtId="0" fontId="7" fillId="6" borderId="66" applyAlignment="1" pivotButton="0" quotePrefix="0" xfId="0">
      <alignment horizontal="center" vertical="center" wrapText="1"/>
    </xf>
    <xf numFmtId="0" fontId="0" fillId="0" borderId="71" pivotButton="0" quotePrefix="0" xfId="0"/>
    <xf numFmtId="165" fontId="9" fillId="0" borderId="64" applyAlignment="1" pivotButton="0" quotePrefix="0" xfId="0">
      <alignment horizontal="center" vertical="center" wrapText="1"/>
    </xf>
    <xf numFmtId="0" fontId="21" fillId="13" borderId="64" applyAlignment="1" pivotButton="0" quotePrefix="0" xfId="0">
      <alignment horizontal="center" vertical="center" wrapText="1"/>
    </xf>
    <xf numFmtId="0" fontId="7" fillId="6" borderId="66" applyAlignment="1" pivotButton="0" quotePrefix="0" xfId="0">
      <alignment horizontal="left" vertical="bottom"/>
    </xf>
    <xf numFmtId="0" fontId="24" fillId="0" borderId="64" applyAlignment="1" pivotButton="0" quotePrefix="0" xfId="0">
      <alignment horizontal="general" vertical="bottom"/>
    </xf>
    <xf numFmtId="165" fontId="56" fillId="0" borderId="64" applyAlignment="1" pivotButton="0" quotePrefix="0" xfId="0">
      <alignment horizontal="general" vertical="bottom"/>
    </xf>
    <xf numFmtId="0" fontId="0" fillId="0" borderId="64" applyAlignment="1" pivotButton="0" quotePrefix="0" xfId="0">
      <alignment horizontal="general" vertical="bottom"/>
    </xf>
    <xf numFmtId="165" fontId="24" fillId="0" borderId="64" applyAlignment="1" pivotButton="0" quotePrefix="0" xfId="0">
      <alignment horizontal="general" vertical="bottom"/>
    </xf>
    <xf numFmtId="165" fontId="58" fillId="3" borderId="64" applyAlignment="1" pivotButton="0" quotePrefix="0" xfId="0">
      <alignment horizontal="general" vertical="bottom"/>
    </xf>
    <xf numFmtId="0" fontId="25" fillId="0" borderId="64" applyAlignment="1" pivotButton="0" quotePrefix="0" xfId="0">
      <alignment horizontal="general" vertical="bottom"/>
    </xf>
    <xf numFmtId="165" fontId="25" fillId="0" borderId="64" applyAlignment="1" pivotButton="0" quotePrefix="0" xfId="0">
      <alignment horizontal="general" vertical="bottom"/>
    </xf>
    <xf numFmtId="0" fontId="25" fillId="9" borderId="64" applyAlignment="1" pivotButton="0" quotePrefix="0" xfId="0">
      <alignment horizontal="general" vertical="bottom"/>
    </xf>
    <xf numFmtId="165" fontId="25" fillId="9" borderId="64" applyAlignment="1" pivotButton="0" quotePrefix="0" xfId="0">
      <alignment horizontal="general" vertical="bottom"/>
    </xf>
    <xf numFmtId="0" fontId="5" fillId="2" borderId="64" applyAlignment="1" pivotButton="0" quotePrefix="0" xfId="0">
      <alignment horizontal="left" vertical="top"/>
    </xf>
    <xf numFmtId="0" fontId="24" fillId="14" borderId="64" applyAlignment="1" pivotButton="0" quotePrefix="0" xfId="0">
      <alignment horizontal="general" vertical="bottom"/>
    </xf>
    <xf numFmtId="9" fontId="9" fillId="14" borderId="64" applyAlignment="1" pivotButton="0" quotePrefix="0" xfId="0">
      <alignment horizontal="general" vertical="bottom"/>
    </xf>
    <xf numFmtId="165" fontId="61" fillId="9" borderId="1" applyAlignment="1" pivotButton="0" quotePrefix="0" xfId="0">
      <alignment horizontal="general" vertical="bottom"/>
    </xf>
    <xf numFmtId="165" fontId="29" fillId="0" borderId="1" applyAlignment="1" pivotButton="0" quotePrefix="0" xfId="0">
      <alignment horizontal="right" vertical="center"/>
    </xf>
    <xf numFmtId="165" fontId="7" fillId="0" borderId="1" applyAlignment="1" pivotButton="0" quotePrefix="0" xfId="0">
      <alignment horizontal="right" vertical="center"/>
    </xf>
    <xf numFmtId="0" fontId="28" fillId="0" borderId="69" applyAlignment="1" pivotButton="0" quotePrefix="0" xfId="0">
      <alignment horizontal="general" vertical="center"/>
    </xf>
    <xf numFmtId="165" fontId="7" fillId="0" borderId="70" applyAlignment="1" pivotButton="0" quotePrefix="0" xfId="0">
      <alignment horizontal="right" vertical="center"/>
    </xf>
    <xf numFmtId="0" fontId="5" fillId="2" borderId="69" applyAlignment="1" pivotButton="0" quotePrefix="0" xfId="0">
      <alignment horizontal="left" vertical="center"/>
    </xf>
    <xf numFmtId="0" fontId="0" fillId="0" borderId="70" pivotButton="0" quotePrefix="0" xfId="0"/>
    <xf numFmtId="0" fontId="7" fillId="6" borderId="66" applyAlignment="1" pivotButton="0" quotePrefix="0" xfId="0">
      <alignment horizontal="center" vertical="bottom"/>
    </xf>
    <xf numFmtId="0" fontId="22" fillId="0" borderId="1" applyAlignment="1" pivotButton="0" quotePrefix="0" xfId="0">
      <alignment horizontal="center" vertical="center" wrapText="1"/>
    </xf>
    <xf numFmtId="0" fontId="22" fillId="14" borderId="1" applyAlignment="1" pivotButton="0" quotePrefix="0" xfId="0">
      <alignment horizontal="general" vertical="center"/>
    </xf>
    <xf numFmtId="165" fontId="58" fillId="14" borderId="1" applyAlignment="1" pivotButton="0" quotePrefix="0" xfId="0">
      <alignment horizontal="general" vertical="bottom"/>
    </xf>
    <xf numFmtId="0" fontId="25" fillId="0" borderId="1" applyAlignment="1" pivotButton="0" quotePrefix="0" xfId="0">
      <alignment horizontal="general" vertical="bottom"/>
    </xf>
    <xf numFmtId="165" fontId="25" fillId="0" borderId="1" applyAlignment="1" pivotButton="0" quotePrefix="0" xfId="0">
      <alignment horizontal="general" vertical="bottom"/>
    </xf>
    <xf numFmtId="165" fontId="9" fillId="9" borderId="1" applyAlignment="1" pivotButton="0" quotePrefix="0" xfId="0">
      <alignment horizontal="general" vertical="bottom"/>
    </xf>
    <xf numFmtId="0" fontId="62" fillId="0" borderId="1" applyAlignment="1" pivotButton="0" quotePrefix="0" xfId="0">
      <alignment horizontal="general" vertical="bottom"/>
    </xf>
    <xf numFmtId="0" fontId="62" fillId="14" borderId="1" applyAlignment="1" pivotButton="0" quotePrefix="0" xfId="0">
      <alignment horizontal="general" vertical="bottom"/>
    </xf>
    <xf numFmtId="9" fontId="62" fillId="14" borderId="1" applyAlignment="1" pivotButton="0" quotePrefix="0" xfId="0">
      <alignment horizontal="general" vertical="bottom"/>
    </xf>
    <xf numFmtId="0" fontId="24" fillId="14" borderId="0" applyAlignment="1" pivotButton="0" quotePrefix="0" xfId="0">
      <alignment horizontal="general" vertical="bottom"/>
    </xf>
    <xf numFmtId="9" fontId="9" fillId="14" borderId="0" applyAlignment="1" pivotButton="0" quotePrefix="0" xfId="0">
      <alignment horizontal="general" vertical="bottom"/>
    </xf>
    <xf numFmtId="165" fontId="56" fillId="3" borderId="1" applyAlignment="1" pivotButton="0" quotePrefix="0" xfId="0">
      <alignment horizontal="general" vertical="bottom"/>
    </xf>
    <xf numFmtId="0" fontId="5" fillId="2" borderId="26" applyAlignment="1" pivotButton="0" quotePrefix="0" xfId="0">
      <alignment horizontal="left" vertical="center"/>
    </xf>
    <xf numFmtId="0" fontId="60" fillId="0" borderId="64" applyAlignment="1" pivotButton="0" quotePrefix="0" xfId="0">
      <alignment horizontal="general" vertical="bottom"/>
    </xf>
    <xf numFmtId="165" fontId="28" fillId="0" borderId="0" applyAlignment="1" pivotButton="0" quotePrefix="0" xfId="0">
      <alignment horizontal="right" vertical="center"/>
    </xf>
    <xf numFmtId="0" fontId="5" fillId="2" borderId="1" applyAlignment="1" pivotButton="0" quotePrefix="0" xfId="0">
      <alignment horizontal="center" vertical="center"/>
    </xf>
    <xf numFmtId="0" fontId="21" fillId="2" borderId="64" applyAlignment="1" pivotButton="0" quotePrefix="0" xfId="0">
      <alignment horizontal="left" vertical="center"/>
    </xf>
    <xf numFmtId="165" fontId="58" fillId="14" borderId="64" applyAlignment="1" pivotButton="0" quotePrefix="0" xfId="0">
      <alignment horizontal="general" vertical="bottom"/>
    </xf>
    <xf numFmtId="0" fontId="20" fillId="0" borderId="0" applyAlignment="1" pivotButton="0" quotePrefix="0" xfId="0">
      <alignment horizontal="center" vertical="center" wrapText="1"/>
    </xf>
    <xf numFmtId="165" fontId="28" fillId="0" borderId="0" applyAlignment="1" pivotButton="0" quotePrefix="0" xfId="0">
      <alignment horizontal="general" vertical="bottom"/>
    </xf>
    <xf numFmtId="0" fontId="24" fillId="0" borderId="71" applyAlignment="1" pivotButton="0" quotePrefix="0" xfId="0">
      <alignment horizontal="left" vertical="bottom"/>
    </xf>
    <xf numFmtId="165" fontId="9" fillId="0" borderId="0" applyAlignment="1" pivotButton="0" quotePrefix="0" xfId="0">
      <alignment horizontal="general" vertical="bottom"/>
    </xf>
    <xf numFmtId="2" fontId="9" fillId="0" borderId="0" applyAlignment="1" pivotButton="0" quotePrefix="0" xfId="0">
      <alignment horizontal="general" vertical="bottom"/>
    </xf>
    <xf numFmtId="0" fontId="20" fillId="13" borderId="1" applyAlignment="1" pivotButton="0" quotePrefix="0" xfId="0">
      <alignment horizontal="center" vertical="center"/>
    </xf>
    <xf numFmtId="0" fontId="21" fillId="30" borderId="66" applyAlignment="1" pivotButton="0" quotePrefix="0" xfId="0">
      <alignment horizontal="left" vertical="center"/>
    </xf>
    <xf numFmtId="182" fontId="21" fillId="30" borderId="60" applyAlignment="1" pivotButton="0" quotePrefix="0" xfId="0">
      <alignment horizontal="left" vertical="center"/>
    </xf>
    <xf numFmtId="0" fontId="21" fillId="30" borderId="60" applyAlignment="1" pivotButton="0" quotePrefix="0" xfId="0">
      <alignment horizontal="left" vertical="center"/>
    </xf>
    <xf numFmtId="0" fontId="63" fillId="0" borderId="0" applyAlignment="1" pivotButton="0" quotePrefix="0" xfId="0">
      <alignment horizontal="general" vertical="bottom"/>
    </xf>
    <xf numFmtId="0" fontId="64" fillId="0" borderId="0" applyAlignment="1" pivotButton="0" quotePrefix="0" xfId="0">
      <alignment horizontal="general" vertical="bottom"/>
    </xf>
    <xf numFmtId="0" fontId="21" fillId="13" borderId="71" applyAlignment="1" pivotButton="0" quotePrefix="0" xfId="0">
      <alignment horizontal="center" vertical="center" wrapText="1"/>
    </xf>
    <xf numFmtId="165" fontId="0" fillId="0" borderId="64" applyAlignment="1" pivotButton="0" quotePrefix="0" xfId="0">
      <alignment horizontal="general" vertical="bottom"/>
    </xf>
    <xf numFmtId="0" fontId="0" fillId="0" borderId="0" applyAlignment="1" pivotButton="0" quotePrefix="0" xfId="0">
      <alignment horizontal="general" vertical="bottom" wrapText="1"/>
    </xf>
    <xf numFmtId="165" fontId="58" fillId="0" borderId="64" applyAlignment="1" pivotButton="0" quotePrefix="0" xfId="0">
      <alignment horizontal="general" vertical="bottom"/>
    </xf>
    <xf numFmtId="0" fontId="65" fillId="0" borderId="0" applyAlignment="1" pivotButton="0" quotePrefix="0" xfId="0">
      <alignment horizontal="general" vertical="bottom"/>
    </xf>
    <xf numFmtId="0" fontId="25" fillId="9" borderId="0" applyAlignment="1" pivotButton="0" quotePrefix="0" xfId="0">
      <alignment horizontal="general" vertical="bottom"/>
    </xf>
    <xf numFmtId="2" fontId="28" fillId="6" borderId="0" applyAlignment="1" pivotButton="0" quotePrefix="0" xfId="0">
      <alignment horizontal="right" vertical="center"/>
    </xf>
    <xf numFmtId="0" fontId="21" fillId="30" borderId="66" applyAlignment="1" pivotButton="0" quotePrefix="0" xfId="0">
      <alignment horizontal="center" vertical="center" wrapText="1"/>
    </xf>
    <xf numFmtId="182" fontId="21" fillId="30" borderId="60" applyAlignment="1" pivotButton="0" quotePrefix="0" xfId="0">
      <alignment horizontal="center" vertical="center" wrapText="1"/>
    </xf>
    <xf numFmtId="0" fontId="63" fillId="3" borderId="0" applyAlignment="1" pivotButton="0" quotePrefix="0" xfId="0">
      <alignment horizontal="general" vertical="bottom"/>
    </xf>
    <xf numFmtId="0" fontId="6" fillId="0" borderId="0" applyAlignment="1" pivotButton="0" quotePrefix="0" xfId="0">
      <alignment horizontal="left" vertical="center"/>
    </xf>
    <xf numFmtId="2" fontId="22" fillId="0" borderId="1" applyAlignment="1" pivotButton="0" quotePrefix="0" xfId="0">
      <alignment horizontal="center" vertical="center" wrapText="1"/>
    </xf>
    <xf numFmtId="0" fontId="24" fillId="0" borderId="72" applyAlignment="1" pivotButton="0" quotePrefix="0" xfId="0">
      <alignment horizontal="general" vertical="bottom"/>
    </xf>
    <xf numFmtId="0" fontId="28" fillId="9" borderId="1" applyAlignment="1" pivotButton="0" quotePrefix="0" xfId="0">
      <alignment horizontal="general" vertical="center"/>
    </xf>
    <xf numFmtId="165" fontId="28" fillId="9" borderId="1" applyAlignment="1" pivotButton="0" quotePrefix="0" xfId="0">
      <alignment horizontal="right" vertical="center"/>
    </xf>
    <xf numFmtId="165" fontId="21" fillId="13" borderId="64" applyAlignment="1" pivotButton="0" quotePrefix="0" xfId="0">
      <alignment horizontal="center" vertical="center" wrapText="1"/>
    </xf>
    <xf numFmtId="0" fontId="7" fillId="6" borderId="64" applyAlignment="1" pivotButton="0" quotePrefix="0" xfId="0">
      <alignment horizontal="left" vertical="bottom"/>
    </xf>
    <xf numFmtId="165" fontId="56" fillId="3" borderId="64" applyAlignment="1" pivotButton="0" quotePrefix="0" xfId="0">
      <alignment horizontal="general" vertical="bottom"/>
    </xf>
    <xf numFmtId="0" fontId="62" fillId="0" borderId="64" applyAlignment="1" pivotButton="0" quotePrefix="0" xfId="0">
      <alignment horizontal="general" vertical="bottom"/>
    </xf>
    <xf numFmtId="0" fontId="66" fillId="0" borderId="0" applyAlignment="1" pivotButton="0" quotePrefix="0" xfId="0">
      <alignment horizontal="general" vertical="center"/>
    </xf>
    <xf numFmtId="0" fontId="5" fillId="13" borderId="1" applyAlignment="1" pivotButton="0" quotePrefix="0" xfId="0">
      <alignment horizontal="center" vertical="center" wrapText="1"/>
    </xf>
    <xf numFmtId="164" fontId="4" fillId="6" borderId="1" applyAlignment="1" pivotButton="0" quotePrefix="0" xfId="0">
      <alignment horizontal="center" vertical="center" wrapText="1"/>
    </xf>
    <xf numFmtId="165" fontId="4" fillId="6" borderId="1" applyAlignment="1" pivotButton="0" quotePrefix="0" xfId="0">
      <alignment horizontal="center" vertical="center" wrapText="1"/>
    </xf>
    <xf numFmtId="165" fontId="6" fillId="0" borderId="0" applyAlignment="1" pivotButton="0" quotePrefix="0" xfId="0">
      <alignment horizontal="right" vertical="center"/>
    </xf>
    <xf numFmtId="164" fontId="6" fillId="0" borderId="0" applyAlignment="1" pivotButton="0" quotePrefix="0" xfId="0">
      <alignment horizontal="right" vertical="center"/>
    </xf>
    <xf numFmtId="0" fontId="7" fillId="6" borderId="1" applyAlignment="1" pivotButton="0" quotePrefix="0" xfId="0">
      <alignment horizontal="left" vertical="center"/>
    </xf>
    <xf numFmtId="165" fontId="7" fillId="6" borderId="1" applyAlignment="1" pivotButton="0" quotePrefix="0" xfId="0">
      <alignment horizontal="right" vertical="center"/>
    </xf>
    <xf numFmtId="164" fontId="7" fillId="6" borderId="1" applyAlignment="1" pivotButton="0" quotePrefix="0" xfId="0">
      <alignment horizontal="right" vertical="center"/>
    </xf>
    <xf numFmtId="165" fontId="6" fillId="6" borderId="1" applyAlignment="1" pivotButton="0" quotePrefix="0" xfId="0">
      <alignment horizontal="right" vertical="center"/>
    </xf>
    <xf numFmtId="164" fontId="6" fillId="6" borderId="1" applyAlignment="1" pivotButton="0" quotePrefix="0" xfId="0">
      <alignment horizontal="right" vertical="center"/>
    </xf>
    <xf numFmtId="0" fontId="7" fillId="9" borderId="73" applyAlignment="1" pivotButton="0" quotePrefix="0" xfId="0">
      <alignment horizontal="left" vertical="center"/>
    </xf>
    <xf numFmtId="165" fontId="7" fillId="9" borderId="73" applyAlignment="1" pivotButton="0" quotePrefix="0" xfId="0">
      <alignment horizontal="right" vertical="center"/>
    </xf>
    <xf numFmtId="164" fontId="7" fillId="9" borderId="73" applyAlignment="1" pivotButton="0" quotePrefix="0" xfId="0">
      <alignment horizontal="right" vertical="center"/>
    </xf>
    <xf numFmtId="183" fontId="6" fillId="0" borderId="0" applyAlignment="1" pivotButton="0" quotePrefix="0" xfId="0">
      <alignment horizontal="right" vertical="center"/>
    </xf>
    <xf numFmtId="184" fontId="6" fillId="0" borderId="0" applyAlignment="1" pivotButton="0" quotePrefix="0" xfId="0">
      <alignment horizontal="right" vertical="center"/>
    </xf>
    <xf numFmtId="185" fontId="6" fillId="0" borderId="0" applyAlignment="1" pivotButton="0" quotePrefix="0" xfId="0">
      <alignment horizontal="right" vertical="center"/>
    </xf>
    <xf numFmtId="185" fontId="7" fillId="6" borderId="1" applyAlignment="1" pivotButton="0" quotePrefix="0" xfId="0">
      <alignment horizontal="right" vertical="center"/>
    </xf>
    <xf numFmtId="185" fontId="7" fillId="9" borderId="73" applyAlignment="1" pivotButton="0" quotePrefix="0" xfId="0">
      <alignment horizontal="right" vertical="center"/>
    </xf>
    <xf numFmtId="0" fontId="67" fillId="0" borderId="0" applyAlignment="1" pivotButton="0" quotePrefix="0" xfId="0">
      <alignment horizontal="general" vertical="center"/>
    </xf>
    <xf numFmtId="0" fontId="20" fillId="2" borderId="1" applyAlignment="1" pivotButton="0" quotePrefix="0" xfId="0">
      <alignment horizontal="general" vertical="center"/>
    </xf>
    <xf numFmtId="0" fontId="68" fillId="13" borderId="1" applyAlignment="1" pivotButton="0" quotePrefix="0" xfId="0">
      <alignment horizontal="general" vertical="bottom" wrapText="1"/>
    </xf>
    <xf numFmtId="0" fontId="68" fillId="13" borderId="0" applyAlignment="1" pivotButton="0" quotePrefix="0" xfId="0">
      <alignment horizontal="general" vertical="bottom" wrapText="1"/>
    </xf>
    <xf numFmtId="186" fontId="22" fillId="0" borderId="1" applyAlignment="1" pivotButton="0" quotePrefix="0" xfId="0">
      <alignment horizontal="center" vertical="center"/>
    </xf>
    <xf numFmtId="166" fontId="22" fillId="0" borderId="1" applyAlignment="1" pivotButton="0" quotePrefix="0" xfId="0">
      <alignment horizontal="right" vertical="center"/>
    </xf>
    <xf numFmtId="166" fontId="0" fillId="0" borderId="0" applyAlignment="1" pivotButton="0" quotePrefix="0" xfId="0">
      <alignment horizontal="right" vertical="bottom"/>
    </xf>
    <xf numFmtId="0" fontId="28" fillId="6" borderId="1" applyAlignment="1" pivotButton="0" quotePrefix="0" xfId="0">
      <alignment horizontal="general" vertical="center"/>
    </xf>
    <xf numFmtId="186" fontId="28" fillId="6" borderId="1" applyAlignment="1" pivotButton="0" quotePrefix="0" xfId="0">
      <alignment horizontal="center" vertical="center"/>
    </xf>
    <xf numFmtId="166" fontId="28" fillId="6" borderId="1" applyAlignment="1" pivotButton="0" quotePrefix="0" xfId="0">
      <alignment horizontal="right" vertical="center"/>
    </xf>
    <xf numFmtId="186" fontId="22" fillId="0" borderId="0" applyAlignment="1" pivotButton="0" quotePrefix="0" xfId="0">
      <alignment horizontal="general" vertical="bottom"/>
    </xf>
    <xf numFmtId="166" fontId="22" fillId="0" borderId="0" applyAlignment="1" pivotButton="0" quotePrefix="0" xfId="0">
      <alignment horizontal="general" vertical="bottom"/>
    </xf>
    <xf numFmtId="166" fontId="0" fillId="0" borderId="0" applyAlignment="1" pivotButton="0" quotePrefix="0" xfId="0">
      <alignment horizontal="general" vertical="bottom"/>
    </xf>
    <xf numFmtId="165" fontId="22" fillId="0" borderId="0" applyAlignment="1" pivotButton="0" quotePrefix="0" xfId="0">
      <alignment horizontal="general" vertical="bottom"/>
    </xf>
    <xf numFmtId="0" fontId="27" fillId="0" borderId="0" applyAlignment="1" pivotButton="0" quotePrefix="0" xfId="0">
      <alignment horizontal="left" vertical="center"/>
    </xf>
    <xf numFmtId="0" fontId="27" fillId="2" borderId="1" applyAlignment="1" pivotButton="0" quotePrefix="0" xfId="0">
      <alignment horizontal="general" vertical="center"/>
    </xf>
    <xf numFmtId="186" fontId="20" fillId="13" borderId="1" applyAlignment="1" pivotButton="0" quotePrefix="0" xfId="0">
      <alignment horizontal="center" vertical="center"/>
    </xf>
    <xf numFmtId="186" fontId="22" fillId="0" borderId="1" applyAlignment="1" pivotButton="0" quotePrefix="0" xfId="0">
      <alignment horizontal="right" vertical="center"/>
    </xf>
    <xf numFmtId="186" fontId="28" fillId="6" borderId="1" applyAlignment="1" pivotButton="0" quotePrefix="0" xfId="0">
      <alignment horizontal="right" vertical="center"/>
    </xf>
    <xf numFmtId="0" fontId="22" fillId="0" borderId="0" applyAlignment="1" pivotButton="0" quotePrefix="0" xfId="0">
      <alignment horizontal="left" vertical="center"/>
    </xf>
    <xf numFmtId="187" fontId="22" fillId="0" borderId="0" applyAlignment="1" pivotButton="0" quotePrefix="0" xfId="0">
      <alignment horizontal="right" vertical="center"/>
    </xf>
    <xf numFmtId="1" fontId="22" fillId="0" borderId="1" applyAlignment="1" pivotButton="0" quotePrefix="0" xfId="0">
      <alignment horizontal="center" vertical="center"/>
    </xf>
    <xf numFmtId="1" fontId="28" fillId="6" borderId="1" applyAlignment="1" pivotButton="0" quotePrefix="0" xfId="0">
      <alignment horizontal="center" vertical="center"/>
    </xf>
    <xf numFmtId="2" fontId="28" fillId="6" borderId="1" applyAlignment="1" pivotButton="0" quotePrefix="0" xfId="0">
      <alignment horizontal="right" vertical="center"/>
    </xf>
    <xf numFmtId="1" fontId="22" fillId="0" borderId="1" applyAlignment="1" pivotButton="0" quotePrefix="0" xfId="0">
      <alignment horizontal="right" vertical="center"/>
    </xf>
    <xf numFmtId="169" fontId="22" fillId="0" borderId="1" applyAlignment="1" pivotButton="0" quotePrefix="0" xfId="0">
      <alignment horizontal="right" vertical="center"/>
    </xf>
    <xf numFmtId="2" fontId="22" fillId="0" borderId="0" applyAlignment="1" pivotButton="0" quotePrefix="0" xfId="0">
      <alignment horizontal="general" vertical="bottom"/>
    </xf>
    <xf numFmtId="2" fontId="28" fillId="0" borderId="1" applyAlignment="1" pivotButton="0" quotePrefix="0" xfId="0">
      <alignment horizontal="right" vertical="center"/>
    </xf>
    <xf numFmtId="165" fontId="22" fillId="0" borderId="0" applyAlignment="1" pivotButton="0" quotePrefix="0" xfId="0">
      <alignment horizontal="right" vertical="center"/>
    </xf>
    <xf numFmtId="0" fontId="22" fillId="0" borderId="1" applyAlignment="1" pivotButton="0" quotePrefix="0" xfId="0">
      <alignment horizontal="general" vertical="center" wrapText="1"/>
    </xf>
    <xf numFmtId="0" fontId="22" fillId="0" borderId="1" applyAlignment="1" pivotButton="0" quotePrefix="0" xfId="0">
      <alignment horizontal="center" vertical="center"/>
    </xf>
    <xf numFmtId="2" fontId="0" fillId="0" borderId="0" applyAlignment="1" pivotButton="0" quotePrefix="0" xfId="0">
      <alignment horizontal="general" vertical="bottom"/>
    </xf>
    <xf numFmtId="3" fontId="22" fillId="0" borderId="1" applyAlignment="1" pivotButton="0" quotePrefix="0" xfId="0">
      <alignment horizontal="right" vertical="center"/>
    </xf>
    <xf numFmtId="0" fontId="22" fillId="0" borderId="0" applyAlignment="1" pivotButton="0" quotePrefix="0" xfId="0">
      <alignment horizontal="general" vertical="center" wrapText="1"/>
    </xf>
    <xf numFmtId="188" fontId="22" fillId="0" borderId="1" applyAlignment="1" pivotButton="0" quotePrefix="0" xfId="17">
      <alignment horizontal="right" vertical="center"/>
    </xf>
    <xf numFmtId="3" fontId="22" fillId="0" borderId="0" applyAlignment="1" pivotButton="0" quotePrefix="0" xfId="0">
      <alignment horizontal="general" vertical="bottom"/>
    </xf>
    <xf numFmtId="0" fontId="21" fillId="2" borderId="27" applyAlignment="1" pivotButton="0" quotePrefix="0" xfId="0">
      <alignment horizontal="left" vertical="center"/>
    </xf>
    <xf numFmtId="165" fontId="25" fillId="0" borderId="27" applyAlignment="1" pivotButton="0" quotePrefix="0" xfId="0">
      <alignment horizontal="right" vertical="center"/>
    </xf>
    <xf numFmtId="165" fontId="24" fillId="3" borderId="27" applyAlignment="1" pivotButton="0" quotePrefix="0" xfId="0">
      <alignment horizontal="right" vertical="center"/>
    </xf>
    <xf numFmtId="0" fontId="25" fillId="9" borderId="27" applyAlignment="1" pivotButton="0" quotePrefix="0" xfId="0">
      <alignment horizontal="left" vertical="center"/>
    </xf>
    <xf numFmtId="0" fontId="25" fillId="9" borderId="27" applyAlignment="1" pivotButton="0" quotePrefix="0" xfId="0">
      <alignment horizontal="center" vertical="center"/>
    </xf>
    <xf numFmtId="166" fontId="25" fillId="9" borderId="27" applyAlignment="1" pivotButton="0" quotePrefix="0" xfId="0">
      <alignment horizontal="right" vertical="center"/>
    </xf>
    <xf numFmtId="2" fontId="22" fillId="3" borderId="1" applyAlignment="1" pivotButton="0" quotePrefix="0" xfId="0">
      <alignment horizontal="right" vertical="center"/>
    </xf>
    <xf numFmtId="166" fontId="28" fillId="0" borderId="1" applyAlignment="1" pivotButton="0" quotePrefix="0" xfId="0">
      <alignment horizontal="right" vertical="center"/>
    </xf>
    <xf numFmtId="0" fontId="27" fillId="2" borderId="1" applyAlignment="1" pivotButton="0" quotePrefix="0" xfId="0">
      <alignment horizontal="left" vertical="center"/>
    </xf>
    <xf numFmtId="0" fontId="21" fillId="4" borderId="1" applyAlignment="1" pivotButton="0" quotePrefix="0" xfId="0">
      <alignment horizontal="general" vertical="center"/>
    </xf>
    <xf numFmtId="0" fontId="51" fillId="0" borderId="1" applyAlignment="1" pivotButton="0" quotePrefix="0" xfId="0">
      <alignment horizontal="general" vertical="bottom"/>
    </xf>
    <xf numFmtId="2" fontId="51" fillId="0" borderId="1" applyAlignment="1" pivotButton="0" quotePrefix="0" xfId="0">
      <alignment horizontal="right" vertical="center"/>
    </xf>
    <xf numFmtId="0" fontId="28" fillId="4" borderId="1" applyAlignment="1" pivotButton="0" quotePrefix="0" xfId="0">
      <alignment horizontal="left" vertical="center"/>
    </xf>
    <xf numFmtId="0" fontId="9" fillId="31" borderId="66" applyAlignment="1" pivotButton="0" quotePrefix="0" xfId="0">
      <alignment horizontal="left" vertical="bottom"/>
    </xf>
    <xf numFmtId="0" fontId="21" fillId="13" borderId="1" applyAlignment="1" pivotButton="0" quotePrefix="0" xfId="0">
      <alignment horizontal="center" vertical="center"/>
    </xf>
    <xf numFmtId="0" fontId="21" fillId="13" borderId="27" applyAlignment="1" pivotButton="0" quotePrefix="0" xfId="0">
      <alignment horizontal="left" vertical="center"/>
    </xf>
    <xf numFmtId="166" fontId="21" fillId="13" borderId="27" applyAlignment="1" pivotButton="0" quotePrefix="0" xfId="0">
      <alignment horizontal="general" vertical="bottom"/>
    </xf>
    <xf numFmtId="0" fontId="21" fillId="4" borderId="69" applyAlignment="1" pivotButton="0" quotePrefix="0" xfId="0">
      <alignment horizontal="left" vertical="center"/>
    </xf>
    <xf numFmtId="0" fontId="69" fillId="0" borderId="0" applyAlignment="1" pivotButton="0" quotePrefix="0" xfId="0">
      <alignment horizontal="general" vertical="center"/>
    </xf>
    <xf numFmtId="0" fontId="73" fillId="0" borderId="0" pivotButton="0" quotePrefix="0" xfId="0"/>
    <xf numFmtId="0" fontId="74" fillId="0" borderId="0" pivotButton="0" quotePrefix="0" xfId="0"/>
    <xf numFmtId="0" fontId="75" fillId="0" borderId="0" pivotButton="0" quotePrefix="0" xfId="0"/>
    <xf numFmtId="0" fontId="76" fillId="36" borderId="0" applyAlignment="1" pivotButton="0" quotePrefix="0" xfId="0">
      <alignment horizontal="left" vertical="center"/>
    </xf>
    <xf numFmtId="0" fontId="76" fillId="36" borderId="0" pivotButton="0" quotePrefix="0" xfId="0"/>
    <xf numFmtId="0" fontId="76" fillId="37" borderId="105" applyAlignment="1" pivotButton="0" quotePrefix="0" xfId="0">
      <alignment horizontal="center" vertical="center" wrapText="1"/>
    </xf>
    <xf numFmtId="0" fontId="74" fillId="38" borderId="105" applyAlignment="1" pivotButton="0" quotePrefix="0" xfId="0">
      <alignment horizontal="left" vertical="center"/>
    </xf>
    <xf numFmtId="0" fontId="75" fillId="0" borderId="0" applyAlignment="1" pivotButton="0" quotePrefix="0" xfId="0">
      <alignment horizontal="left" vertical="center"/>
    </xf>
    <xf numFmtId="189" fontId="75" fillId="0" borderId="0" applyAlignment="1" pivotButton="0" quotePrefix="0" xfId="0">
      <alignment horizontal="right" vertical="center"/>
    </xf>
    <xf numFmtId="190" fontId="75" fillId="0" borderId="0" applyAlignment="1" pivotButton="0" quotePrefix="0" xfId="0">
      <alignment horizontal="right" vertical="center"/>
    </xf>
    <xf numFmtId="191" fontId="75" fillId="0" borderId="0" applyAlignment="1" pivotButton="0" quotePrefix="0" xfId="0">
      <alignment horizontal="right" vertical="center"/>
    </xf>
    <xf numFmtId="0" fontId="74" fillId="39" borderId="105" applyAlignment="1" pivotButton="0" quotePrefix="0" xfId="0">
      <alignment horizontal="left" vertical="center"/>
    </xf>
    <xf numFmtId="189" fontId="74" fillId="39" borderId="105" applyAlignment="1" pivotButton="0" quotePrefix="0" xfId="0">
      <alignment horizontal="right" vertical="center"/>
    </xf>
    <xf numFmtId="190" fontId="74" fillId="39" borderId="105" applyAlignment="1" pivotButton="0" quotePrefix="0" xfId="0">
      <alignment horizontal="right" vertical="center"/>
    </xf>
    <xf numFmtId="191" fontId="74" fillId="39" borderId="105" applyAlignment="1" pivotButton="0" quotePrefix="0" xfId="0">
      <alignment horizontal="right" vertical="center"/>
    </xf>
    <xf numFmtId="0" fontId="75" fillId="0" borderId="0" applyAlignment="1" pivotButton="0" quotePrefix="0" xfId="0">
      <alignment horizontal="right" vertical="center"/>
    </xf>
    <xf numFmtId="0" fontId="0" fillId="0" borderId="0" applyAlignment="1" pivotButton="0" quotePrefix="0" xfId="0">
      <alignment horizontal="right" vertical="center"/>
    </xf>
    <xf numFmtId="0" fontId="74" fillId="40" borderId="106" applyAlignment="1" pivotButton="0" quotePrefix="0" xfId="0">
      <alignment horizontal="left" vertical="center"/>
    </xf>
    <xf numFmtId="189" fontId="74" fillId="40" borderId="106" applyAlignment="1" pivotButton="0" quotePrefix="0" xfId="0">
      <alignment horizontal="right" vertical="center"/>
    </xf>
    <xf numFmtId="190" fontId="74" fillId="40" borderId="106" applyAlignment="1" pivotButton="0" quotePrefix="0" xfId="0">
      <alignment horizontal="right" vertical="center"/>
    </xf>
    <xf numFmtId="191" fontId="74" fillId="40" borderId="106" applyAlignment="1" pivotButton="0" quotePrefix="0" xfId="0">
      <alignment horizontal="right" vertical="center"/>
    </xf>
    <xf numFmtId="192" fontId="75" fillId="0" borderId="0" applyAlignment="1" pivotButton="0" quotePrefix="0" xfId="0">
      <alignment horizontal="right" vertical="center"/>
    </xf>
    <xf numFmtId="193" fontId="75" fillId="0" borderId="0" applyAlignment="1" pivotButton="0" quotePrefix="0" xfId="0">
      <alignment horizontal="right" vertical="center"/>
    </xf>
    <xf numFmtId="190" fontId="74" fillId="38" borderId="105" applyAlignment="1" pivotButton="0" quotePrefix="0" xfId="0">
      <alignment horizontal="right" vertical="center"/>
    </xf>
    <xf numFmtId="0" fontId="75" fillId="41" borderId="105" applyAlignment="1" pivotButton="0" quotePrefix="0" xfId="0">
      <alignment horizontal="center" vertical="center" wrapText="1"/>
    </xf>
    <xf numFmtId="186" fontId="28" fillId="0" borderId="1" applyAlignment="1" pivotButton="0" quotePrefix="0" xfId="0">
      <alignment horizontal="center" vertical="center"/>
    </xf>
    <xf numFmtId="0" fontId="28" fillId="9" borderId="1" applyAlignment="1" pivotButton="0" quotePrefix="0" xfId="0">
      <alignment horizontal="general" vertical="bottom"/>
    </xf>
    <xf numFmtId="186" fontId="28" fillId="9" borderId="1" applyAlignment="1" pivotButton="0" quotePrefix="0" xfId="0">
      <alignment horizontal="center" vertical="center"/>
    </xf>
    <xf numFmtId="0" fontId="60" fillId="0" borderId="0" applyAlignment="1" pivotButton="0" quotePrefix="0" xfId="0">
      <alignment horizontal="general" vertical="bottom"/>
    </xf>
    <xf numFmtId="0" fontId="70" fillId="0" borderId="0" applyAlignment="1" pivotButton="0" quotePrefix="0" xfId="0">
      <alignment horizontal="general" vertical="center"/>
    </xf>
    <xf numFmtId="183" fontId="6" fillId="0" borderId="1" applyAlignment="1" pivotButton="0" quotePrefix="0" xfId="0">
      <alignment horizontal="right" vertical="center"/>
    </xf>
    <xf numFmtId="184" fontId="6" fillId="0" borderId="1" applyAlignment="1" pivotButton="0" quotePrefix="0" xfId="0">
      <alignment horizontal="right" vertical="center"/>
    </xf>
    <xf numFmtId="0" fontId="0" fillId="0" borderId="0" applyAlignment="1" pivotButton="0" quotePrefix="0" xfId="23">
      <alignment horizontal="center" vertical="bottom"/>
    </xf>
    <xf numFmtId="0" fontId="0" fillId="0" borderId="0" applyAlignment="1" pivotButton="0" quotePrefix="0" xfId="23">
      <alignment horizontal="general" vertical="bottom"/>
    </xf>
    <xf numFmtId="0" fontId="0" fillId="0" borderId="0" applyAlignment="1" pivotButton="0" quotePrefix="0" xfId="23">
      <alignment horizontal="left" vertical="top" wrapText="1"/>
    </xf>
    <xf numFmtId="0" fontId="48" fillId="24" borderId="63" applyAlignment="1" pivotButton="0" quotePrefix="0" xfId="0">
      <alignment horizontal="left" vertical="top" wrapText="1"/>
    </xf>
    <xf numFmtId="0" fontId="48" fillId="24" borderId="64" applyAlignment="1" pivotButton="0" quotePrefix="0" xfId="0">
      <alignment horizontal="left" vertical="top" wrapText="1"/>
    </xf>
    <xf numFmtId="0" fontId="0" fillId="3" borderId="64" applyAlignment="1" pivotButton="0" quotePrefix="0" xfId="0">
      <alignment horizontal="left" vertical="top" wrapText="1"/>
    </xf>
    <xf numFmtId="0" fontId="48" fillId="24" borderId="64" applyAlignment="1" pivotButton="0" quotePrefix="0" xfId="23">
      <alignment horizontal="left" vertical="top" wrapText="1"/>
    </xf>
    <xf numFmtId="0" fontId="48" fillId="25" borderId="64" applyAlignment="1" pivotButton="0" quotePrefix="0" xfId="23">
      <alignment horizontal="left" vertical="top" wrapText="1"/>
    </xf>
    <xf numFmtId="0" fontId="48" fillId="25" borderId="64" applyAlignment="1" pivotButton="0" quotePrefix="0" xfId="0">
      <alignment horizontal="left" vertical="top" wrapText="1"/>
    </xf>
    <xf numFmtId="0" fontId="49" fillId="26" borderId="0" applyAlignment="1" pivotButton="0" quotePrefix="0" xfId="0">
      <alignment horizontal="general" vertical="bottom"/>
    </xf>
    <xf numFmtId="1" fontId="52" fillId="0" borderId="64" applyAlignment="1" pivotButton="0" quotePrefix="0" xfId="0">
      <alignment horizontal="left" vertical="bottom"/>
    </xf>
    <xf numFmtId="0" fontId="0" fillId="0" borderId="64" applyAlignment="1" pivotButton="0" quotePrefix="0" xfId="23">
      <alignment horizontal="general" vertical="bottom"/>
    </xf>
    <xf numFmtId="0" fontId="52" fillId="0" borderId="64" applyAlignment="1" pivotButton="0" quotePrefix="0" xfId="0">
      <alignment horizontal="left" vertical="bottom"/>
    </xf>
    <xf numFmtId="0" fontId="0" fillId="0" borderId="74" applyAlignment="1" pivotButton="0" quotePrefix="0" xfId="31">
      <alignment horizontal="general" vertical="bottom"/>
    </xf>
    <xf numFmtId="0" fontId="0" fillId="0" borderId="75" applyAlignment="1" pivotButton="0" quotePrefix="0" xfId="32">
      <alignment horizontal="general" vertical="bottom"/>
    </xf>
    <xf numFmtId="0" fontId="0" fillId="0" borderId="64" applyAlignment="1" pivotButton="0" quotePrefix="0" xfId="23">
      <alignment horizontal="general" vertical="top" wrapText="1"/>
    </xf>
    <xf numFmtId="0" fontId="0" fillId="3" borderId="64" applyAlignment="1" pivotButton="0" quotePrefix="0" xfId="0">
      <alignment horizontal="general" vertical="bottom"/>
    </xf>
    <xf numFmtId="0" fontId="0" fillId="30" borderId="64" applyAlignment="1" pivotButton="0" quotePrefix="0" xfId="0">
      <alignment horizontal="general" vertical="bottom"/>
    </xf>
    <xf numFmtId="0" fontId="71" fillId="0" borderId="64" applyAlignment="1" pivotButton="0" quotePrefix="0" xfId="0">
      <alignment horizontal="general" vertical="bottom"/>
    </xf>
    <xf numFmtId="0" fontId="0" fillId="30" borderId="64" applyAlignment="1" pivotButton="0" quotePrefix="0" xfId="23">
      <alignment horizontal="general" vertical="bottom"/>
    </xf>
    <xf numFmtId="0" fontId="26" fillId="0" borderId="0" applyAlignment="1" pivotButton="0" quotePrefix="0" xfId="23">
      <alignment horizontal="general" vertical="bottom"/>
    </xf>
    <xf numFmtId="0" fontId="22" fillId="0" borderId="0" applyAlignment="1" pivotButton="0" quotePrefix="0" xfId="23">
      <alignment horizontal="general" vertical="bottom"/>
    </xf>
    <xf numFmtId="0" fontId="0" fillId="30" borderId="0" applyAlignment="1" pivotButton="0" quotePrefix="0" xfId="23">
      <alignment horizontal="general" vertical="bottom"/>
    </xf>
    <xf numFmtId="1" fontId="52" fillId="30" borderId="64" applyAlignment="1" pivotButton="0" quotePrefix="0" xfId="0">
      <alignment horizontal="left" vertical="bottom"/>
    </xf>
    <xf numFmtId="0" fontId="52" fillId="30" borderId="64" applyAlignment="1" pivotButton="0" quotePrefix="0" xfId="0">
      <alignment horizontal="left" vertical="bottom"/>
    </xf>
    <xf numFmtId="0" fontId="0" fillId="0" borderId="64" applyAlignment="1" pivotButton="0" quotePrefix="0" xfId="23">
      <alignment horizontal="left" vertical="top" wrapText="1"/>
    </xf>
    <xf numFmtId="0" fontId="0" fillId="33" borderId="0" applyAlignment="1" pivotButton="0" quotePrefix="0" xfId="23">
      <alignment horizontal="general" vertical="bottom"/>
    </xf>
    <xf numFmtId="1" fontId="22" fillId="0" borderId="64" applyAlignment="1" pivotButton="0" quotePrefix="0" xfId="0">
      <alignment horizontal="left" vertical="bottom"/>
    </xf>
    <xf numFmtId="0" fontId="22" fillId="0" borderId="64" applyAlignment="1" pivotButton="0" quotePrefix="0" xfId="0">
      <alignment horizontal="general" vertical="bottom"/>
    </xf>
    <xf numFmtId="0" fontId="22" fillId="0" borderId="64" applyAlignment="1" pivotButton="0" quotePrefix="0" xfId="23">
      <alignment horizontal="general" vertical="bottom"/>
    </xf>
    <xf numFmtId="0" fontId="22" fillId="0" borderId="64" applyAlignment="1" pivotButton="0" quotePrefix="0" xfId="23">
      <alignment horizontal="general" vertical="top" wrapText="1"/>
    </xf>
    <xf numFmtId="0" fontId="22" fillId="0" borderId="64" applyAlignment="1" pivotButton="0" quotePrefix="0" xfId="0">
      <alignment horizontal="left" vertical="bottom"/>
    </xf>
    <xf numFmtId="0" fontId="0" fillId="0" borderId="0" applyAlignment="1" pivotButton="0" quotePrefix="0" xfId="23">
      <alignment horizontal="general" vertical="top" wrapText="1"/>
    </xf>
    <xf numFmtId="0" fontId="0" fillId="30" borderId="0" applyAlignment="1" pivotButton="0" quotePrefix="0" xfId="0">
      <alignment horizontal="general" vertical="bottom"/>
    </xf>
    <xf numFmtId="0" fontId="0" fillId="3" borderId="0" applyAlignment="1" pivotButton="0" quotePrefix="0" xfId="23">
      <alignment horizontal="general" vertical="bottom"/>
    </xf>
    <xf numFmtId="1" fontId="52" fillId="3" borderId="64" applyAlignment="1" pivotButton="0" quotePrefix="0" xfId="0">
      <alignment horizontal="left" vertical="bottom"/>
    </xf>
    <xf numFmtId="0" fontId="0" fillId="3" borderId="64" applyAlignment="1" pivotButton="0" quotePrefix="0" xfId="23">
      <alignment horizontal="general" vertical="bottom"/>
    </xf>
    <xf numFmtId="0" fontId="52" fillId="3" borderId="64" applyAlignment="1" pivotButton="0" quotePrefix="0" xfId="0">
      <alignment horizontal="left" vertical="bottom"/>
    </xf>
    <xf numFmtId="0" fontId="26" fillId="0" borderId="64" applyAlignment="1" pivotButton="0" quotePrefix="0" xfId="23">
      <alignment horizontal="general" vertical="bottom"/>
    </xf>
    <xf numFmtId="0" fontId="0" fillId="33" borderId="64" applyAlignment="1" pivotButton="0" quotePrefix="0" xfId="23">
      <alignment horizontal="general" vertical="bottom"/>
    </xf>
    <xf numFmtId="0" fontId="0" fillId="0" borderId="64" applyAlignment="1" pivotButton="0" quotePrefix="0" xfId="0">
      <alignment horizontal="left" vertical="bottom"/>
    </xf>
    <xf numFmtId="0" fontId="0" fillId="0" borderId="0" applyAlignment="1" pivotButton="0" quotePrefix="0" xfId="24">
      <alignment horizontal="left" vertical="bottom"/>
    </xf>
    <xf numFmtId="0" fontId="0" fillId="0" borderId="0" applyAlignment="1" pivotButton="0" quotePrefix="0" xfId="24">
      <alignment horizontal="general" vertical="bottom"/>
    </xf>
    <xf numFmtId="0" fontId="0" fillId="29" borderId="0" applyAlignment="1" pivotButton="0" quotePrefix="0" xfId="24">
      <alignment horizontal="general" vertical="bottom"/>
    </xf>
    <xf numFmtId="0" fontId="0" fillId="0" borderId="0" applyAlignment="1" pivotButton="0" quotePrefix="0" xfId="24">
      <alignment horizontal="center" vertical="bottom"/>
    </xf>
    <xf numFmtId="0" fontId="0" fillId="0" borderId="0" applyAlignment="1" pivotButton="0" quotePrefix="0" xfId="24">
      <alignment horizontal="left" vertical="top" wrapText="1"/>
    </xf>
    <xf numFmtId="0" fontId="48" fillId="24" borderId="64" applyAlignment="1" pivotButton="0" quotePrefix="0" xfId="24">
      <alignment horizontal="left" vertical="top" wrapText="1"/>
    </xf>
    <xf numFmtId="0" fontId="48" fillId="25" borderId="64" applyAlignment="1" pivotButton="0" quotePrefix="0" xfId="24">
      <alignment horizontal="left" vertical="top" wrapText="1"/>
    </xf>
    <xf numFmtId="0" fontId="49" fillId="26" borderId="64" applyAlignment="1" pivotButton="0" quotePrefix="0" xfId="0">
      <alignment horizontal="center" vertical="bottom"/>
    </xf>
    <xf numFmtId="0" fontId="50" fillId="23" borderId="64" applyAlignment="1" pivotButton="0" quotePrefix="0" xfId="0">
      <alignment horizontal="center" vertical="bottom"/>
    </xf>
    <xf numFmtId="0" fontId="50" fillId="23" borderId="29" applyAlignment="1" pivotButton="0" quotePrefix="0" xfId="0">
      <alignment horizontal="center" vertical="bottom" wrapText="1"/>
    </xf>
    <xf numFmtId="0" fontId="50" fillId="23" borderId="64" applyAlignment="1" pivotButton="0" quotePrefix="0" xfId="0">
      <alignment horizontal="center" vertical="bottom" wrapText="1"/>
    </xf>
    <xf numFmtId="0" fontId="50" fillId="23" borderId="63" applyAlignment="1" pivotButton="0" quotePrefix="0" xfId="0">
      <alignment horizontal="center" vertical="bottom"/>
    </xf>
    <xf numFmtId="0" fontId="50" fillId="23" borderId="0" applyAlignment="1" pivotButton="0" quotePrefix="0" xfId="0">
      <alignment horizontal="center" vertical="bottom"/>
    </xf>
    <xf numFmtId="0" fontId="50" fillId="23" borderId="0" applyAlignment="1" pivotButton="0" quotePrefix="0" xfId="0">
      <alignment horizontal="center" vertical="bottom" wrapText="1"/>
    </xf>
    <xf numFmtId="0" fontId="0" fillId="29" borderId="64" applyAlignment="1" pivotButton="0" quotePrefix="0" xfId="0">
      <alignment horizontal="general" vertical="bottom"/>
    </xf>
    <xf numFmtId="0" fontId="0" fillId="0" borderId="64" applyAlignment="1" pivotButton="0" quotePrefix="0" xfId="24">
      <alignment horizontal="general" vertical="bottom"/>
    </xf>
    <xf numFmtId="0" fontId="52" fillId="0" borderId="29" applyAlignment="1" pivotButton="0" quotePrefix="0" xfId="0">
      <alignment horizontal="left" vertical="bottom"/>
    </xf>
    <xf numFmtId="0" fontId="0" fillId="0" borderId="64" applyAlignment="1" pivotButton="0" quotePrefix="0" xfId="24">
      <alignment horizontal="center" vertical="center"/>
    </xf>
    <xf numFmtId="0" fontId="0" fillId="0" borderId="64" applyAlignment="1" pivotButton="0" quotePrefix="0" xfId="0">
      <alignment horizontal="center" vertical="bottom"/>
    </xf>
    <xf numFmtId="0" fontId="0" fillId="0" borderId="64" applyAlignment="1" pivotButton="0" quotePrefix="0" xfId="24">
      <alignment horizontal="center" vertical="bottom"/>
    </xf>
    <xf numFmtId="175" fontId="0" fillId="0" borderId="64" applyAlignment="1" pivotButton="0" quotePrefix="0" xfId="15">
      <alignment horizontal="center" vertical="bottom"/>
    </xf>
    <xf numFmtId="9" fontId="0" fillId="0" borderId="64" applyAlignment="1" pivotButton="0" quotePrefix="0" xfId="0">
      <alignment horizontal="center" vertical="bottom"/>
    </xf>
    <xf numFmtId="9" fontId="0" fillId="0" borderId="64" applyAlignment="1" pivotButton="0" quotePrefix="0" xfId="24">
      <alignment horizontal="center" vertical="bottom"/>
    </xf>
    <xf numFmtId="176" fontId="0" fillId="0" borderId="64" applyAlignment="1" pivotButton="0" quotePrefix="0" xfId="24">
      <alignment horizontal="general" vertical="bottom"/>
    </xf>
    <xf numFmtId="177" fontId="0" fillId="0" borderId="64" applyAlignment="1" pivotButton="0" quotePrefix="0" xfId="24">
      <alignment horizontal="general" vertical="bottom"/>
    </xf>
    <xf numFmtId="179" fontId="0" fillId="0" borderId="64" applyAlignment="1" pivotButton="0" quotePrefix="0" xfId="24">
      <alignment horizontal="center" vertical="bottom"/>
    </xf>
    <xf numFmtId="179" fontId="0" fillId="0" borderId="64" applyAlignment="1" pivotButton="0" quotePrefix="0" xfId="24">
      <alignment horizontal="general" vertical="bottom"/>
    </xf>
    <xf numFmtId="180" fontId="0" fillId="0" borderId="64" applyAlignment="1" pivotButton="0" quotePrefix="0" xfId="24">
      <alignment horizontal="center" vertical="bottom"/>
    </xf>
    <xf numFmtId="175" fontId="0" fillId="0" borderId="64" applyAlignment="1" pivotButton="0" quotePrefix="0" xfId="15">
      <alignment horizontal="general" vertical="bottom"/>
    </xf>
    <xf numFmtId="175" fontId="0" fillId="0" borderId="29" applyAlignment="1" pivotButton="0" quotePrefix="0" xfId="15">
      <alignment horizontal="center" vertical="bottom"/>
    </xf>
    <xf numFmtId="0" fontId="0" fillId="0" borderId="29" applyAlignment="1" pivotButton="0" quotePrefix="0" xfId="24">
      <alignment horizontal="center" vertical="bottom"/>
    </xf>
    <xf numFmtId="0" fontId="0" fillId="0" borderId="64" applyAlignment="1" pivotButton="0" quotePrefix="0" xfId="24">
      <alignment horizontal="general" vertical="top" wrapText="1"/>
    </xf>
    <xf numFmtId="0" fontId="0" fillId="29" borderId="64" applyAlignment="1" pivotButton="0" quotePrefix="0" xfId="24">
      <alignment horizontal="general" vertical="bottom"/>
    </xf>
    <xf numFmtId="1" fontId="52" fillId="0" borderId="0" applyAlignment="1" pivotButton="0" quotePrefix="0" xfId="0">
      <alignment horizontal="left" vertical="bottom"/>
    </xf>
    <xf numFmtId="0" fontId="0" fillId="3" borderId="64" applyAlignment="1" pivotButton="0" quotePrefix="0" xfId="24">
      <alignment horizontal="general" vertical="bottom"/>
    </xf>
    <xf numFmtId="0" fontId="22" fillId="0" borderId="64" applyAlignment="1" pivotButton="0" quotePrefix="0" xfId="24">
      <alignment horizontal="center" vertical="bottom"/>
    </xf>
    <xf numFmtId="0" fontId="26" fillId="0" borderId="0" applyAlignment="1" pivotButton="0" quotePrefix="0" xfId="24">
      <alignment horizontal="general" vertical="bottom"/>
    </xf>
    <xf numFmtId="0" fontId="0" fillId="0" borderId="0" applyAlignment="1" pivotButton="0" quotePrefix="0" xfId="24">
      <alignment horizontal="center" vertical="center"/>
    </xf>
    <xf numFmtId="0" fontId="0" fillId="33" borderId="64" applyAlignment="1" pivotButton="0" quotePrefix="0" xfId="24">
      <alignment horizontal="general" vertical="bottom"/>
    </xf>
    <xf numFmtId="0" fontId="0" fillId="0" borderId="0" applyAlignment="1" pivotButton="0" quotePrefix="0" xfId="0">
      <alignment horizontal="center" vertical="bottom"/>
    </xf>
    <xf numFmtId="0" fontId="22" fillId="0" borderId="0" applyAlignment="1" pivotButton="0" quotePrefix="0" xfId="24">
      <alignment horizontal="general" vertical="bottom"/>
    </xf>
    <xf numFmtId="10" fontId="0" fillId="0" borderId="64" applyAlignment="1" pivotButton="0" quotePrefix="0" xfId="24">
      <alignment horizontal="center" vertical="bottom"/>
    </xf>
    <xf numFmtId="180" fontId="0" fillId="0" borderId="0" applyAlignment="1" pivotButton="0" quotePrefix="0" xfId="24">
      <alignment horizontal="center" vertical="bottom"/>
    </xf>
    <xf numFmtId="0" fontId="0" fillId="34" borderId="64" applyAlignment="1" pivotButton="0" quotePrefix="0" xfId="24">
      <alignment horizontal="center" vertical="bottom"/>
    </xf>
    <xf numFmtId="0" fontId="0" fillId="0" borderId="63" applyAlignment="1" pivotButton="0" quotePrefix="0" xfId="24">
      <alignment horizontal="center" vertical="center"/>
    </xf>
    <xf numFmtId="0" fontId="0" fillId="0" borderId="63" applyAlignment="1" pivotButton="0" quotePrefix="0" xfId="24">
      <alignment horizontal="center" vertical="bottom"/>
    </xf>
    <xf numFmtId="0" fontId="0" fillId="0" borderId="65" applyAlignment="1" pivotButton="0" quotePrefix="0" xfId="24">
      <alignment horizontal="center" vertical="center"/>
    </xf>
    <xf numFmtId="0" fontId="0" fillId="0" borderId="65" applyAlignment="1" pivotButton="0" quotePrefix="0" xfId="24">
      <alignment horizontal="center" vertical="bottom"/>
    </xf>
    <xf numFmtId="180" fontId="0" fillId="0" borderId="65" applyAlignment="1" pivotButton="0" quotePrefix="0" xfId="24">
      <alignment horizontal="center" vertical="bottom"/>
    </xf>
    <xf numFmtId="0" fontId="0" fillId="34" borderId="65" applyAlignment="1" pivotButton="0" quotePrefix="0" xfId="24">
      <alignment horizontal="center" vertical="bottom"/>
    </xf>
    <xf numFmtId="1" fontId="52" fillId="0" borderId="63" applyAlignment="1" pivotButton="0" quotePrefix="0" xfId="0">
      <alignment horizontal="left" vertical="bottom"/>
    </xf>
    <xf numFmtId="0" fontId="0" fillId="0" borderId="63" applyAlignment="1" pivotButton="0" quotePrefix="0" xfId="0">
      <alignment horizontal="general" vertical="bottom"/>
    </xf>
    <xf numFmtId="0" fontId="0" fillId="29" borderId="63" applyAlignment="1" pivotButton="0" quotePrefix="0" xfId="0">
      <alignment horizontal="general" vertical="bottom"/>
    </xf>
    <xf numFmtId="0" fontId="0" fillId="0" borderId="63" applyAlignment="1" pivotButton="0" quotePrefix="0" xfId="24">
      <alignment horizontal="general" vertical="bottom"/>
    </xf>
    <xf numFmtId="0" fontId="52" fillId="0" borderId="59" applyAlignment="1" pivotButton="0" quotePrefix="0" xfId="0">
      <alignment horizontal="left" vertical="bottom"/>
    </xf>
    <xf numFmtId="9" fontId="0" fillId="0" borderId="0" applyAlignment="1" pivotButton="0" quotePrefix="0" xfId="24">
      <alignment horizontal="center" vertical="bottom"/>
    </xf>
    <xf numFmtId="179" fontId="0" fillId="0" borderId="0" applyAlignment="1" pivotButton="0" quotePrefix="0" xfId="24">
      <alignment horizontal="center" vertical="bottom"/>
    </xf>
    <xf numFmtId="179" fontId="0" fillId="0" borderId="0" applyAlignment="1" pivotButton="0" quotePrefix="0" xfId="24">
      <alignment horizontal="general" vertical="bottom"/>
    </xf>
    <xf numFmtId="177" fontId="0" fillId="0" borderId="0" applyAlignment="1" pivotButton="0" quotePrefix="0" xfId="24">
      <alignment horizontal="general" vertical="bottom"/>
    </xf>
    <xf numFmtId="9" fontId="0" fillId="0" borderId="0" applyAlignment="1" pivotButton="0" quotePrefix="0" xfId="0">
      <alignment horizontal="center" vertical="bottom"/>
    </xf>
    <xf numFmtId="176" fontId="0" fillId="0" borderId="0" applyAlignment="1" pivotButton="0" quotePrefix="0" xfId="24">
      <alignment horizontal="general" vertical="bottom"/>
    </xf>
    <xf numFmtId="0" fontId="0" fillId="0" borderId="64" applyAlignment="1" pivotButton="0" quotePrefix="0" xfId="24">
      <alignment horizontal="left" vertical="top" wrapText="1"/>
    </xf>
    <xf numFmtId="1" fontId="52" fillId="0" borderId="65" applyAlignment="1" pivotButton="0" quotePrefix="0" xfId="0">
      <alignment horizontal="left" vertical="bottom"/>
    </xf>
    <xf numFmtId="0" fontId="0" fillId="0" borderId="65" applyAlignment="1" pivotButton="0" quotePrefix="0" xfId="24">
      <alignment horizontal="left" vertical="top" wrapText="1"/>
    </xf>
    <xf numFmtId="0" fontId="0" fillId="29" borderId="65" applyAlignment="1" pivotButton="0" quotePrefix="0" xfId="24">
      <alignment horizontal="general" vertical="bottom"/>
    </xf>
    <xf numFmtId="0" fontId="0" fillId="0" borderId="65" applyAlignment="1" pivotButton="0" quotePrefix="0" xfId="24">
      <alignment horizontal="general" vertical="bottom"/>
    </xf>
    <xf numFmtId="0" fontId="0" fillId="0" borderId="65" applyAlignment="1" pivotButton="0" quotePrefix="0" xfId="0">
      <alignment horizontal="general" vertical="bottom"/>
    </xf>
    <xf numFmtId="0" fontId="52" fillId="0" borderId="60" applyAlignment="1" pivotButton="0" quotePrefix="0" xfId="0">
      <alignment horizontal="left" vertical="bottom"/>
    </xf>
    <xf numFmtId="0" fontId="0" fillId="0" borderId="66" applyAlignment="1" pivotButton="0" quotePrefix="0" xfId="24">
      <alignment horizontal="center" vertical="center"/>
    </xf>
    <xf numFmtId="0" fontId="0" fillId="0" borderId="66" applyAlignment="1" pivotButton="0" quotePrefix="0" xfId="24">
      <alignment horizontal="center" vertical="bottom"/>
    </xf>
    <xf numFmtId="0" fontId="0" fillId="0" borderId="59" applyAlignment="1" pivotButton="0" quotePrefix="0" xfId="24">
      <alignment horizontal="center" vertical="bottom"/>
    </xf>
    <xf numFmtId="175" fontId="0" fillId="0" borderId="59" applyAlignment="1" pivotButton="0" quotePrefix="0" xfId="15">
      <alignment horizontal="center" vertical="bottom"/>
    </xf>
    <xf numFmtId="9" fontId="0" fillId="0" borderId="63" applyAlignment="1" pivotButton="0" quotePrefix="0" xfId="24">
      <alignment horizontal="center" vertical="bottom"/>
    </xf>
    <xf numFmtId="179" fontId="0" fillId="0" borderId="63" applyAlignment="1" pivotButton="0" quotePrefix="0" xfId="24">
      <alignment horizontal="center" vertical="bottom"/>
    </xf>
    <xf numFmtId="179" fontId="0" fillId="0" borderId="63" applyAlignment="1" pivotButton="0" quotePrefix="0" xfId="24">
      <alignment horizontal="general" vertical="bottom"/>
    </xf>
    <xf numFmtId="177" fontId="0" fillId="0" borderId="63" applyAlignment="1" pivotButton="0" quotePrefix="0" xfId="24">
      <alignment horizontal="general" vertical="bottom"/>
    </xf>
    <xf numFmtId="0" fontId="52" fillId="0" borderId="62" applyAlignment="1" pivotButton="0" quotePrefix="0" xfId="0">
      <alignment horizontal="left" vertical="bottom"/>
    </xf>
    <xf numFmtId="0" fontId="0" fillId="0" borderId="62" applyAlignment="1" pivotButton="0" quotePrefix="0" xfId="24">
      <alignment horizontal="center" vertical="bottom"/>
    </xf>
    <xf numFmtId="175" fontId="0" fillId="0" borderId="62" applyAlignment="1" pivotButton="0" quotePrefix="0" xfId="15">
      <alignment horizontal="center" vertical="bottom"/>
    </xf>
    <xf numFmtId="9" fontId="0" fillId="0" borderId="65" applyAlignment="1" pivotButton="0" quotePrefix="0" xfId="24">
      <alignment horizontal="center" vertical="bottom"/>
    </xf>
    <xf numFmtId="179" fontId="0" fillId="0" borderId="65" applyAlignment="1" pivotButton="0" quotePrefix="0" xfId="24">
      <alignment horizontal="center" vertical="bottom"/>
    </xf>
    <xf numFmtId="179" fontId="0" fillId="0" borderId="65" applyAlignment="1" pivotButton="0" quotePrefix="0" xfId="24">
      <alignment horizontal="general" vertical="bottom"/>
    </xf>
    <xf numFmtId="177" fontId="0" fillId="0" borderId="65" applyAlignment="1" pivotButton="0" quotePrefix="0" xfId="24">
      <alignment horizontal="general" vertical="bottom"/>
    </xf>
    <xf numFmtId="0" fontId="0" fillId="0" borderId="29" applyAlignment="1" pivotButton="0" quotePrefix="0" xfId="0">
      <alignment horizontal="center" vertical="bottom"/>
    </xf>
    <xf numFmtId="181" fontId="0" fillId="0" borderId="64" applyAlignment="1" pivotButton="0" quotePrefix="0" xfId="24">
      <alignment horizontal="general" vertical="bottom"/>
    </xf>
    <xf numFmtId="1" fontId="0" fillId="0" borderId="64" applyAlignment="1" pivotButton="0" quotePrefix="0" xfId="0">
      <alignment horizontal="left" vertical="bottom"/>
    </xf>
    <xf numFmtId="0" fontId="0" fillId="0" borderId="64" applyAlignment="1" pivotButton="0" quotePrefix="0" xfId="0">
      <alignment horizontal="center" vertical="center"/>
    </xf>
    <xf numFmtId="179" fontId="0" fillId="0" borderId="64" applyAlignment="1" pivotButton="0" quotePrefix="0" xfId="19">
      <alignment horizontal="center" vertical="bottom"/>
    </xf>
    <xf numFmtId="179" fontId="0" fillId="0" borderId="64" applyAlignment="1" pivotButton="0" quotePrefix="0" xfId="19">
      <alignment horizontal="general" vertical="bottom"/>
    </xf>
    <xf numFmtId="0" fontId="0" fillId="0" borderId="0" applyAlignment="1" pivotButton="0" quotePrefix="0" xfId="24">
      <alignment horizontal="general" vertical="top" wrapText="1"/>
    </xf>
    <xf numFmtId="0" fontId="26" fillId="11" borderId="64" applyAlignment="1" pivotButton="0" quotePrefix="0" xfId="24">
      <alignment horizontal="center" vertical="center"/>
    </xf>
    <xf numFmtId="0" fontId="22" fillId="29" borderId="64" applyAlignment="1" pivotButton="0" quotePrefix="0" xfId="0">
      <alignment horizontal="general" vertical="bottom"/>
    </xf>
    <xf numFmtId="0" fontId="22" fillId="0" borderId="64" applyAlignment="1" pivotButton="0" quotePrefix="0" xfId="24">
      <alignment horizontal="general" vertical="top" wrapText="1"/>
    </xf>
    <xf numFmtId="0" fontId="22" fillId="0" borderId="64" applyAlignment="1" pivotButton="0" quotePrefix="0" xfId="24">
      <alignment horizontal="general" vertical="bottom"/>
    </xf>
    <xf numFmtId="0" fontId="0" fillId="29" borderId="64" applyAlignment="1" pivotButton="0" quotePrefix="0" xfId="24">
      <alignment horizontal="general" vertical="top" wrapText="1"/>
    </xf>
    <xf numFmtId="0" fontId="52" fillId="3" borderId="29" applyAlignment="1" pivotButton="0" quotePrefix="0" xfId="0">
      <alignment horizontal="left" vertical="bottom"/>
    </xf>
    <xf numFmtId="0" fontId="0" fillId="3" borderId="29" applyAlignment="1" pivotButton="0" quotePrefix="0" xfId="24">
      <alignment horizontal="center" vertical="bottom"/>
    </xf>
    <xf numFmtId="175" fontId="0" fillId="3" borderId="29" applyAlignment="1" pivotButton="0" quotePrefix="0" xfId="15">
      <alignment horizontal="center" vertical="bottom"/>
    </xf>
    <xf numFmtId="0" fontId="22" fillId="29" borderId="64" applyAlignment="1" pivotButton="0" quotePrefix="0" xfId="24">
      <alignment horizontal="general" vertical="top" wrapText="1"/>
    </xf>
    <xf numFmtId="0" fontId="22" fillId="0" borderId="29" applyAlignment="1" pivotButton="0" quotePrefix="0" xfId="0">
      <alignment horizontal="left" vertical="bottom"/>
    </xf>
    <xf numFmtId="0" fontId="22" fillId="0" borderId="29" applyAlignment="1" pivotButton="0" quotePrefix="0" xfId="24">
      <alignment horizontal="center" vertical="bottom"/>
    </xf>
    <xf numFmtId="175" fontId="22" fillId="0" borderId="29" applyAlignment="1" pivotButton="0" quotePrefix="0" xfId="15">
      <alignment horizontal="center" vertical="bottom"/>
    </xf>
    <xf numFmtId="9" fontId="22" fillId="0" borderId="64" applyAlignment="1" pivotButton="0" quotePrefix="0" xfId="24">
      <alignment horizontal="center" vertical="bottom"/>
    </xf>
    <xf numFmtId="179" fontId="22" fillId="0" borderId="64" applyAlignment="1" pivotButton="0" quotePrefix="0" xfId="24">
      <alignment horizontal="center" vertical="bottom"/>
    </xf>
    <xf numFmtId="179" fontId="22" fillId="0" borderId="64" applyAlignment="1" pivotButton="0" quotePrefix="0" xfId="24">
      <alignment horizontal="general" vertical="bottom"/>
    </xf>
    <xf numFmtId="177" fontId="22" fillId="0" borderId="64" applyAlignment="1" pivotButton="0" quotePrefix="0" xfId="24">
      <alignment horizontal="general" vertical="bottom"/>
    </xf>
    <xf numFmtId="0" fontId="26" fillId="0" borderId="64" applyAlignment="1" pivotButton="0" quotePrefix="0" xfId="24">
      <alignment horizontal="general" vertical="bottom"/>
    </xf>
    <xf numFmtId="175" fontId="0" fillId="0" borderId="0" applyAlignment="1" pivotButton="0" quotePrefix="0" xfId="15">
      <alignment horizontal="center" vertical="bottom"/>
    </xf>
    <xf numFmtId="0" fontId="0" fillId="29" borderId="0" applyAlignment="1" pivotButton="0" quotePrefix="0" xfId="0">
      <alignment horizontal="general" vertical="bottom"/>
    </xf>
    <xf numFmtId="0" fontId="52" fillId="0" borderId="0" applyAlignment="1" pivotButton="0" quotePrefix="0" xfId="0">
      <alignment horizontal="left" vertical="bottom"/>
    </xf>
    <xf numFmtId="175" fontId="0" fillId="3" borderId="0" applyAlignment="1" pivotButton="0" quotePrefix="0" xfId="24">
      <alignment horizontal="general" vertical="bottom"/>
    </xf>
    <xf numFmtId="0" fontId="0" fillId="3" borderId="0" applyAlignment="1" pivotButton="0" quotePrefix="0" xfId="24">
      <alignment horizontal="general" vertical="bottom"/>
    </xf>
    <xf numFmtId="0" fontId="0" fillId="34" borderId="0" applyAlignment="1" pivotButton="0" quotePrefix="0" xfId="24">
      <alignment horizontal="center" vertical="bottom"/>
    </xf>
    <xf numFmtId="175" fontId="0" fillId="0" borderId="0" applyAlignment="1" pivotButton="0" quotePrefix="0" xfId="24">
      <alignment horizontal="center" vertical="bottom"/>
    </xf>
    <xf numFmtId="9" fontId="0" fillId="0" borderId="0" applyAlignment="1" pivotButton="0" quotePrefix="0" xfId="19">
      <alignment horizontal="general" vertical="bottom"/>
    </xf>
    <xf numFmtId="0" fontId="48" fillId="24" borderId="64" applyAlignment="1" pivotButton="0" quotePrefix="0" xfId="25">
      <alignment horizontal="left" vertical="top" wrapText="1"/>
    </xf>
    <xf numFmtId="0" fontId="48" fillId="25" borderId="64" applyAlignment="1" pivotButton="0" quotePrefix="0" xfId="25">
      <alignment horizontal="left" vertical="top" wrapText="1"/>
    </xf>
    <xf numFmtId="0" fontId="49" fillId="26" borderId="0" applyAlignment="1" pivotButton="0" quotePrefix="0" xfId="0">
      <alignment horizontal="general" vertical="bottom" wrapText="1"/>
    </xf>
    <xf numFmtId="0" fontId="49" fillId="26" borderId="64" applyAlignment="1" pivotButton="0" quotePrefix="0" xfId="0">
      <alignment horizontal="center" vertical="bottom" wrapText="1"/>
    </xf>
    <xf numFmtId="0" fontId="50" fillId="23" borderId="63" applyAlignment="1" pivotButton="0" quotePrefix="0" xfId="0">
      <alignment horizontal="center" vertical="bottom" wrapText="1"/>
    </xf>
    <xf numFmtId="0" fontId="0" fillId="0" borderId="0" applyAlignment="1" pivotButton="0" quotePrefix="0" xfId="25">
      <alignment horizontal="left" vertical="top" wrapText="1"/>
    </xf>
    <xf numFmtId="1" fontId="52" fillId="0" borderId="64" applyAlignment="1" pivotButton="0" quotePrefix="0" xfId="0">
      <alignment horizontal="left" vertical="bottom" wrapText="1"/>
    </xf>
    <xf numFmtId="0" fontId="0" fillId="0" borderId="64" applyAlignment="1" pivotButton="0" quotePrefix="0" xfId="0">
      <alignment horizontal="general" vertical="bottom" wrapText="1"/>
    </xf>
    <xf numFmtId="0" fontId="0" fillId="29" borderId="64" applyAlignment="1" pivotButton="0" quotePrefix="0" xfId="0">
      <alignment horizontal="general" vertical="bottom" wrapText="1"/>
    </xf>
    <xf numFmtId="0" fontId="0" fillId="0" borderId="64" applyAlignment="1" pivotButton="0" quotePrefix="0" xfId="25">
      <alignment horizontal="general" vertical="bottom" wrapText="1"/>
    </xf>
    <xf numFmtId="0" fontId="52" fillId="0" borderId="29" applyAlignment="1" pivotButton="0" quotePrefix="0" xfId="0">
      <alignment horizontal="left" vertical="bottom" wrapText="1"/>
    </xf>
    <xf numFmtId="0" fontId="0" fillId="0" borderId="64" applyAlignment="1" pivotButton="0" quotePrefix="0" xfId="25">
      <alignment horizontal="center" vertical="center" wrapText="1"/>
    </xf>
    <xf numFmtId="0" fontId="0" fillId="0" borderId="64" applyAlignment="1" pivotButton="0" quotePrefix="0" xfId="0">
      <alignment horizontal="center" vertical="bottom" wrapText="1"/>
    </xf>
    <xf numFmtId="0" fontId="0" fillId="0" borderId="64" applyAlignment="1" pivotButton="0" quotePrefix="0" xfId="25">
      <alignment horizontal="center" vertical="bottom" wrapText="1"/>
    </xf>
    <xf numFmtId="0" fontId="0" fillId="0" borderId="29" applyAlignment="1" pivotButton="0" quotePrefix="0" xfId="25">
      <alignment horizontal="center" vertical="bottom" wrapText="1"/>
    </xf>
    <xf numFmtId="175" fontId="0" fillId="0" borderId="29" applyAlignment="1" pivotButton="0" quotePrefix="0" xfId="20">
      <alignment horizontal="center" vertical="bottom" wrapText="1"/>
    </xf>
    <xf numFmtId="9" fontId="0" fillId="0" borderId="64" applyAlignment="1" pivotButton="0" quotePrefix="0" xfId="0">
      <alignment horizontal="center" vertical="bottom" wrapText="1"/>
    </xf>
    <xf numFmtId="9" fontId="0" fillId="0" borderId="64" applyAlignment="1" pivotButton="0" quotePrefix="0" xfId="25">
      <alignment horizontal="center" vertical="bottom" wrapText="1"/>
    </xf>
    <xf numFmtId="176" fontId="0" fillId="0" borderId="64" applyAlignment="1" pivotButton="0" quotePrefix="0" xfId="25">
      <alignment horizontal="general" vertical="bottom" wrapText="1"/>
    </xf>
    <xf numFmtId="177" fontId="0" fillId="0" borderId="64" applyAlignment="1" pivotButton="0" quotePrefix="0" xfId="25">
      <alignment horizontal="general" vertical="bottom" wrapText="1"/>
    </xf>
    <xf numFmtId="179" fontId="0" fillId="0" borderId="64" applyAlignment="1" pivotButton="0" quotePrefix="0" xfId="25">
      <alignment horizontal="center" vertical="bottom" wrapText="1"/>
    </xf>
    <xf numFmtId="179" fontId="0" fillId="0" borderId="64" applyAlignment="1" pivotButton="0" quotePrefix="0" xfId="25">
      <alignment horizontal="general" vertical="bottom" wrapText="1"/>
    </xf>
    <xf numFmtId="0" fontId="0" fillId="0" borderId="0" applyAlignment="1" pivotButton="0" quotePrefix="0" xfId="25">
      <alignment horizontal="general" vertical="bottom" wrapText="1"/>
    </xf>
    <xf numFmtId="175" fontId="0" fillId="0" borderId="64" applyAlignment="1" pivotButton="0" quotePrefix="0" xfId="20">
      <alignment horizontal="center" vertical="bottom" wrapText="1"/>
    </xf>
    <xf numFmtId="9" fontId="0" fillId="0" borderId="0" applyAlignment="1" pivotButton="0" quotePrefix="0" xfId="25">
      <alignment horizontal="center" vertical="bottom" wrapText="1"/>
    </xf>
    <xf numFmtId="179" fontId="0" fillId="0" borderId="0" applyAlignment="1" pivotButton="0" quotePrefix="0" xfId="25">
      <alignment horizontal="center" vertical="bottom" wrapText="1"/>
    </xf>
    <xf numFmtId="179" fontId="0" fillId="0" borderId="0" applyAlignment="1" pivotButton="0" quotePrefix="0" xfId="25">
      <alignment horizontal="general" vertical="bottom" wrapText="1"/>
    </xf>
    <xf numFmtId="177" fontId="0" fillId="0" borderId="0" applyAlignment="1" pivotButton="0" quotePrefix="0" xfId="25">
      <alignment horizontal="general" vertical="bottom" wrapText="1"/>
    </xf>
    <xf numFmtId="9" fontId="0" fillId="0" borderId="0" applyAlignment="1" pivotButton="0" quotePrefix="0" xfId="0">
      <alignment horizontal="center" vertical="bottom" wrapText="1"/>
    </xf>
    <xf numFmtId="0" fontId="0" fillId="0" borderId="0" applyAlignment="1" pivotButton="0" quotePrefix="0" xfId="0">
      <alignment horizontal="center" vertical="bottom" wrapText="1"/>
    </xf>
    <xf numFmtId="176" fontId="0" fillId="0" borderId="0" applyAlignment="1" pivotButton="0" quotePrefix="0" xfId="25">
      <alignment horizontal="general" vertical="bottom" wrapText="1"/>
    </xf>
    <xf numFmtId="179" fontId="0" fillId="0" borderId="64" applyAlignment="1" pivotButton="0" quotePrefix="0" xfId="29">
      <alignment horizontal="center" vertical="bottom" wrapText="1"/>
    </xf>
    <xf numFmtId="179" fontId="0" fillId="0" borderId="64" applyAlignment="1" pivotButton="0" quotePrefix="0" xfId="29">
      <alignment horizontal="general" vertical="bottom" wrapText="1"/>
    </xf>
    <xf numFmtId="175" fontId="0" fillId="0" borderId="64" applyAlignment="1" pivotButton="0" quotePrefix="0" xfId="20">
      <alignment horizontal="general" vertical="bottom" wrapText="1"/>
    </xf>
    <xf numFmtId="180" fontId="0" fillId="0" borderId="64" applyAlignment="1" pivotButton="0" quotePrefix="0" xfId="25">
      <alignment horizontal="center" vertical="bottom" wrapText="1"/>
    </xf>
    <xf numFmtId="10" fontId="0" fillId="0" borderId="64" applyAlignment="1" pivotButton="0" quotePrefix="0" xfId="25">
      <alignment horizontal="center" vertical="bottom" wrapText="1"/>
    </xf>
    <xf numFmtId="0" fontId="0" fillId="0" borderId="64" applyAlignment="1" pivotButton="0" quotePrefix="0" xfId="0">
      <alignment horizontal="left" vertical="bottom" wrapText="1"/>
    </xf>
    <xf numFmtId="0" fontId="0" fillId="3" borderId="64" applyAlignment="1" pivotButton="0" quotePrefix="0" xfId="25">
      <alignment horizontal="general" vertical="bottom" wrapText="1"/>
    </xf>
    <xf numFmtId="0" fontId="0" fillId="29" borderId="64" applyAlignment="1" pivotButton="0" quotePrefix="0" xfId="25">
      <alignment horizontal="general" vertical="bottom" wrapText="1"/>
    </xf>
    <xf numFmtId="0" fontId="0" fillId="0" borderId="64" applyAlignment="1" pivotButton="0" quotePrefix="0" xfId="25">
      <alignment horizontal="general" vertical="top" wrapText="1"/>
    </xf>
    <xf numFmtId="1" fontId="0" fillId="0" borderId="64" applyAlignment="1" pivotButton="0" quotePrefix="0" xfId="0">
      <alignment horizontal="left" vertical="bottom" wrapText="1"/>
    </xf>
    <xf numFmtId="0" fontId="0" fillId="0" borderId="64" applyAlignment="1" pivotButton="0" quotePrefix="0" xfId="0">
      <alignment horizontal="center" vertical="center" wrapText="1"/>
    </xf>
    <xf numFmtId="0" fontId="0" fillId="0" borderId="29" applyAlignment="1" pivotButton="0" quotePrefix="0" xfId="0">
      <alignment horizontal="center" vertical="bottom" wrapText="1"/>
    </xf>
    <xf numFmtId="0" fontId="0" fillId="0" borderId="0" applyAlignment="1" pivotButton="0" quotePrefix="0" xfId="25">
      <alignment horizontal="general" vertical="top" wrapText="1"/>
    </xf>
    <xf numFmtId="0" fontId="26" fillId="11" borderId="64" applyAlignment="1" pivotButton="0" quotePrefix="0" xfId="25">
      <alignment horizontal="center" vertical="center" wrapText="1"/>
    </xf>
    <xf numFmtId="0" fontId="22" fillId="0" borderId="64" applyAlignment="1" pivotButton="0" quotePrefix="0" xfId="0">
      <alignment horizontal="general" vertical="bottom" wrapText="1"/>
    </xf>
    <xf numFmtId="0" fontId="22" fillId="29" borderId="64" applyAlignment="1" pivotButton="0" quotePrefix="0" xfId="0">
      <alignment horizontal="general" vertical="bottom" wrapText="1"/>
    </xf>
    <xf numFmtId="0" fontId="22" fillId="0" borderId="0" applyAlignment="1" pivotButton="0" quotePrefix="0" xfId="25">
      <alignment horizontal="general" vertical="bottom" wrapText="1"/>
    </xf>
    <xf numFmtId="0" fontId="22" fillId="0" borderId="64" applyAlignment="1" pivotButton="0" quotePrefix="0" xfId="25">
      <alignment horizontal="general" vertical="top" wrapText="1"/>
    </xf>
    <xf numFmtId="0" fontId="22" fillId="0" borderId="64" applyAlignment="1" pivotButton="0" quotePrefix="0" xfId="25">
      <alignment horizontal="general" vertical="bottom" wrapText="1"/>
    </xf>
    <xf numFmtId="0" fontId="72" fillId="0" borderId="0" applyAlignment="1" pivotButton="0" quotePrefix="0" xfId="0">
      <alignment horizontal="general" vertical="bottom"/>
    </xf>
    <xf numFmtId="0" fontId="0" fillId="35" borderId="0" applyAlignment="1" pivotButton="0" quotePrefix="0" xfId="0">
      <alignment horizontal="general" vertical="bottom"/>
    </xf>
    <xf numFmtId="0" fontId="5" fillId="13" borderId="0" applyAlignment="1" pivotButton="0" quotePrefix="0" xfId="0">
      <alignment horizontal="center" vertical="center" wrapText="1"/>
    </xf>
    <xf numFmtId="9" fontId="0" fillId="0" borderId="0" applyAlignment="1" pivotButton="0" quotePrefix="0" xfId="0">
      <alignment horizontal="general" vertical="bottom"/>
    </xf>
    <xf numFmtId="0" fontId="6" fillId="14" borderId="1" applyAlignment="1" pivotButton="0" quotePrefix="0" xfId="0">
      <alignment horizontal="right" vertical="center"/>
    </xf>
    <xf numFmtId="0" fontId="6" fillId="14" borderId="1" applyAlignment="1" pivotButton="0" quotePrefix="0" xfId="0">
      <alignment horizontal="left" vertical="center"/>
    </xf>
    <xf numFmtId="0" fontId="6" fillId="14" borderId="1" applyAlignment="1" pivotButton="0" quotePrefix="0" xfId="0">
      <alignment horizontal="general" vertical="bottom"/>
    </xf>
    <xf numFmtId="191" fontId="75" fillId="0" borderId="0" applyAlignment="1" pivotButton="0" quotePrefix="0" xfId="0">
      <alignment horizontal="right" vertical="center"/>
    </xf>
    <xf numFmtId="190" fontId="75" fillId="0" borderId="0" applyAlignment="1" pivotButton="0" quotePrefix="0" xfId="0">
      <alignment horizontal="right" vertical="center"/>
    </xf>
    <xf numFmtId="191" fontId="74" fillId="39" borderId="105" applyAlignment="1" pivotButton="0" quotePrefix="0" xfId="0">
      <alignment horizontal="right" vertical="center"/>
    </xf>
    <xf numFmtId="190" fontId="74" fillId="39" borderId="105" applyAlignment="1" pivotButton="0" quotePrefix="0" xfId="0">
      <alignment horizontal="right" vertical="center"/>
    </xf>
    <xf numFmtId="191" fontId="74" fillId="40" borderId="106" applyAlignment="1" pivotButton="0" quotePrefix="0" xfId="0">
      <alignment horizontal="right" vertical="center"/>
    </xf>
    <xf numFmtId="190" fontId="74" fillId="40" borderId="106" applyAlignment="1" pivotButton="0" quotePrefix="0" xfId="0">
      <alignment horizontal="right" vertical="center"/>
    </xf>
    <xf numFmtId="0" fontId="75" fillId="38" borderId="105" applyAlignment="1" pivotButton="0" quotePrefix="0" xfId="0">
      <alignment horizontal="left" vertical="center"/>
    </xf>
    <xf numFmtId="191" fontId="75" fillId="38" borderId="105" applyAlignment="1" pivotButton="0" quotePrefix="0" xfId="0">
      <alignment horizontal="right" vertical="center"/>
    </xf>
    <xf numFmtId="190" fontId="75" fillId="38" borderId="105" applyAlignment="1" pivotButton="0" quotePrefix="0" xfId="0">
      <alignment horizontal="right" vertical="center"/>
    </xf>
    <xf numFmtId="192" fontId="75" fillId="0" borderId="0" applyAlignment="1" pivotButton="0" quotePrefix="0" xfId="0">
      <alignment horizontal="right" vertical="center"/>
    </xf>
    <xf numFmtId="193" fontId="75" fillId="0" borderId="0" applyAlignment="1" pivotButton="0" quotePrefix="0" xfId="0">
      <alignment horizontal="right" vertical="center"/>
    </xf>
    <xf numFmtId="194" fontId="75" fillId="0" borderId="0" applyAlignment="1" pivotButton="0" quotePrefix="0" xfId="0">
      <alignment horizontal="right" vertical="center"/>
    </xf>
    <xf numFmtId="0" fontId="75" fillId="0" borderId="0" applyAlignment="1" pivotButton="0" quotePrefix="0" xfId="0">
      <alignment horizontal="center" vertical="center" wrapText="1"/>
    </xf>
    <xf numFmtId="9" fontId="75" fillId="0" borderId="0" applyAlignment="1" pivotButton="0" quotePrefix="0" xfId="0">
      <alignment horizontal="right" vertical="center"/>
    </xf>
    <xf numFmtId="189" fontId="75" fillId="0" borderId="0" applyAlignment="1" pivotButton="0" quotePrefix="0" xfId="0">
      <alignment horizontal="right" vertical="center"/>
    </xf>
    <xf numFmtId="189" fontId="74" fillId="39" borderId="105" applyAlignment="1" pivotButton="0" quotePrefix="0" xfId="0">
      <alignment horizontal="right" vertical="center"/>
    </xf>
    <xf numFmtId="189" fontId="74" fillId="40" borderId="106" applyAlignment="1" pivotButton="0" quotePrefix="0" xfId="0">
      <alignment horizontal="right" vertical="center"/>
    </xf>
    <xf numFmtId="190" fontId="74" fillId="38" borderId="105" applyAlignment="1" pivotButton="0" quotePrefix="0" xfId="0">
      <alignment horizontal="right" vertical="center"/>
    </xf>
    <xf numFmtId="0" fontId="76" fillId="37" borderId="0" applyAlignment="1" pivotButton="0" quotePrefix="0" xfId="0">
      <alignment horizontal="center" vertical="center" wrapText="1"/>
    </xf>
    <xf numFmtId="0" fontId="75" fillId="0" borderId="105" applyAlignment="1" pivotButton="0" quotePrefix="0" xfId="0">
      <alignment horizontal="left" vertical="center"/>
    </xf>
    <xf numFmtId="191" fontId="74" fillId="0" borderId="0" applyAlignment="1" pivotButton="0" quotePrefix="0" xfId="0">
      <alignment horizontal="right" vertical="center"/>
    </xf>
    <xf numFmtId="190" fontId="75" fillId="0" borderId="105" applyAlignment="1" pivotButton="0" quotePrefix="0" xfId="0">
      <alignment horizontal="right" vertical="center"/>
    </xf>
    <xf numFmtId="191" fontId="75" fillId="0" borderId="105" applyAlignment="1" pivotButton="0" quotePrefix="0" xfId="0">
      <alignment horizontal="right" vertical="center"/>
    </xf>
    <xf numFmtId="0" fontId="74" fillId="0" borderId="105" applyAlignment="1" pivotButton="0" quotePrefix="0" xfId="0">
      <alignment horizontal="left" vertical="center"/>
    </xf>
    <xf numFmtId="0" fontId="0" fillId="41" borderId="64" applyAlignment="1" pivotButton="0" quotePrefix="0" xfId="27">
      <alignment horizontal="left" vertical="top" wrapText="1"/>
    </xf>
    <xf numFmtId="0" fontId="0" fillId="41" borderId="0" applyAlignment="1" pivotButton="0" quotePrefix="0" xfId="0">
      <alignment horizontal="general" vertical="bottom"/>
    </xf>
    <xf numFmtId="0" fontId="0" fillId="41" borderId="64" applyAlignment="1" pivotButton="0" quotePrefix="0" xfId="26">
      <alignment horizontal="general" vertical="bottom"/>
    </xf>
    <xf numFmtId="0" fontId="0" fillId="41" borderId="64" applyAlignment="1" pivotButton="0" quotePrefix="0" xfId="27">
      <alignment horizontal="general" vertical="bottom"/>
    </xf>
    <xf numFmtId="165" fontId="58" fillId="41" borderId="1" applyAlignment="1" pivotButton="0" quotePrefix="0" xfId="0">
      <alignment horizontal="general" vertical="bottom"/>
    </xf>
    <xf numFmtId="165" fontId="58" fillId="41" borderId="64" applyAlignment="1" pivotButton="0" quotePrefix="0" xfId="0">
      <alignment horizontal="general" vertical="bottom"/>
    </xf>
    <xf numFmtId="165" fontId="56" fillId="41" borderId="1" applyAlignment="1" pivotButton="0" quotePrefix="0" xfId="0">
      <alignment horizontal="general" vertical="bottom"/>
    </xf>
    <xf numFmtId="0" fontId="63" fillId="41" borderId="0" applyAlignment="1" pivotButton="0" quotePrefix="0" xfId="0">
      <alignment horizontal="general" vertical="bottom"/>
    </xf>
    <xf numFmtId="165" fontId="56" fillId="41" borderId="64" applyAlignment="1" pivotButton="0" quotePrefix="0" xfId="0">
      <alignment horizontal="general" vertical="bottom"/>
    </xf>
    <xf numFmtId="194" fontId="75" fillId="0" borderId="0" applyAlignment="1" pivotButton="0" quotePrefix="0" xfId="0">
      <alignment horizontal="right" vertical="center"/>
    </xf>
    <xf numFmtId="165" fontId="24" fillId="41" borderId="27" applyAlignment="1" pivotButton="0" quotePrefix="0" xfId="0">
      <alignment horizontal="right" vertical="center"/>
    </xf>
    <xf numFmtId="2" fontId="22" fillId="41" borderId="1" applyAlignment="1" pivotButton="0" quotePrefix="0" xfId="0">
      <alignment horizontal="right" vertical="center"/>
    </xf>
    <xf numFmtId="192" fontId="75" fillId="0" borderId="105" applyAlignment="1" pivotButton="0" quotePrefix="0" xfId="0">
      <alignment horizontal="right" vertical="center"/>
    </xf>
    <xf numFmtId="193" fontId="75" fillId="0" borderId="105" applyAlignment="1" pivotButton="0" quotePrefix="0" xfId="0">
      <alignment horizontal="right" vertical="center"/>
    </xf>
    <xf numFmtId="189" fontId="75" fillId="0" borderId="105" applyAlignment="1" pivotButton="0" quotePrefix="0" xfId="0">
      <alignment horizontal="right" vertical="center"/>
    </xf>
    <xf numFmtId="192" fontId="74" fillId="40" borderId="106" applyAlignment="1" pivotButton="0" quotePrefix="0" xfId="0">
      <alignment horizontal="right" vertical="center"/>
    </xf>
    <xf numFmtId="0" fontId="74" fillId="0" borderId="107" applyAlignment="1" pivotButton="0" quotePrefix="0" xfId="0">
      <alignment horizontal="left" vertical="center"/>
    </xf>
    <xf numFmtId="0" fontId="75" fillId="0" borderId="107" pivotButton="0" quotePrefix="0" xfId="0"/>
    <xf numFmtId="0" fontId="75" fillId="0" borderId="107" applyAlignment="1" pivotButton="0" quotePrefix="0" xfId="0">
      <alignment horizontal="general" vertical="bottom"/>
    </xf>
    <xf numFmtId="0" fontId="75" fillId="0" borderId="107" applyAlignment="1" pivotButton="0" quotePrefix="0" xfId="0">
      <alignment horizontal="center" vertical="center" wrapText="1"/>
    </xf>
    <xf numFmtId="9" fontId="75" fillId="0" borderId="107" applyAlignment="1" pivotButton="0" quotePrefix="0" xfId="0">
      <alignment horizontal="general" vertical="bottom"/>
    </xf>
    <xf numFmtId="165" fontId="75" fillId="0" borderId="107" applyAlignment="1" pivotButton="0" quotePrefix="0" xfId="0">
      <alignment horizontal="general" vertical="bottom"/>
    </xf>
    <xf numFmtId="0" fontId="75" fillId="0" borderId="107" applyAlignment="1" pivotButton="0" quotePrefix="0" xfId="0">
      <alignment horizontal="center" vertical="center"/>
    </xf>
    <xf numFmtId="0" fontId="0" fillId="0" borderId="107" applyAlignment="1" pivotButton="0" quotePrefix="0" xfId="0">
      <alignment horizontal="general" vertical="bottom"/>
    </xf>
    <xf numFmtId="0" fontId="20" fillId="13" borderId="0" applyAlignment="1" pivotButton="0" quotePrefix="0" xfId="0">
      <alignment horizontal="center" vertical="center" wrapText="1"/>
    </xf>
    <xf numFmtId="165" fontId="75" fillId="14" borderId="1" applyAlignment="1" pivotButton="0" quotePrefix="0" xfId="0">
      <alignment horizontal="general" vertical="bottom"/>
    </xf>
    <xf numFmtId="9" fontId="75" fillId="14" borderId="1" applyAlignment="1" pivotButton="0" quotePrefix="0" xfId="0">
      <alignment horizontal="general" vertical="bottom"/>
    </xf>
    <xf numFmtId="165" fontId="75" fillId="6" borderId="1" applyAlignment="1" pivotButton="0" quotePrefix="0" xfId="0">
      <alignment horizontal="general" vertical="bottom"/>
    </xf>
    <xf numFmtId="165" fontId="22" fillId="0" borderId="1" applyAlignment="1" pivotButton="0" quotePrefix="0" xfId="0">
      <alignment horizontal="center" vertical="center" wrapText="1"/>
    </xf>
    <xf numFmtId="165" fontId="22" fillId="6" borderId="1" applyAlignment="1" pivotButton="0" quotePrefix="0" xfId="0">
      <alignment horizontal="center" vertical="center" wrapText="1"/>
    </xf>
    <xf numFmtId="0" fontId="75" fillId="0" borderId="1" applyAlignment="1" pivotButton="0" quotePrefix="0" xfId="0">
      <alignment horizontal="general" vertical="bottom"/>
    </xf>
    <xf numFmtId="0" fontId="74" fillId="0" borderId="0" applyAlignment="1" pivotButton="0" quotePrefix="0" xfId="0">
      <alignment horizontal="general" vertical="bottom"/>
    </xf>
    <xf numFmtId="165" fontId="74" fillId="0" borderId="0" applyAlignment="1" pivotButton="0" quotePrefix="0" xfId="0">
      <alignment horizontal="general" vertical="bottom"/>
    </xf>
    <xf numFmtId="0" fontId="73" fillId="0" borderId="0" applyAlignment="1" pivotButton="0" quotePrefix="0" xfId="0">
      <alignment horizontal="general" vertical="bottom"/>
    </xf>
    <xf numFmtId="0" fontId="21" fillId="13" borderId="27" applyAlignment="1" pivotButton="0" quotePrefix="0" xfId="0">
      <alignment horizontal="center" vertical="center" wrapText="1"/>
    </xf>
    <xf numFmtId="0" fontId="77" fillId="0" borderId="1" applyAlignment="1" pivotButton="0" quotePrefix="0" xfId="0">
      <alignment horizontal="general" vertical="bottom"/>
    </xf>
    <xf numFmtId="169" fontId="77" fillId="0" borderId="1" applyAlignment="1" pivotButton="0" quotePrefix="0" xfId="0">
      <alignment horizontal="general" vertical="bottom"/>
    </xf>
    <xf numFmtId="165" fontId="77" fillId="0" borderId="1" applyAlignment="1" pivotButton="0" quotePrefix="0" xfId="0">
      <alignment horizontal="general" vertical="bottom"/>
    </xf>
    <xf numFmtId="0" fontId="77" fillId="6" borderId="1" applyAlignment="1" pivotButton="0" quotePrefix="0" xfId="0">
      <alignment horizontal="general" vertical="bottom"/>
    </xf>
    <xf numFmtId="169" fontId="77" fillId="6" borderId="1" applyAlignment="1" pivotButton="0" quotePrefix="0" xfId="0">
      <alignment horizontal="general" vertical="bottom"/>
    </xf>
    <xf numFmtId="0" fontId="75" fillId="27" borderId="64" applyAlignment="1" pivotButton="0" quotePrefix="0" xfId="26">
      <alignment horizontal="center" vertical="center"/>
    </xf>
    <xf numFmtId="0" fontId="75" fillId="27" borderId="64" applyAlignment="1" pivotButton="0" quotePrefix="0" xfId="26">
      <alignment horizontal="general" vertical="bottom"/>
    </xf>
    <xf numFmtId="0" fontId="75" fillId="0" borderId="64" applyAlignment="1" pivotButton="0" quotePrefix="0" xfId="27">
      <alignment horizontal="general" vertical="bottom"/>
    </xf>
    <xf numFmtId="0" fontId="75" fillId="27" borderId="64" applyAlignment="1" pivotButton="0" quotePrefix="0" xfId="26">
      <alignment horizontal="general" vertical="top" wrapText="1"/>
    </xf>
    <xf numFmtId="0" fontId="75" fillId="27" borderId="64" applyAlignment="1" pivotButton="0" quotePrefix="0" xfId="27">
      <alignment horizontal="general" vertical="bottom"/>
    </xf>
    <xf numFmtId="0" fontId="75" fillId="28" borderId="64" applyAlignment="1" pivotButton="0" quotePrefix="0" xfId="27">
      <alignment horizontal="general" vertical="bottom"/>
    </xf>
    <xf numFmtId="0" fontId="75" fillId="27" borderId="29" applyAlignment="1" pivotButton="0" quotePrefix="0" xfId="27">
      <alignment horizontal="left" vertical="bottom"/>
    </xf>
    <xf numFmtId="0" fontId="75" fillId="27" borderId="64" applyAlignment="1" pivotButton="0" quotePrefix="0" xfId="26">
      <alignment horizontal="center" vertical="bottom"/>
    </xf>
    <xf numFmtId="0" fontId="75" fillId="27" borderId="29" applyAlignment="1" pivotButton="0" quotePrefix="0" xfId="26">
      <alignment horizontal="center" vertical="bottom"/>
    </xf>
    <xf numFmtId="175" fontId="75" fillId="27" borderId="29" applyAlignment="1" pivotButton="0" quotePrefix="0" xfId="21">
      <alignment horizontal="center" vertical="bottom"/>
    </xf>
    <xf numFmtId="9" fontId="75" fillId="27" borderId="64" applyAlignment="1" pivotButton="0" quotePrefix="0" xfId="26">
      <alignment horizontal="center" vertical="bottom"/>
    </xf>
    <xf numFmtId="179" fontId="75" fillId="27" borderId="64" applyAlignment="1" pivotButton="0" quotePrefix="0" xfId="26">
      <alignment horizontal="center" vertical="bottom"/>
    </xf>
    <xf numFmtId="179" fontId="75" fillId="27" borderId="64" applyAlignment="1" pivotButton="0" quotePrefix="0" xfId="26">
      <alignment horizontal="general" vertical="bottom"/>
    </xf>
    <xf numFmtId="177" fontId="75" fillId="27" borderId="64" applyAlignment="1" pivotButton="0" quotePrefix="0" xfId="26">
      <alignment horizontal="general" vertical="bottom"/>
    </xf>
    <xf numFmtId="0" fontId="75" fillId="0" borderId="64" applyAlignment="1" pivotButton="0" quotePrefix="0" xfId="26">
      <alignment horizontal="general" vertical="bottom"/>
    </xf>
    <xf numFmtId="0" fontId="75" fillId="0" borderId="0" applyAlignment="1" pivotButton="0" quotePrefix="0" xfId="26">
      <alignment horizontal="general" vertical="bottom"/>
    </xf>
    <xf numFmtId="0" fontId="76" fillId="36" borderId="0" applyAlignment="1" pivotButton="0" quotePrefix="0" xfId="0">
      <alignment horizontal="general" vertical="bottom"/>
    </xf>
    <xf numFmtId="165" fontId="77" fillId="0" borderId="1" applyAlignment="1" pivotButton="0" quotePrefix="0" xfId="0">
      <alignment horizontal="center" vertical="center" wrapText="1"/>
    </xf>
    <xf numFmtId="165" fontId="77" fillId="0" borderId="1" applyAlignment="1" pivotButton="0" quotePrefix="0" xfId="22">
      <alignment horizontal="general" vertical="bottom"/>
    </xf>
    <xf numFmtId="165" fontId="77" fillId="41" borderId="1" applyAlignment="1" pivotButton="0" quotePrefix="0" xfId="0">
      <alignment horizontal="general" vertical="bottom"/>
    </xf>
    <xf numFmtId="165" fontId="74" fillId="0" borderId="1" applyAlignment="1" pivotButton="0" quotePrefix="0" xfId="0">
      <alignment horizontal="right" vertical="center"/>
    </xf>
    <xf numFmtId="165" fontId="77" fillId="14" borderId="1" applyAlignment="1" pivotButton="0" quotePrefix="0" xfId="0">
      <alignment horizontal="general" vertical="bottom"/>
    </xf>
    <xf numFmtId="165" fontId="77" fillId="0" borderId="64" applyAlignment="1" pivotButton="0" quotePrefix="0" xfId="0">
      <alignment horizontal="general" vertical="bottom"/>
    </xf>
    <xf numFmtId="165" fontId="77" fillId="41" borderId="64" applyAlignment="1" pivotButton="0" quotePrefix="0" xfId="0">
      <alignment horizontal="general" vertical="bottom"/>
    </xf>
    <xf numFmtId="165" fontId="77" fillId="14" borderId="64" applyAlignment="1" pivotButton="0" quotePrefix="0" xfId="0">
      <alignment horizontal="general" vertical="bottom"/>
    </xf>
    <xf numFmtId="0" fontId="74" fillId="39" borderId="66" applyAlignment="1" pivotButton="0" quotePrefix="0" xfId="0">
      <alignment horizontal="left" vertical="center"/>
    </xf>
    <xf numFmtId="182" fontId="74" fillId="39" borderId="60" applyAlignment="1" pivotButton="0" quotePrefix="0" xfId="0">
      <alignment horizontal="left" vertical="center"/>
    </xf>
    <xf numFmtId="0" fontId="74" fillId="39" borderId="60" applyAlignment="1" pivotButton="0" quotePrefix="0" xfId="0">
      <alignment horizontal="left" vertical="center"/>
    </xf>
    <xf numFmtId="0" fontId="75" fillId="0" borderId="0" applyAlignment="1" pivotButton="0" quotePrefix="0" xfId="0">
      <alignment horizontal="general" vertical="bottom"/>
    </xf>
    <xf numFmtId="0" fontId="77" fillId="0" borderId="0" applyAlignment="1" pivotButton="0" quotePrefix="0" xfId="0">
      <alignment horizontal="general" vertical="bottom"/>
    </xf>
    <xf numFmtId="0" fontId="74" fillId="39" borderId="66" applyAlignment="1" pivotButton="0" quotePrefix="0" xfId="0">
      <alignment horizontal="center" vertical="center" wrapText="1"/>
    </xf>
    <xf numFmtId="182" fontId="74" fillId="39" borderId="60" applyAlignment="1" pivotButton="0" quotePrefix="0" xfId="0">
      <alignment horizontal="center" vertical="center" wrapText="1"/>
    </xf>
    <xf numFmtId="0" fontId="75" fillId="41" borderId="0" applyAlignment="1" pivotButton="0" quotePrefix="0" xfId="0">
      <alignment horizontal="general" vertical="bottom"/>
    </xf>
    <xf numFmtId="0" fontId="76" fillId="36" borderId="0" applyAlignment="1" pivotButton="0" quotePrefix="0" xfId="0">
      <alignment horizontal="center" vertical="center"/>
    </xf>
    <xf numFmtId="0" fontId="76" fillId="36" borderId="27" applyAlignment="1" pivotButton="0" quotePrefix="0" xfId="0">
      <alignment horizontal="general" vertical="bottom"/>
    </xf>
    <xf numFmtId="0" fontId="21" fillId="0" borderId="27" applyAlignment="1" pivotButton="0" quotePrefix="0" xfId="0">
      <alignment horizontal="general" vertical="bottom"/>
    </xf>
    <xf numFmtId="191" fontId="22" fillId="0" borderId="1" applyAlignment="1" pivotButton="0" quotePrefix="0" xfId="0">
      <alignment horizontal="general" vertical="bottom"/>
    </xf>
    <xf numFmtId="165" fontId="75" fillId="0" borderId="1" applyAlignment="1" pivotButton="0" quotePrefix="0" xfId="0">
      <alignment horizontal="general" vertical="bottom"/>
    </xf>
    <xf numFmtId="0" fontId="74" fillId="40" borderId="0" applyAlignment="1" pivotButton="0" quotePrefix="0" xfId="0">
      <alignment horizontal="general" vertical="bottom"/>
    </xf>
    <xf numFmtId="165" fontId="74" fillId="40" borderId="1" applyAlignment="1" pivotButton="0" quotePrefix="0" xfId="0">
      <alignment horizontal="general" vertical="bottom"/>
    </xf>
    <xf numFmtId="191" fontId="74" fillId="40" borderId="1" applyAlignment="1" pivotButton="0" quotePrefix="0" xfId="0">
      <alignment horizontal="general" vertical="bottom"/>
    </xf>
    <xf numFmtId="190" fontId="40" fillId="6" borderId="40" applyAlignment="1" pivotButton="0" quotePrefix="0" xfId="22">
      <alignment horizontal="center" vertical="center" wrapText="1" readingOrder="1"/>
    </xf>
    <xf numFmtId="190" fontId="40" fillId="6" borderId="41" applyAlignment="1" pivotButton="0" quotePrefix="0" xfId="22">
      <alignment horizontal="center" vertical="center" wrapText="1" readingOrder="1"/>
    </xf>
    <xf numFmtId="9" fontId="40" fillId="6" borderId="24" applyAlignment="1" pivotButton="0" quotePrefix="0" xfId="28">
      <alignment horizontal="center" vertical="center" wrapText="1" readingOrder="1"/>
    </xf>
    <xf numFmtId="190" fontId="40" fillId="6" borderId="43" applyAlignment="1" pivotButton="0" quotePrefix="0" xfId="22">
      <alignment horizontal="center" vertical="center" wrapText="1" readingOrder="1"/>
    </xf>
    <xf numFmtId="190" fontId="40" fillId="6" borderId="44" applyAlignment="1" pivotButton="0" quotePrefix="0" xfId="22">
      <alignment horizontal="center" vertical="center" wrapText="1" readingOrder="1"/>
    </xf>
    <xf numFmtId="9" fontId="40" fillId="6" borderId="8" applyAlignment="1" pivotButton="0" quotePrefix="0" xfId="28">
      <alignment horizontal="center" vertical="center" wrapText="1" readingOrder="1"/>
    </xf>
    <xf numFmtId="190" fontId="40" fillId="6" borderId="50" applyAlignment="1" pivotButton="0" quotePrefix="0" xfId="22">
      <alignment horizontal="center" vertical="center" wrapText="1" readingOrder="1"/>
    </xf>
    <xf numFmtId="190" fontId="40" fillId="6" borderId="51" applyAlignment="1" pivotButton="0" quotePrefix="0" xfId="22">
      <alignment horizontal="center" vertical="center" wrapText="1" readingOrder="1"/>
    </xf>
    <xf numFmtId="9" fontId="40" fillId="6" borderId="52" applyAlignment="1" pivotButton="0" quotePrefix="0" xfId="28">
      <alignment horizontal="center" vertical="center" wrapText="1" readingOrder="1"/>
    </xf>
    <xf numFmtId="190" fontId="40" fillId="6" borderId="53" applyAlignment="1" pivotButton="0" quotePrefix="0" xfId="22">
      <alignment horizontal="center" vertical="center" wrapText="1" readingOrder="1"/>
    </xf>
    <xf numFmtId="190" fontId="38" fillId="6" borderId="54" applyAlignment="1" pivotButton="0" quotePrefix="0" xfId="22">
      <alignment horizontal="center" vertical="center" wrapText="1" readingOrder="1"/>
    </xf>
    <xf numFmtId="190" fontId="38" fillId="6" borderId="55" applyAlignment="1" pivotButton="0" quotePrefix="0" xfId="22">
      <alignment horizontal="center" vertical="center" wrapText="1" readingOrder="1"/>
    </xf>
    <xf numFmtId="9" fontId="43" fillId="6" borderId="56" applyAlignment="1" pivotButton="0" quotePrefix="0" xfId="28">
      <alignment horizontal="center" vertical="center" wrapText="1" readingOrder="1"/>
    </xf>
    <xf numFmtId="190" fontId="38" fillId="6" borderId="56" applyAlignment="1" pivotButton="0" quotePrefix="0" xfId="22">
      <alignment horizontal="center" vertical="center" wrapText="1" readingOrder="1"/>
    </xf>
    <xf numFmtId="9" fontId="45" fillId="4" borderId="56" applyAlignment="1" pivotButton="0" quotePrefix="0" xfId="28">
      <alignment horizontal="center" vertical="center" wrapText="1" readingOrder="1"/>
    </xf>
    <xf numFmtId="9" fontId="38" fillId="6" borderId="24" applyAlignment="1" pivotButton="0" quotePrefix="0" xfId="28">
      <alignment horizontal="center" vertical="center" wrapText="1" readingOrder="1"/>
    </xf>
    <xf numFmtId="191" fontId="31" fillId="11" borderId="0" applyAlignment="1" pivotButton="0" quotePrefix="0" xfId="22">
      <alignment horizontal="general" vertical="center"/>
    </xf>
    <xf numFmtId="191" fontId="31" fillId="11" borderId="0" applyAlignment="1" pivotButton="0" quotePrefix="0" xfId="22">
      <alignment horizontal="general" vertical="bottom"/>
    </xf>
    <xf numFmtId="190" fontId="47" fillId="4" borderId="50" applyAlignment="1" pivotButton="0" quotePrefix="0" xfId="22">
      <alignment horizontal="center" vertical="center" wrapText="1" readingOrder="1"/>
    </xf>
    <xf numFmtId="190" fontId="47" fillId="4" borderId="52" applyAlignment="1" pivotButton="0" quotePrefix="0" xfId="22">
      <alignment horizontal="center" vertical="center" wrapText="1" readingOrder="1"/>
    </xf>
    <xf numFmtId="190" fontId="38" fillId="19" borderId="54" applyAlignment="1" pivotButton="0" quotePrefix="0" xfId="22">
      <alignment horizontal="center" vertical="center" wrapText="1" readingOrder="1"/>
    </xf>
    <xf numFmtId="190" fontId="38" fillId="19" borderId="55" applyAlignment="1" pivotButton="0" quotePrefix="0" xfId="22">
      <alignment horizontal="center" vertical="center" wrapText="1" readingOrder="1"/>
    </xf>
    <xf numFmtId="9" fontId="38" fillId="19" borderId="56" applyAlignment="1" pivotButton="0" quotePrefix="0" xfId="28">
      <alignment horizontal="center" vertical="center" wrapText="1" readingOrder="1"/>
    </xf>
    <xf numFmtId="0" fontId="0" fillId="0" borderId="64" applyAlignment="1" pivotButton="0" quotePrefix="0" xfId="27">
      <alignment horizontal="left" vertical="top" wrapText="1"/>
    </xf>
    <xf numFmtId="0" fontId="76" fillId="26" borderId="0" applyAlignment="1" pivotButton="0" quotePrefix="0" xfId="27">
      <alignment horizontal="general" vertical="bottom"/>
    </xf>
    <xf numFmtId="0" fontId="76" fillId="26" borderId="64" applyAlignment="1" pivotButton="0" quotePrefix="0" xfId="27">
      <alignment horizontal="center" vertical="bottom"/>
    </xf>
    <xf numFmtId="0" fontId="74" fillId="23" borderId="64" applyAlignment="1" pivotButton="0" quotePrefix="0" xfId="27">
      <alignment horizontal="center" vertical="bottom"/>
    </xf>
    <xf numFmtId="0" fontId="74" fillId="23" borderId="29" applyAlignment="1" pivotButton="0" quotePrefix="0" xfId="27">
      <alignment horizontal="center" vertical="bottom" wrapText="1"/>
    </xf>
    <xf numFmtId="0" fontId="74" fillId="23" borderId="64" applyAlignment="1" pivotButton="0" quotePrefix="0" xfId="27">
      <alignment horizontal="center" vertical="bottom" wrapText="1"/>
    </xf>
    <xf numFmtId="0" fontId="74" fillId="23" borderId="63" applyAlignment="1" pivotButton="0" quotePrefix="0" xfId="27">
      <alignment horizontal="center" vertical="bottom"/>
    </xf>
    <xf numFmtId="0" fontId="74" fillId="23" borderId="0" applyAlignment="1" pivotButton="0" quotePrefix="0" xfId="27">
      <alignment horizontal="center" vertical="bottom"/>
    </xf>
    <xf numFmtId="0" fontId="74" fillId="23" borderId="0" applyAlignment="1" pivotButton="0" quotePrefix="0" xfId="27">
      <alignment horizontal="center" vertical="bottom" wrapText="1"/>
    </xf>
    <xf numFmtId="0" fontId="74" fillId="0" borderId="0" applyAlignment="1" pivotButton="0" quotePrefix="0" xfId="0">
      <alignment horizontal="general" vertical="bottom" wrapText="1"/>
    </xf>
    <xf numFmtId="190" fontId="0" fillId="27" borderId="64" applyAlignment="1" pivotButton="0" quotePrefix="0" xfId="26">
      <alignment horizontal="general" vertical="bottom"/>
    </xf>
    <xf numFmtId="190" fontId="0" fillId="0" borderId="0" applyAlignment="1" pivotButton="0" quotePrefix="0" xfId="27">
      <alignment horizontal="general" vertical="top" wrapText="1"/>
    </xf>
    <xf numFmtId="190" fontId="0" fillId="27" borderId="65" applyAlignment="1" pivotButton="0" quotePrefix="0" xfId="26">
      <alignment horizontal="general" vertical="bottom"/>
    </xf>
    <xf numFmtId="190" fontId="0" fillId="27" borderId="64" applyAlignment="1" pivotButton="0" quotePrefix="0" xfId="26">
      <alignment horizontal="general" vertical="top" wrapText="1"/>
    </xf>
    <xf numFmtId="0" fontId="75" fillId="0" borderId="0" applyAlignment="1" pivotButton="0" quotePrefix="0" xfId="27">
      <alignment horizontal="general" vertical="top" wrapText="1"/>
    </xf>
    <xf numFmtId="190" fontId="0" fillId="0" borderId="64" applyAlignment="1" pivotButton="0" quotePrefix="0" xfId="26">
      <alignment horizontal="general" vertical="bottom"/>
    </xf>
    <xf numFmtId="190" fontId="0" fillId="27" borderId="0" applyAlignment="1" pivotButton="0" quotePrefix="0" xfId="26">
      <alignment horizontal="general" vertical="bottom"/>
    </xf>
    <xf numFmtId="0" fontId="76" fillId="36" borderId="67" applyAlignment="1" pivotButton="0" quotePrefix="0" xfId="0">
      <alignment horizontal="general" vertical="bottom"/>
    </xf>
    <xf numFmtId="0" fontId="76" fillId="36" borderId="68" applyAlignment="1" pivotButton="0" quotePrefix="0" xfId="0">
      <alignment horizontal="general" vertical="bottom"/>
    </xf>
    <xf numFmtId="0" fontId="7" fillId="40" borderId="64" applyAlignment="1" pivotButton="0" quotePrefix="0" xfId="0">
      <alignment horizontal="center" vertical="bottom"/>
    </xf>
    <xf numFmtId="0" fontId="0" fillId="40" borderId="103" pivotButton="0" quotePrefix="0" xfId="0"/>
    <xf numFmtId="0" fontId="0" fillId="40" borderId="104" pivotButton="0" quotePrefix="0" xfId="0"/>
    <xf numFmtId="165" fontId="9" fillId="40" borderId="64" applyAlignment="1" pivotButton="0" quotePrefix="0" xfId="0">
      <alignment horizontal="general" vertical="bottom"/>
    </xf>
    <xf numFmtId="0" fontId="22" fillId="40" borderId="0" applyAlignment="1" pivotButton="0" quotePrefix="0" xfId="0">
      <alignment horizontal="general" vertical="bottom"/>
    </xf>
    <xf numFmtId="0" fontId="9" fillId="40" borderId="0" applyAlignment="1" pivotButton="0" quotePrefix="0" xfId="0">
      <alignment horizontal="general" vertical="bottom"/>
    </xf>
    <xf numFmtId="0" fontId="24" fillId="40" borderId="1" applyAlignment="1" pivotButton="0" quotePrefix="0" xfId="0">
      <alignment horizontal="general" vertical="bottom"/>
    </xf>
    <xf numFmtId="165" fontId="77" fillId="40" borderId="1" applyAlignment="1" pivotButton="0" quotePrefix="0" xfId="0">
      <alignment horizontal="general" vertical="bottom"/>
    </xf>
    <xf numFmtId="165" fontId="25" fillId="40" borderId="27" applyAlignment="1" pivotButton="0" quotePrefix="0" xfId="0">
      <alignment horizontal="right" vertical="center"/>
    </xf>
    <xf numFmtId="0" fontId="75" fillId="14" borderId="1" applyAlignment="1" pivotButton="0" quotePrefix="0" xfId="0">
      <alignment horizontal="general" vertical="center"/>
    </xf>
    <xf numFmtId="0" fontId="24" fillId="0" borderId="107" applyAlignment="1" pivotButton="0" quotePrefix="0" xfId="0">
      <alignment horizontal="general" vertical="bottom"/>
    </xf>
    <xf numFmtId="0" fontId="22" fillId="0" borderId="107" applyAlignment="1" pivotButton="0" quotePrefix="0" xfId="0">
      <alignment horizontal="center" vertical="center"/>
    </xf>
    <xf numFmtId="9" fontId="9" fillId="0" borderId="107" applyAlignment="1" pivotButton="0" quotePrefix="0" xfId="0">
      <alignment horizontal="general" vertical="bottom"/>
    </xf>
    <xf numFmtId="165" fontId="77" fillId="0" borderId="107" applyAlignment="1" pivotButton="0" quotePrefix="0" xfId="0">
      <alignment horizontal="general" vertical="bottom"/>
    </xf>
    <xf numFmtId="0" fontId="25" fillId="0" borderId="107" applyAlignment="1" pivotButton="0" quotePrefix="0" xfId="0">
      <alignment horizontal="general" vertical="bottom"/>
    </xf>
    <xf numFmtId="165" fontId="25" fillId="0" borderId="107" applyAlignment="1" pivotButton="0" quotePrefix="0" xfId="0">
      <alignment horizontal="general" vertical="bottom"/>
    </xf>
    <xf numFmtId="0" fontId="25" fillId="40" borderId="0" applyAlignment="1" pivotButton="0" quotePrefix="0" xfId="0">
      <alignment horizontal="general" vertical="bottom"/>
    </xf>
    <xf numFmtId="2" fontId="28" fillId="40" borderId="0" applyAlignment="1" pivotButton="0" quotePrefix="0" xfId="0">
      <alignment horizontal="right" vertical="center"/>
    </xf>
    <xf numFmtId="2" fontId="28" fillId="0" borderId="107" applyAlignment="1" pivotButton="0" quotePrefix="0" xfId="0">
      <alignment horizontal="right" vertical="center"/>
    </xf>
    <xf numFmtId="191" fontId="22" fillId="0" borderId="1" applyAlignment="1" pivotButton="0" quotePrefix="0" xfId="0">
      <alignment horizontal="right" vertical="center"/>
    </xf>
    <xf numFmtId="191" fontId="28" fillId="6" borderId="1" applyAlignment="1" pivotButton="0" quotePrefix="0" xfId="0">
      <alignment horizontal="right" vertical="center"/>
    </xf>
    <xf numFmtId="0" fontId="75" fillId="0" borderId="0" applyAlignment="1" pivotButton="0" quotePrefix="0" xfId="0">
      <alignment horizontal="general" vertical="center"/>
    </xf>
    <xf numFmtId="0" fontId="75" fillId="0" borderId="0" applyAlignment="1" pivotButton="0" quotePrefix="0" xfId="0">
      <alignment horizontal="general" vertical="center" wrapText="1"/>
    </xf>
    <xf numFmtId="0" fontId="25" fillId="40" borderId="27" applyAlignment="1" pivotButton="0" quotePrefix="0" xfId="0">
      <alignment horizontal="left" vertical="center"/>
    </xf>
    <xf numFmtId="0" fontId="25" fillId="40" borderId="27" applyAlignment="1" pivotButton="0" quotePrefix="0" xfId="0">
      <alignment horizontal="center" vertical="center"/>
    </xf>
    <xf numFmtId="191" fontId="25" fillId="40" borderId="27" applyAlignment="1" pivotButton="0" quotePrefix="0" xfId="0">
      <alignment horizontal="right" vertical="center"/>
    </xf>
    <xf numFmtId="2" fontId="28" fillId="40" borderId="1" applyAlignment="1" pivotButton="0" quotePrefix="0" xfId="0">
      <alignment horizontal="right" vertical="center"/>
    </xf>
    <xf numFmtId="191" fontId="28" fillId="0" borderId="1" applyAlignment="1" pivotButton="0" quotePrefix="0" xfId="0">
      <alignment horizontal="right" vertical="center"/>
    </xf>
    <xf numFmtId="0" fontId="21" fillId="0" borderId="107" applyAlignment="1" pivotButton="0" quotePrefix="0" xfId="0">
      <alignment horizontal="general" vertical="bottom"/>
    </xf>
    <xf numFmtId="0" fontId="76" fillId="37" borderId="105" pivotButton="0" quotePrefix="0" xfId="0"/>
    <xf numFmtId="0" fontId="75" fillId="0" borderId="105" pivotButton="0" quotePrefix="0" xfId="0"/>
    <xf numFmtId="0" fontId="74" fillId="39" borderId="105" pivotButton="0" quotePrefix="0" xfId="0"/>
    <xf numFmtId="0" fontId="74" fillId="40" borderId="106" pivotButton="0" quotePrefix="0" xfId="0"/>
    <xf numFmtId="191" fontId="74" fillId="40" borderId="105" applyAlignment="1" pivotButton="0" quotePrefix="0" xfId="0">
      <alignment horizontal="right" vertical="center"/>
    </xf>
    <xf numFmtId="0" fontId="75" fillId="0" borderId="0" applyAlignment="1" pivotButton="0" quotePrefix="0" xfId="0">
      <alignment horizontal="left" vertical="top" wrapText="1"/>
    </xf>
  </cellXfs>
  <cellStyles count="19">
    <cellStyle name="Normal" xfId="0" builtinId="0"/>
    <cellStyle name="Comma" xfId="1" builtinId="3"/>
    <cellStyle name="Comma [0]" xfId="2" builtinId="6"/>
    <cellStyle name="Currency" xfId="3" builtinId="4"/>
    <cellStyle name="Currency [0]" xfId="4" builtinId="7"/>
    <cellStyle name="Percent" xfId="5" builtinId="5"/>
    <cellStyle name="Comma 2" xfId="6"/>
    <cellStyle name="Comma 3" xfId="7"/>
    <cellStyle name="Normal 2" xfId="8"/>
    <cellStyle name="Normal 3" xfId="9"/>
    <cellStyle name="Normal 3 2" xfId="10"/>
    <cellStyle name="Normal 3 3" xfId="11"/>
    <cellStyle name="Normal 3 4" xfId="12"/>
    <cellStyle name="Normal 4" xfId="13"/>
    <cellStyle name="Percent 2" xfId="14"/>
    <cellStyle name="Percent 3" xfId="15"/>
    <cellStyle name="Percent 4" xfId="16"/>
    <cellStyle name="Pivot Table Corner" xfId="17"/>
    <cellStyle name="Pivot Table Value" xfId="18"/>
  </cellStyles>
  <dxfs count="20">
    <dxf>
      <fill>
        <patternFill patternType="solid">
          <fgColor rgb="FF4F6228"/>
          <bgColor rgb="FF000000"/>
        </patternFill>
      </fill>
    </dxf>
    <dxf>
      <fill>
        <patternFill patternType="solid">
          <fgColor rgb="FFFDEADA"/>
          <bgColor rgb="FF000000"/>
        </patternFill>
      </fill>
    </dxf>
    <dxf>
      <fill>
        <patternFill patternType="solid">
          <bgColor rgb="FF000000"/>
        </patternFill>
      </fill>
    </dxf>
    <dxf>
      <fill>
        <patternFill patternType="solid">
          <fgColor rgb="FF000000"/>
          <bgColor rgb="FF000000"/>
        </patternFill>
      </fill>
    </dxf>
    <dxf>
      <fill>
        <patternFill patternType="solid">
          <fgColor rgb="FFFF0000"/>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EBF1DE"/>
          <bgColor rgb="FF000000"/>
        </patternFill>
      </fill>
    </dxf>
    <dxf>
      <fill>
        <patternFill patternType="solid">
          <fgColor rgb="FFDCE6F2"/>
          <bgColor rgb="FF000000"/>
        </patternFill>
      </fill>
    </dxf>
    <dxf>
      <fill>
        <patternFill patternType="solid">
          <fgColor rgb="FFE6E0EC"/>
          <bgColor rgb="FF000000"/>
        </patternFill>
      </fill>
    </dxf>
    <dxf>
      <fill>
        <patternFill patternType="solid">
          <fgColor rgb="FF77933C"/>
          <bgColor rgb="FF000000"/>
        </patternFill>
      </fill>
    </dxf>
    <dxf>
      <fill>
        <patternFill patternType="solid">
          <fgColor rgb="FF1F4E78"/>
          <bgColor rgb="FF000000"/>
        </patternFill>
      </fill>
    </dxf>
    <dxf>
      <fill>
        <patternFill patternType="solid">
          <fgColor rgb="FF002F6C"/>
          <bgColor rgb="FF000000"/>
        </patternFill>
      </fill>
    </dxf>
    <dxf>
      <fill>
        <patternFill patternType="solid">
          <fgColor rgb="FF1F4E79"/>
          <bgColor rgb="FF000000"/>
        </patternFill>
      </fill>
    </dxf>
    <dxf>
      <fill>
        <patternFill patternType="solid">
          <fgColor rgb="FFD9D9D9"/>
          <bgColor rgb="FF000000"/>
        </patternFill>
      </fill>
    </dxf>
    <dxf>
      <fill>
        <patternFill patternType="solid">
          <fgColor rgb="FFDDEBF7"/>
          <bgColor rgb="FF000000"/>
        </patternFill>
      </fill>
    </dxf>
    <dxf>
      <fill>
        <patternFill patternType="solid">
          <fgColor rgb="FFF2F2F2"/>
          <bgColor rgb="FF000000"/>
        </patternFill>
      </fill>
    </dxf>
    <dxf>
      <fill>
        <patternFill patternType="solid">
          <fgColor rgb="FF00B0F0"/>
          <bgColor rgb="FF000000"/>
        </patternFill>
      </fill>
    </dxf>
    <dxf>
      <fill>
        <patternFill patternType="solid">
          <fgColor rgb="FFFFFFCC"/>
          <bgColor rgb="FF000000"/>
        </patternFill>
      </fill>
    </dxf>
    <dxf>
      <fill>
        <patternFill patternType="solid">
          <fgColor rgb="FFC0504D"/>
          <bgColor rgb="FF000000"/>
        </patternFill>
      </fill>
    </dxf>
  </dxfs>
  <colors>
    <indexedColors>
      <rgbColor rgb="FF000000"/>
      <rgbColor rgb="FFFFFFFF"/>
      <rgbColor rgb="FFFF0000"/>
      <rgbColor rgb="FF00FF00"/>
      <rgbColor rgb="FF0000FF"/>
      <rgbColor rgb="FFFFFF00"/>
      <rgbColor rgb="FFFF00FF"/>
      <rgbColor rgb="FFE7EAED"/>
      <rgbColor rgb="FF800000"/>
      <rgbColor rgb="FF008000"/>
      <rgbColor rgb="FF000099"/>
      <rgbColor rgb="FF77933C"/>
      <rgbColor rgb="FF800080"/>
      <rgbColor rgb="FF1F4E78"/>
      <rgbColor rgb="FFBFBFBF"/>
      <rgbColor rgb="FF808080"/>
      <rgbColor rgb="FFDDD9C3"/>
      <rgbColor rgb="FFC0504D"/>
      <rgbColor rgb="FFFFFFCC"/>
      <rgbColor rgb="FFDDEBF7"/>
      <rgbColor rgb="FF660066"/>
      <rgbColor rgb="FFFBE3D6"/>
      <rgbColor rgb="FF1F4E79"/>
      <rgbColor rgb="FFB8D0ED"/>
      <rgbColor rgb="FF18249C"/>
      <rgbColor rgb="FFFF00FF"/>
      <rgbColor rgb="FFFDEADA"/>
      <rgbColor rgb="FFF2F2F2"/>
      <rgbColor rgb="FF800080"/>
      <rgbColor rgb="FF800000"/>
      <rgbColor rgb="FF008080"/>
      <rgbColor rgb="FF0000FF"/>
      <rgbColor rgb="FF00B0F0"/>
      <rgbColor rgb="FFDCEAF7"/>
      <rgbColor rgb="FFEBF1DE"/>
      <rgbColor rgb="FFFFF2CC"/>
      <rgbColor rgb="FFB8C9CC"/>
      <rgbColor rgb="FFFAC090"/>
      <rgbColor rgb="FFD9D9D9"/>
      <rgbColor rgb="FFF8CBAD"/>
      <rgbColor rgb="FF3366FF"/>
      <rgbColor rgb="FFDCE6F2"/>
      <rgbColor rgb="FF92D050"/>
      <rgbColor rgb="FFFFC000"/>
      <rgbColor rgb="FFBF8F00"/>
      <rgbColor rgb="FFE6E0EC"/>
      <rgbColor rgb="FF595959"/>
      <rgbColor rgb="FFAEAEAE"/>
      <rgbColor rgb="FF002F6C"/>
      <rgbColor rgb="FF00B050"/>
      <rgbColor rgb="FF151515"/>
      <rgbColor rgb="FF4F6228"/>
      <rgbColor rgb="FF993300"/>
      <rgbColor rgb="FF993366"/>
      <rgbColor rgb="FF1D2E99"/>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styles" Target="styles.xml" Id="rId45" /><Relationship Type="http://schemas.openxmlformats.org/officeDocument/2006/relationships/theme" Target="theme/theme1.xml" Id="rId46" /></Relationships>
</file>

<file path=xl/comments/comment1.xml><?xml version="1.0" encoding="utf-8"?>
<comments xmlns="http://schemas.openxmlformats.org/spreadsheetml/2006/main">
  <authors>
    <author>Unknown Author</author>
  </authors>
  <commentList>
    <comment ref="K21" authorId="0" shapeId="0">
      <text>
        <t>Vance Anderson:
50% Z Retail Backend, 50% Z Supply</t>
      </text>
    </comment>
  </commentList>
</comments>
</file>

<file path=xl/comments/comment2.xml><?xml version="1.0" encoding="utf-8"?>
<comments xmlns="http://schemas.openxmlformats.org/spreadsheetml/2006/main">
  <authors>
    <author>Unknown Author</author>
  </authors>
  <commentList>
    <comment ref="E7" authorId="0" shapeId="0">
      <text>
        <t xml:space="preserve">[Threaded comment]
Your version of Excel allows you to read this threaded comment; however, any edits to it will get removed if the file is opened in a newer version of Excel. Learn more: https://go.microsoft.com/fwlink/?linkid=870924
Comment:
    This is incorrect there are a total of 8 vacant roles </t>
      </text>
    </comment>
  </commentList>
</comments>
</file>

<file path=xl/comments/comment3.xml><?xml version="1.0" encoding="utf-8"?>
<comments xmlns="http://schemas.openxmlformats.org/spreadsheetml/2006/main">
  <authors>
    <author>Unknown Author</author>
  </authors>
  <commentList>
    <comment ref="E10" authorId="0" shapeId="0">
      <text>
        <t xml:space="preserve">[Threaded comment]
Your version of Excel allows you to read this threaded comment; however, any edits to it will get removed if the file is opened in a newer version of Excel. Learn more: https://go.microsoft.com/fwlink/?linkid=870924
Comment:
    This number is incorrect there are 8 vacant roles (post reduction of 2) 
</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1.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1.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filterMode="0">
    <tabColor rgb="FF002F6C"/>
    <outlinePr summaryBelow="1" summaryRight="1"/>
    <pageSetUpPr fitToPage="1"/>
  </sheetPr>
  <dimension ref="B2:C4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election pane="topRight" activeCell="C1" activeCellId="0" sqref="C1"/>
      <selection pane="bottomLeft" activeCell="A4" activeCellId="0" sqref="A4"/>
      <selection pane="bottomRight" activeCell="A1" activeCellId="0" sqref="A1"/>
    </sheetView>
  </sheetViews>
  <sheetFormatPr baseColWidth="8" defaultColWidth="8.5390625" defaultRowHeight="14.25" zeroHeight="0" outlineLevelRow="0"/>
  <cols>
    <col width="2" customWidth="1" style="866" min="1" max="1"/>
    <col width="62" customWidth="1" style="866" min="2" max="2"/>
    <col width="18" customWidth="1" style="866" min="3" max="3"/>
  </cols>
  <sheetData>
    <row r="2">
      <c r="B2" s="1524" t="inlineStr">
        <is>
          <t>TDD operating model - executive summary</t>
        </is>
      </c>
    </row>
    <row r="4" ht="19" customHeight="1" s="866">
      <c r="B4" s="1527" t="inlineStr">
        <is>
          <t>The organisation today</t>
        </is>
      </c>
      <c r="C4" s="1528" t="n"/>
    </row>
    <row r="5">
      <c r="B5" s="1788" t="inlineStr">
        <is>
          <t>Roles in the ledger</t>
        </is>
      </c>
      <c r="C5" s="1790">
        <f>'3.1 Cost Bridge'!$H$41</f>
        <v>525</v>
      </c>
    </row>
    <row r="6">
      <c r="B6" s="1788" t="inlineStr">
        <is>
          <t>Filled</t>
        </is>
      </c>
      <c r="C6" s="1790">
        <f>'3.1 Cost Bridge'!$I$41</f>
        <v>390</v>
      </c>
    </row>
    <row r="7">
      <c r="B7" s="1788" t="inlineStr">
        <is>
          <t>Vacant</t>
        </is>
      </c>
      <c r="C7" s="1790">
        <f>'3.1 Cost Bridge'!$J$41</f>
        <v>135</v>
      </c>
    </row>
    <row r="8">
      <c r="B8" s="1788" t="inlineStr">
        <is>
          <t>Cost of the 525 roles in the ledger ($m)</t>
        </is>
      </c>
      <c r="C8" s="1791">
        <f>'3.1 Cost Bridge'!$E$41</f>
        <v>115.2830022681</v>
      </c>
    </row>
    <row r="9">
      <c r="B9" s="1788" t="inlineStr">
        <is>
          <t>Of which filled roles ($m)</t>
        </is>
      </c>
      <c r="C9" s="1791">
        <f>SUMIFS('REVIEW - Complete Role Mapping'!$AA$2:$AA$528,'REVIEW - Complete Role Mapping'!$AK$2:$AK$528,"Filled")/1000000</f>
        <v>86.7485101821</v>
      </c>
    </row>
    <row r="10">
      <c r="B10" s="1788" t="inlineStr">
        <is>
          <t>Of which vacancies not yet filled ($m)</t>
        </is>
      </c>
      <c r="C10" s="1791">
        <f>SUMIFS('REVIEW - Complete Role Mapping'!$AA$2:$AA$528,'REVIEW - Complete Role Mapping'!$AK$2:$AK$528,"Vacant")/1000000</f>
        <v>28.534492086</v>
      </c>
    </row>
    <row r="11">
      <c r="B11" s="1788" t="inlineStr">
        <is>
          <t>The 8 GMs, outside the ledger ($m)</t>
        </is>
      </c>
      <c r="C11" s="1791">
        <f>N(Lists!$AG$12)</f>
        <v>5.1</v>
      </c>
    </row>
    <row r="12">
      <c r="B12" s="1788" t="inlineStr">
        <is>
          <t>Cost today including the GM layer ($m)</t>
        </is>
      </c>
      <c r="C12" s="1791">
        <f>'3.1 Cost Bridge'!$E$43</f>
        <v>120.3830022681</v>
      </c>
    </row>
    <row r="14" ht="19" customHeight="1" s="866">
      <c r="B14" s="1527" t="inlineStr">
        <is>
          <t>Against the archetype</t>
        </is>
      </c>
      <c r="C14" s="1528" t="n"/>
    </row>
    <row r="15">
      <c r="B15" s="1788" t="inlineStr">
        <is>
          <t>Squads priced by an archetype - archetype cost ($m)</t>
        </is>
      </c>
      <c r="C15" s="1791">
        <f>'3.1 Cost Bridge'!$D$17</f>
        <v>64.2</v>
      </c>
    </row>
    <row r="16">
      <c r="B16" s="1788" t="inlineStr">
        <is>
          <t>Squads priced by an archetype - actual ($m)</t>
        </is>
      </c>
      <c r="C16" s="1791">
        <f>'3.1 Cost Bridge'!$E$17</f>
        <v>63.9809976151</v>
      </c>
    </row>
    <row r="17">
      <c r="B17" s="1788" t="inlineStr">
        <is>
          <t>Squads priced by an archetype - over/(under) ($m)</t>
        </is>
      </c>
      <c r="C17" s="1791">
        <f>'3.1 Cost Bridge'!$F$17</f>
        <v>-0.219002</v>
      </c>
    </row>
    <row r="18">
      <c r="B18" s="1788" t="inlineStr">
        <is>
          <t>Directly funded programmes - over/(under) funded ($m)</t>
        </is>
      </c>
      <c r="C18" s="1791">
        <f>'3.1 Cost Bridge'!$F$27</f>
        <v>-0.165942</v>
      </c>
    </row>
    <row r="19">
      <c r="B19" s="1788" t="inlineStr">
        <is>
          <t>COEs and EGI - over/(under) their 1.x planned spend ($m)</t>
        </is>
      </c>
      <c r="C19" s="1791" t="str">
        <f>'3.1 Cost Bridge'!$F$34</f>
        <v>-</v>
      </c>
    </row>
    <row r="20">
      <c r="B20" s="1788" t="inlineStr">
        <is>
          <t>Overhead roles - not covered by the allowance ($m)</t>
        </is>
      </c>
      <c r="C20" s="1791">
        <f>'3.1 Cost Bridge'!$F$35</f>
        <v>5.32923</v>
      </c>
    </row>
    <row r="21">
      <c r="B21" s="1788" t="inlineStr">
        <is>
          <t>The 8 GMs - over/(under) their allowance ($m)</t>
        </is>
      </c>
      <c r="C21" s="1791">
        <f>'3.1 Cost Bridge'!$F$42</f>
        <v>2.1</v>
      </c>
    </row>
    <row r="22">
      <c r="B22" s="1788" t="inlineStr">
        <is>
          <t>Total over/(under) archetype, everything comparable ($m)</t>
        </is>
      </c>
      <c r="C22" s="1791">
        <f>'3.1 Cost Bridge'!$F$36+'3.1 Cost Bridge'!$F$42</f>
        <v>7.044285</v>
      </c>
    </row>
    <row r="23">
      <c r="B23" s="1788" t="inlineStr">
        <is>
          <t>Groups with no archetype and no funded figure ($m)</t>
        </is>
      </c>
      <c r="C23" s="1791">
        <f>'3.1 Cost Bridge'!$E$40</f>
        <v>1.304917148</v>
      </c>
    </row>
    <row r="25" ht="19" customHeight="1" s="866">
      <c r="B25" s="1527" t="inlineStr">
        <is>
          <t>The vacancy decision</t>
        </is>
      </c>
      <c r="C25" s="1528" t="n"/>
    </row>
    <row r="26">
      <c r="B26" s="1788" t="inlineStr">
        <is>
          <t>Vacant roles</t>
        </is>
      </c>
      <c r="C26" s="1790">
        <f>'3.1 Cost Bridge'!$J$41</f>
        <v>135</v>
      </c>
    </row>
    <row r="27">
      <c r="B27" s="1788" t="inlineStr">
        <is>
          <t>Vacancies set to hire</t>
        </is>
      </c>
      <c r="C27" s="1790">
        <f>N('2.1 Ampol Retail'!$I$29)+N('2.2 Customer'!$I$27)+N('2.3 Enterprise Data'!$I$22)+N('2.4 TDD Group Functions'!$I$24)+N('2.5 P&amp;C'!$I$22)+N('2.6 Finance'!$I$20)+N('2.7 Infrastructure'!$I$24)+N('2.8 Energy Solutions &amp; B2B'!$I$23)+N('2.9 Commercial Fuels'!$I$23)+N('2.10 Z Retail'!$I$24)+N('2.11 COE Cyber'!$I$23)+N('2.12 COE BP&amp;T'!$I$21)+N('2.13 COE SA&amp;D'!$I$23)+N('2.14 EGI'!$I$19)</f>
        <v>135</v>
      </c>
    </row>
    <row r="28">
      <c r="B28" s="1788" t="inlineStr">
        <is>
          <t>Roles set to offshore</t>
        </is>
      </c>
      <c r="C28" s="1790">
        <f>N('2.1 Ampol Retail'!$J$29)+N('2.2 Customer'!$J$27)+N('2.3 Enterprise Data'!$J$22)+N('2.4 TDD Group Functions'!$J$24)+N('2.5 P&amp;C'!$J$22)+N('2.6 Finance'!$J$20)+N('2.7 Infrastructure'!$J$24)+N('2.8 Energy Solutions &amp; B2B'!$J$23)+N('2.9 Commercial Fuels'!$J$23)+N('2.10 Z Retail'!$J$24)+N('2.11 COE Cyber'!$J$23)+N('2.12 COE BP&amp;T'!$J$21)+N('2.13 COE SA&amp;D'!$J$23)+N('2.14 EGI'!$J$19)</f>
        <v>0</v>
      </c>
    </row>
    <row r="29">
      <c r="B29" s="1788" t="inlineStr">
        <is>
          <t>Roles put on hold</t>
        </is>
      </c>
      <c r="C29" s="1790">
        <f>N('2.1 Ampol Retail'!$K$29)+N('2.2 Customer'!$K$27)+N('2.3 Enterprise Data'!$K$22)+N('2.4 TDD Group Functions'!$K$24)+N('2.5 P&amp;C'!$K$22)+N('2.6 Finance'!$K$20)+N('2.7 Infrastructure'!$K$24)+N('2.8 Energy Solutions &amp; B2B'!$K$23)+N('2.9 Commercial Fuels'!$K$23)+N('2.10 Z Retail'!$K$24)+N('2.11 COE Cyber'!$K$23)+N('2.12 COE BP&amp;T'!$K$21)+N('2.13 COE SA&amp;D'!$K$23)+N('2.14 EGI'!$K$19)</f>
        <v>0</v>
      </c>
    </row>
    <row r="30">
      <c r="B30" s="1788" t="inlineStr">
        <is>
          <t>Roles after the decisions set today</t>
        </is>
      </c>
      <c r="C30" s="1790">
        <f>'3.1 Cost Bridge'!$K$41</f>
        <v>525</v>
      </c>
    </row>
    <row r="31">
      <c r="B31" s="1788" t="inlineStr">
        <is>
          <t>Cost after the decisions set today ($m)</t>
        </is>
      </c>
      <c r="C31" s="1791">
        <f>'3.1 Cost Bridge'!$G$41</f>
        <v>115.2830022681</v>
      </c>
    </row>
    <row r="32">
      <c r="B32" s="1788" t="inlineStr">
        <is>
          <t>Impact of those decisions ($m)</t>
        </is>
      </c>
      <c r="C32" s="1791">
        <f>'3.1 Cost Bridge'!$G$41-'3.1 Cost Bridge'!$E$41</f>
        <v>0</v>
      </c>
    </row>
    <row r="34" ht="19" customHeight="1" s="866">
      <c r="B34" s="1527" t="inlineStr">
        <is>
          <t>Portfolio drill-down</t>
        </is>
      </c>
      <c r="C34" s="1528" t="n"/>
    </row>
    <row r="35">
      <c r="B35" s="1792" t="inlineStr">
        <is>
          <t>Pick a portfolio</t>
        </is>
      </c>
      <c r="C35" s="1548" t="inlineStr">
        <is>
          <t>Ampol Retail</t>
        </is>
      </c>
    </row>
    <row r="36">
      <c r="B36" s="1788" t="inlineStr">
        <is>
          <t>Roles</t>
        </is>
      </c>
      <c r="C36" s="1790">
        <f>ROUND(SUMIFS('3.3 Squad Detail'!$H$6:$H$109,'3.3 Squad Detail'!$B$6:$B$109,$C$35),6)</f>
        <v>70</v>
      </c>
    </row>
    <row r="37">
      <c r="B37" s="1788" t="inlineStr">
        <is>
          <t>Filled</t>
        </is>
      </c>
      <c r="C37" s="1790">
        <f>ROUND(SUMIFS('3.3 Squad Detail'!$I$6:$I$109,'3.3 Squad Detail'!$B$6:$B$109,$C$35),6)</f>
        <v>48</v>
      </c>
    </row>
    <row r="38">
      <c r="B38" s="1788" t="inlineStr">
        <is>
          <t>Vacant</t>
        </is>
      </c>
      <c r="C38" s="1790">
        <f>ROUND(SUMIFS('3.3 Squad Detail'!$J$6:$J$109,'3.3 Squad Detail'!$B$6:$B$109,$C$35),6)</f>
        <v>22</v>
      </c>
    </row>
    <row r="39">
      <c r="B39" s="1788" t="inlineStr">
        <is>
          <t>Roles after decisions</t>
        </is>
      </c>
      <c r="C39" s="1790">
        <f>ROUND(SUMIFS('3.3 Squad Detail'!$K$6:$K$109,'3.3 Squad Detail'!$B$6:$B$109,$C$35),6)</f>
        <v>70</v>
      </c>
    </row>
    <row r="40">
      <c r="B40" s="1788" t="inlineStr">
        <is>
          <t>Actual cost ($m)</t>
        </is>
      </c>
      <c r="C40" s="1791">
        <f>ROUND(SUMIFS('3.3 Squad Detail'!$M$6:$M$109,'3.3 Squad Detail'!$B$6:$B$109,$C$35),6)</f>
        <v>14.005227</v>
      </c>
    </row>
    <row r="41">
      <c r="B41" s="1788" t="inlineStr">
        <is>
          <t>Of which overhead roles ($m)</t>
        </is>
      </c>
      <c r="C41" s="1791">
        <f>ROUND(SUMIFS('3.3 Squad Detail'!$M$6:$M$109,'3.3 Squad Detail'!$B$6:$B$109,$C$35,'3.3 Squad Detail'!$C$6:$C$109,"Overhead"),6)</f>
        <v>1.255616</v>
      </c>
    </row>
    <row r="42">
      <c r="B42" s="1788" t="inlineStr">
        <is>
          <t>Squads priced by an archetype - over/(under) archetype ($m)</t>
        </is>
      </c>
      <c r="C42" s="1791">
        <f>ROUND(SUMIFS('3.3 Squad Detail'!$N$6:$N$109,'3.3 Squad Detail'!$B$6:$B$109,$C$35,'3.3 Squad Detail'!$C$6:$C$109,"Archetype"),6)</f>
        <v>-0.766475</v>
      </c>
    </row>
    <row r="43">
      <c r="B43" s="1788" t="inlineStr">
        <is>
          <t>Directly funded programmes - over/(under) funded ($m)</t>
        </is>
      </c>
      <c r="C43" s="1791">
        <f>ROUND(SUMIFS('3.3 Squad Detail'!$N$6:$N$109,'3.3 Squad Detail'!$B$6:$B$109,$C$35,'3.3 Squad Detail'!$C$6:$C$109,"Directly funded"),6)</f>
        <v>0.412299</v>
      </c>
    </row>
    <row r="44">
      <c r="B44" s="1788" t="inlineStr">
        <is>
          <t>Cost after vacancy decisions ($m)</t>
        </is>
      </c>
      <c r="C44" s="1791">
        <f>ROUND(SUMIFS('3.3 Squad Detail'!$O$6:$O$109,'3.3 Squad Detail'!$B$6:$B$109,$C$35),6)</f>
        <v>14.005227</v>
      </c>
    </row>
  </sheetData>
  <dataValidations count="1">
    <dataValidation sqref="C35" showDropDown="0" showInputMessage="0" showErrorMessage="0" allowBlank="0" type="list">
      <formula1>"Ampol Retail,Customer,Enterprise Data,TDD Group Functions,P&amp;C,Finance,Infrastructure,Energy Solutions &amp; B2B,Commercial Fuels,Z Retail"</formula1>
    </dataValidation>
  </dataValidations>
  <printOptions horizontalCentered="0" verticalCentered="0" headings="0" gridLines="0" gridLinesSet="1"/>
  <pageMargins left="0.75" right="0.75" top="1" bottom="1" header="0.511811023622047" footer="0.511811023622047"/>
  <pageSetup orientation="landscape"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808080"/>
    <outlinePr summaryBelow="1" summaryRight="1"/>
    <pageSetUpPr fitToPage="0"/>
  </sheetPr>
  <dimension ref="B2:B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B2" activeCellId="0" sqref="B2"/>
    </sheetView>
  </sheetViews>
  <sheetFormatPr baseColWidth="8" defaultColWidth="8.5390625" defaultRowHeight="14.25" zeroHeight="0" outlineLevelRow="0"/>
  <cols>
    <col width="2" customWidth="1" style="865" min="1" max="1"/>
    <col width="60" customWidth="1" style="865" min="2" max="2"/>
  </cols>
  <sheetData>
    <row r="2" ht="21" customHeight="1" s="866">
      <c r="B2" s="875" t="inlineStr">
        <is>
          <t>INPUTS  &gt;&gt;&gt;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808080"/>
    <outlinePr summaryBelow="1" summaryRight="1"/>
    <pageSetUpPr fitToPage="0"/>
  </sheetPr>
  <dimension ref="B3:Y3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B5" activeCellId="0" sqref="B5"/>
    </sheetView>
  </sheetViews>
  <sheetFormatPr baseColWidth="8" defaultColWidth="9.1796875" defaultRowHeight="12.75" zeroHeight="0" outlineLevelRow="0"/>
  <cols>
    <col width="9.18" customWidth="1" style="876" min="1" max="1"/>
    <col width="17.73" customWidth="1" style="876" min="2" max="2"/>
    <col width="15.73" customWidth="1" style="876" min="3" max="3"/>
    <col width="12.45" customWidth="1" style="876" min="4" max="4"/>
    <col width="11.18" customWidth="1" style="876" min="5" max="5"/>
    <col width="14.73" customWidth="1" style="876" min="6" max="6"/>
    <col width="9.18" customWidth="1" style="876" min="7" max="7"/>
    <col width="12.73" customWidth="1" style="876" min="8" max="8"/>
    <col width="9.18" customWidth="1" style="876" min="9" max="12"/>
    <col width="12.73" customWidth="1" style="876" min="13" max="13"/>
    <col width="11" customWidth="1" style="876" min="14" max="14"/>
    <col width="9.18" customWidth="1" style="876" min="15" max="16384"/>
  </cols>
  <sheetData>
    <row r="2" ht="13.5" customHeight="1" s="866"/>
    <row r="3" ht="29.25" customHeight="1" s="866">
      <c r="B3" s="877" t="inlineStr">
        <is>
          <t>BUSINESS</t>
        </is>
      </c>
      <c r="C3" s="878" t="inlineStr">
        <is>
          <t>EGM Sponsor</t>
        </is>
      </c>
      <c r="D3" s="878" t="inlineStr">
        <is>
          <t>GM Sponsor</t>
        </is>
      </c>
      <c r="E3" s="878" t="inlineStr">
        <is>
          <t>Domain Architect</t>
        </is>
      </c>
      <c r="F3" s="878" t="inlineStr">
        <is>
          <t>HO Technology</t>
        </is>
      </c>
      <c r="G3" s="879" t="inlineStr">
        <is>
          <t>Lights-on</t>
        </is>
      </c>
      <c r="H3" s="880" t="n"/>
      <c r="I3" s="880" t="n"/>
      <c r="J3" s="880" t="n"/>
      <c r="K3" s="880" t="n"/>
      <c r="L3" s="881" t="n"/>
      <c r="M3" s="879" t="inlineStr">
        <is>
          <t>Depreciation</t>
        </is>
      </c>
      <c r="N3" s="879" t="inlineStr">
        <is>
          <t>Initiatives</t>
        </is>
      </c>
      <c r="O3" s="879" t="inlineStr">
        <is>
          <t>Sig Items</t>
        </is>
      </c>
      <c r="P3" s="879" t="inlineStr">
        <is>
          <t>Capex</t>
        </is>
      </c>
      <c r="Q3" s="882" t="inlineStr">
        <is>
          <t>Total Budget</t>
        </is>
      </c>
      <c r="R3" s="883" t="n"/>
      <c r="S3" s="884" t="inlineStr">
        <is>
          <t>Existing</t>
        </is>
      </c>
      <c r="T3" s="879" t="inlineStr">
        <is>
          <t>Aligned Delivery</t>
        </is>
      </c>
      <c r="U3" s="879" t="inlineStr">
        <is>
          <t>Aligned COE's</t>
        </is>
      </c>
      <c r="V3" s="882" t="inlineStr">
        <is>
          <t>Total Budget</t>
        </is>
      </c>
    </row>
    <row r="4" ht="29.25" customHeight="1" s="866">
      <c r="B4" s="885" t="inlineStr">
        <is>
          <t>SEGMENT</t>
        </is>
      </c>
      <c r="C4" s="886" t="n"/>
      <c r="D4" s="886" t="n"/>
      <c r="E4" s="886" t="n"/>
      <c r="F4" s="886" t="n"/>
      <c r="G4" s="887" t="inlineStr">
        <is>
          <t>People</t>
        </is>
      </c>
      <c r="H4" s="887" t="inlineStr">
        <is>
          <t>HW</t>
        </is>
      </c>
      <c r="I4" s="887" t="inlineStr">
        <is>
          <t>SW</t>
        </is>
      </c>
      <c r="J4" s="887" t="inlineStr">
        <is>
          <t>Network</t>
        </is>
      </c>
      <c r="K4" s="887" t="inlineStr">
        <is>
          <t>Vendor</t>
        </is>
      </c>
      <c r="L4" s="887" t="inlineStr">
        <is>
          <t>Sub-Total</t>
        </is>
      </c>
      <c r="M4" s="886" t="n"/>
      <c r="N4" s="886" t="n"/>
      <c r="O4" s="886" t="n"/>
      <c r="P4" s="886" t="n"/>
      <c r="Q4" s="888" t="inlineStr">
        <is>
          <t>FY2026</t>
        </is>
      </c>
      <c r="R4" s="889" t="n"/>
      <c r="S4" s="890" t="n"/>
      <c r="T4" s="886" t="n"/>
      <c r="U4" s="886" t="n"/>
      <c r="V4" s="888" t="inlineStr">
        <is>
          <t>FY2026</t>
        </is>
      </c>
    </row>
    <row r="5" ht="22.5" customHeight="1" s="866">
      <c r="B5" s="891" t="inlineStr">
        <is>
          <t>TDD Corporate (1)</t>
        </is>
      </c>
      <c r="C5" s="892" t="inlineStr">
        <is>
          <t>Brad Blyth</t>
        </is>
      </c>
      <c r="D5" s="893" t="n"/>
      <c r="E5" s="893" t="n"/>
      <c r="F5" s="893" t="n"/>
      <c r="G5" s="894" t="n">
        <v>35.2</v>
      </c>
      <c r="H5" s="894" t="n">
        <v>2.9</v>
      </c>
      <c r="I5" s="894" t="n">
        <v>25.6</v>
      </c>
      <c r="J5" s="894" t="n">
        <v>2.1</v>
      </c>
      <c r="K5" s="894" t="n">
        <v>13.1</v>
      </c>
      <c r="L5" s="895">
        <f>SUM(G5:K5)</f>
        <v>78.9</v>
      </c>
      <c r="M5" s="895" t="n">
        <v>5.8</v>
      </c>
      <c r="N5" s="895" t="n">
        <v>3</v>
      </c>
      <c r="O5" s="895" t="n">
        <v>20.2</v>
      </c>
      <c r="P5" s="895" t="n">
        <v>4.9</v>
      </c>
      <c r="Q5" s="896">
        <f>SUM(L5:P5)</f>
        <v>112.8</v>
      </c>
      <c r="R5" s="889" t="n"/>
      <c r="S5" s="897" t="n"/>
      <c r="T5" s="898" t="n"/>
      <c r="U5" s="899">
        <f>SUM(W25:W29)</f>
        <v>91.6</v>
      </c>
      <c r="V5" s="896">
        <f>SUM(S5:U5)</f>
        <v>91.6</v>
      </c>
    </row>
    <row r="6" ht="29.25" customHeight="1" s="866">
      <c r="B6" s="891" t="inlineStr">
        <is>
          <t>Z-Energy (2)</t>
        </is>
      </c>
      <c r="C6" s="892" t="inlineStr">
        <is>
          <t>Lindis Jones</t>
        </is>
      </c>
      <c r="D6" s="892" t="inlineStr">
        <is>
          <t>Vance Anderson</t>
        </is>
      </c>
      <c r="E6" s="893" t="n"/>
      <c r="F6" s="893" t="n"/>
      <c r="G6" s="894" t="n">
        <v>17.6</v>
      </c>
      <c r="H6" s="894" t="n">
        <v>19.8</v>
      </c>
      <c r="I6" s="894" t="n">
        <v>11.6</v>
      </c>
      <c r="J6" s="894" t="n">
        <v>0.6</v>
      </c>
      <c r="K6" s="894" t="n">
        <v>2.6</v>
      </c>
      <c r="L6" s="895">
        <f>SUM(G6:K6)</f>
        <v>52.2</v>
      </c>
      <c r="M6" s="895" t="n">
        <v>11.3</v>
      </c>
      <c r="N6" s="895" t="n">
        <v>1.4</v>
      </c>
      <c r="O6" s="895" t="inlineStr">
        <is>
          <t>-</t>
        </is>
      </c>
      <c r="P6" s="895" t="n">
        <v>11.7</v>
      </c>
      <c r="Q6" s="896">
        <f>SUM(L6:P6)</f>
        <v>76.6</v>
      </c>
      <c r="R6" s="889" t="n"/>
      <c r="S6" s="900">
        <f>Q6</f>
        <v>76.6</v>
      </c>
      <c r="T6" s="898" t="n"/>
      <c r="U6" s="898" t="n"/>
      <c r="V6" s="896">
        <f>SUM(S6:U6)</f>
        <v>76.6</v>
      </c>
    </row>
    <row r="7" ht="29.25" customHeight="1" s="866">
      <c r="B7" s="891" t="inlineStr">
        <is>
          <t>EnergySolutions</t>
        </is>
      </c>
      <c r="C7" s="892" t="inlineStr">
        <is>
          <t>Brent Merrick</t>
        </is>
      </c>
      <c r="D7" s="892" t="inlineStr">
        <is>
          <t>Roanne Steele</t>
        </is>
      </c>
      <c r="E7" s="893" t="n"/>
      <c r="F7" s="893" t="n"/>
      <c r="G7" s="894" t="n">
        <v>1</v>
      </c>
      <c r="H7" s="894" t="n">
        <v>1.5</v>
      </c>
      <c r="I7" s="894" t="n">
        <v>1.4</v>
      </c>
      <c r="J7" s="898" t="n"/>
      <c r="K7" s="898" t="n"/>
      <c r="L7" s="895">
        <f>SUM(G7:K7)</f>
        <v>3.9</v>
      </c>
      <c r="M7" s="901" t="n"/>
      <c r="N7" s="895" t="n">
        <v>1</v>
      </c>
      <c r="O7" s="901" t="n"/>
      <c r="P7" s="895" t="n">
        <v>2.3</v>
      </c>
      <c r="Q7" s="896">
        <f>SUM(L7:P7)</f>
        <v>7.2</v>
      </c>
      <c r="R7" s="889" t="n"/>
      <c r="S7" s="900">
        <f>Q7</f>
        <v>7.2</v>
      </c>
      <c r="T7" s="898" t="n"/>
      <c r="U7" s="898" t="n"/>
      <c r="V7" s="896">
        <f>SUM(S7:U7)</f>
        <v>7.2</v>
      </c>
      <c r="Y7" s="876">
        <f>SUM(L9,N9,O9,P9)</f>
        <v>33.8</v>
      </c>
    </row>
    <row r="8" ht="29.25" customHeight="1" s="866">
      <c r="B8" s="891" t="inlineStr">
        <is>
          <t>Commercial Fuels</t>
        </is>
      </c>
      <c r="C8" s="892" t="inlineStr">
        <is>
          <t>Brent Merrick</t>
        </is>
      </c>
      <c r="D8" s="892" t="inlineStr">
        <is>
          <t>Roanne Steele</t>
        </is>
      </c>
      <c r="E8" s="893" t="n"/>
      <c r="F8" s="893" t="n"/>
      <c r="G8" s="898" t="n"/>
      <c r="H8" s="894" t="n">
        <v>2.5</v>
      </c>
      <c r="I8" s="894" t="n">
        <v>9.4</v>
      </c>
      <c r="J8" s="894" t="n">
        <v>1.5</v>
      </c>
      <c r="K8" s="898" t="n"/>
      <c r="L8" s="895">
        <f>SUM(G8:K8)</f>
        <v>13.4</v>
      </c>
      <c r="M8" s="901" t="n"/>
      <c r="N8" s="895" t="n">
        <v>6.1</v>
      </c>
      <c r="O8" s="895" t="n">
        <v>14.2</v>
      </c>
      <c r="P8" s="895" t="n">
        <v>6.8</v>
      </c>
      <c r="Q8" s="896">
        <f>SUM(L8:P8)</f>
        <v>40.5</v>
      </c>
      <c r="R8" s="889" t="n"/>
      <c r="S8" s="900">
        <f>Q8</f>
        <v>40.5</v>
      </c>
      <c r="T8" s="902">
        <f>S19</f>
        <v>1.2</v>
      </c>
      <c r="U8" s="898" t="n"/>
      <c r="V8" s="896">
        <f>SUM(S8:U8)</f>
        <v>41.7</v>
      </c>
    </row>
    <row r="9" ht="29.25" customHeight="1" s="866">
      <c r="B9" s="891" t="inlineStr">
        <is>
          <t>Retail</t>
        </is>
      </c>
      <c r="C9" s="892" t="inlineStr">
        <is>
          <t>Kate Thomson</t>
        </is>
      </c>
      <c r="D9" s="892" t="inlineStr">
        <is>
          <t>Roanne Steele</t>
        </is>
      </c>
      <c r="E9" s="893" t="n"/>
      <c r="F9" s="893" t="n"/>
      <c r="G9" s="898" t="n"/>
      <c r="H9" s="894" t="n">
        <v>5.3</v>
      </c>
      <c r="I9" s="894" t="n">
        <v>6.4</v>
      </c>
      <c r="J9" s="894" t="n">
        <v>2.2</v>
      </c>
      <c r="K9" s="898" t="n"/>
      <c r="L9" s="895">
        <f>SUM(G9:K9)</f>
        <v>13.9</v>
      </c>
      <c r="M9" s="901" t="n"/>
      <c r="N9" s="895" t="n">
        <v>1.3</v>
      </c>
      <c r="O9" s="895" t="n">
        <v>6.8</v>
      </c>
      <c r="P9" s="895" t="n">
        <v>11.8</v>
      </c>
      <c r="Q9" s="896">
        <f>SUM(L9:P9)</f>
        <v>33.8</v>
      </c>
      <c r="R9" s="889" t="n"/>
      <c r="S9" s="900">
        <f>Q9</f>
        <v>33.8</v>
      </c>
      <c r="T9" s="902">
        <f>S20</f>
        <v>5.2</v>
      </c>
      <c r="U9" s="898" t="n"/>
      <c r="V9" s="896">
        <f>SUM(S9:U9)</f>
        <v>39</v>
      </c>
    </row>
    <row r="10" ht="29.25" customHeight="1" s="866">
      <c r="B10" s="891" t="inlineStr">
        <is>
          <t>Infrastructure</t>
        </is>
      </c>
      <c r="C10" s="892" t="inlineStr">
        <is>
          <t>Michelle Bardy</t>
        </is>
      </c>
      <c r="D10" s="892" t="inlineStr">
        <is>
          <t>Roanne Steele</t>
        </is>
      </c>
      <c r="E10" s="893" t="n"/>
      <c r="F10" s="893" t="n"/>
      <c r="G10" s="898" t="n"/>
      <c r="H10" s="894" t="n">
        <v>1.9</v>
      </c>
      <c r="I10" s="894" t="n">
        <v>2</v>
      </c>
      <c r="J10" s="898" t="n"/>
      <c r="K10" s="898" t="n"/>
      <c r="L10" s="895">
        <f>SUM(G10:K10)</f>
        <v>3.9</v>
      </c>
      <c r="M10" s="901" t="n"/>
      <c r="N10" s="895" t="n">
        <v>0.4</v>
      </c>
      <c r="O10" s="901" t="n"/>
      <c r="P10" s="895" t="n">
        <v>5</v>
      </c>
      <c r="Q10" s="896">
        <f>SUM(L10:P10)</f>
        <v>9.3</v>
      </c>
      <c r="R10" s="889" t="n"/>
      <c r="S10" s="900">
        <f>Q10</f>
        <v>9.3</v>
      </c>
      <c r="T10" s="902">
        <f>S21</f>
        <v>2.2</v>
      </c>
      <c r="U10" s="898" t="n"/>
      <c r="V10" s="896">
        <f>SUM(S10:U10)</f>
        <v>11.5</v>
      </c>
    </row>
    <row r="11" ht="29.25" customHeight="1" s="866">
      <c r="B11" s="891" t="inlineStr">
        <is>
          <t>Corporate Finance</t>
        </is>
      </c>
      <c r="C11" s="892" t="inlineStr">
        <is>
          <t>Greg Barnes</t>
        </is>
      </c>
      <c r="D11" s="892" t="inlineStr">
        <is>
          <t>Emily Mogic</t>
        </is>
      </c>
      <c r="E11" s="893" t="n"/>
      <c r="F11" s="893" t="n"/>
      <c r="G11" s="898" t="n"/>
      <c r="H11" s="894" t="n">
        <v>0.5</v>
      </c>
      <c r="I11" s="894" t="n">
        <v>2.1</v>
      </c>
      <c r="J11" s="898" t="n"/>
      <c r="K11" s="898" t="n"/>
      <c r="L11" s="895">
        <f>SUM(G11:K11)</f>
        <v>2.6</v>
      </c>
      <c r="M11" s="901" t="n"/>
      <c r="N11" s="895" t="n">
        <v>0.9</v>
      </c>
      <c r="O11" s="901" t="n"/>
      <c r="P11" s="901" t="n"/>
      <c r="Q11" s="896">
        <f>SUM(L11:P11)</f>
        <v>3.5</v>
      </c>
      <c r="R11" s="889" t="n"/>
      <c r="S11" s="900">
        <f>Q11</f>
        <v>3.5</v>
      </c>
      <c r="T11" s="902">
        <f>S22</f>
        <v>9</v>
      </c>
      <c r="U11" s="898" t="n"/>
      <c r="V11" s="896">
        <f>SUM(S11:U11)</f>
        <v>12.5</v>
      </c>
    </row>
    <row r="12" ht="22.5" customHeight="1" s="866">
      <c r="B12" s="891" t="inlineStr">
        <is>
          <t>P&amp;C</t>
        </is>
      </c>
      <c r="C12" s="892" t="inlineStr">
        <is>
          <t>Meaghan Davis</t>
        </is>
      </c>
      <c r="D12" s="892" t="inlineStr">
        <is>
          <t>Emily Mogic</t>
        </is>
      </c>
      <c r="E12" s="893" t="n"/>
      <c r="F12" s="893" t="n"/>
      <c r="G12" s="898" t="n"/>
      <c r="H12" s="894" t="n">
        <v>0.3</v>
      </c>
      <c r="I12" s="894" t="n">
        <v>1.8</v>
      </c>
      <c r="J12" s="898" t="n"/>
      <c r="K12" s="898" t="n"/>
      <c r="L12" s="895">
        <f>SUM(G12:K12)</f>
        <v>2.1</v>
      </c>
      <c r="M12" s="901" t="n"/>
      <c r="N12" s="895" t="n">
        <v>2</v>
      </c>
      <c r="O12" s="895" t="n">
        <v>1.4</v>
      </c>
      <c r="P12" s="895" t="n">
        <v>0.3</v>
      </c>
      <c r="Q12" s="896">
        <f>SUM(L12:P12)</f>
        <v>5.8</v>
      </c>
      <c r="R12" s="889" t="n"/>
      <c r="S12" s="900">
        <f>Q12</f>
        <v>5.8</v>
      </c>
      <c r="T12" s="902">
        <f>S23</f>
        <v>0</v>
      </c>
      <c r="U12" s="898" t="n"/>
      <c r="V12" s="896">
        <f>SUM(S12:U12)</f>
        <v>5.8</v>
      </c>
    </row>
    <row r="13" ht="29.25" customHeight="1" s="866">
      <c r="B13" s="891" t="inlineStr">
        <is>
          <t>Customer</t>
        </is>
      </c>
      <c r="C13" s="903" t="inlineStr">
        <is>
          <t>Kate Thomson</t>
        </is>
      </c>
      <c r="D13" s="903" t="inlineStr">
        <is>
          <t>Vance Anderson</t>
        </is>
      </c>
      <c r="E13" s="904" t="n"/>
      <c r="F13" s="904" t="n"/>
      <c r="G13" s="905" t="n"/>
      <c r="H13" s="906" t="n">
        <v>0.1</v>
      </c>
      <c r="I13" s="906" t="n">
        <v>1.6</v>
      </c>
      <c r="J13" s="905" t="n"/>
      <c r="K13" s="905" t="n"/>
      <c r="L13" s="907">
        <f>SUM(G13:K13)</f>
        <v>1.7</v>
      </c>
      <c r="M13" s="908" t="n"/>
      <c r="N13" s="908" t="n"/>
      <c r="O13" s="907" t="n">
        <v>5</v>
      </c>
      <c r="P13" s="907" t="n">
        <v>5</v>
      </c>
      <c r="Q13" s="909">
        <f>SUM(L13:P13)</f>
        <v>11.7</v>
      </c>
      <c r="R13" s="910" t="n"/>
      <c r="S13" s="911">
        <f>Q13</f>
        <v>11.7</v>
      </c>
      <c r="T13" s="912">
        <f>S24</f>
        <v>3.7</v>
      </c>
      <c r="U13" s="905" t="n"/>
      <c r="V13" s="909">
        <f>SUM(S13:U13)</f>
        <v>15.4</v>
      </c>
    </row>
    <row r="14" ht="22.5" customHeight="1" s="866">
      <c r="B14" s="913" t="inlineStr">
        <is>
          <t>Total Technology</t>
        </is>
      </c>
      <c r="C14" s="914" t="n"/>
      <c r="D14" s="914" t="n"/>
      <c r="E14" s="914" t="n"/>
      <c r="F14" s="914" t="n"/>
      <c r="G14" s="915">
        <f>SUM(G5:G13)</f>
        <v>53.8</v>
      </c>
      <c r="H14" s="915">
        <f>SUM(H5:H13)</f>
        <v>34.8</v>
      </c>
      <c r="I14" s="915">
        <f>SUM(I5:I13)</f>
        <v>61.9</v>
      </c>
      <c r="J14" s="915">
        <f>SUM(J5:J13)</f>
        <v>6.4</v>
      </c>
      <c r="K14" s="915">
        <f>SUM(K5:K13)</f>
        <v>15.7</v>
      </c>
      <c r="L14" s="916">
        <f>SUM(L5:L13)</f>
        <v>172.6</v>
      </c>
      <c r="M14" s="916">
        <f>SUM(M5:M13)</f>
        <v>17.1</v>
      </c>
      <c r="N14" s="916">
        <f>SUM(N5:N13)</f>
        <v>16.1</v>
      </c>
      <c r="O14" s="916">
        <f>SUM(O5:O13)</f>
        <v>47.6</v>
      </c>
      <c r="P14" s="916">
        <f>SUM(P5:P13)</f>
        <v>47.8</v>
      </c>
      <c r="Q14" s="917">
        <f>SUM(Q5:Q13)</f>
        <v>301.2</v>
      </c>
      <c r="R14" s="918" t="n"/>
      <c r="S14" s="919">
        <f>SUM(S6:S13)</f>
        <v>188.4</v>
      </c>
      <c r="T14" s="920">
        <f>SUM(T8:T13)</f>
        <v>21.3</v>
      </c>
      <c r="U14" s="920">
        <f>U5</f>
        <v>91.6</v>
      </c>
      <c r="V14" s="917">
        <f>SUM(V5:V13)</f>
        <v>301.3</v>
      </c>
    </row>
    <row r="16" ht="13.5" customHeight="1" s="866"/>
    <row r="17" ht="26.25" customHeight="1" s="866">
      <c r="B17" s="921" t="inlineStr">
        <is>
          <t>BUSINESS SEGMENT</t>
        </is>
      </c>
      <c r="C17" s="922" t="n"/>
      <c r="D17" s="923" t="n"/>
      <c r="E17" s="921" t="inlineStr">
        <is>
          <t>EGM Sponsor</t>
        </is>
      </c>
      <c r="F17" s="921" t="inlineStr">
        <is>
          <t>GM Sponsor</t>
        </is>
      </c>
      <c r="G17" s="921" t="inlineStr">
        <is>
          <t>Domain Architect</t>
        </is>
      </c>
      <c r="H17" s="921" t="inlineStr">
        <is>
          <t>HO Technology</t>
        </is>
      </c>
      <c r="I17" s="924" t="inlineStr">
        <is>
          <t>Lights-on</t>
        </is>
      </c>
      <c r="J17" s="925" t="n"/>
      <c r="K17" s="925" t="n"/>
      <c r="L17" s="925" t="n"/>
      <c r="M17" s="925" t="n"/>
      <c r="N17" s="926" t="n"/>
      <c r="O17" s="924" t="inlineStr">
        <is>
          <t>Depreciation</t>
        </is>
      </c>
      <c r="P17" s="924" t="inlineStr">
        <is>
          <t>Initiatives</t>
        </is>
      </c>
      <c r="Q17" s="924" t="inlineStr">
        <is>
          <t>Sig Items</t>
        </is>
      </c>
      <c r="R17" s="924" t="inlineStr">
        <is>
          <t>Capex</t>
        </is>
      </c>
      <c r="S17" s="927" t="inlineStr">
        <is>
          <t>Total Budget</t>
        </is>
      </c>
      <c r="T17" s="928" t="n"/>
      <c r="U17" s="929" t="inlineStr">
        <is>
          <t>Existing</t>
        </is>
      </c>
      <c r="V17" s="930" t="inlineStr">
        <is>
          <t>Aligned  Delivery</t>
        </is>
      </c>
      <c r="W17" s="931" t="inlineStr">
        <is>
          <t>Aligned</t>
        </is>
      </c>
      <c r="X17" s="932" t="inlineStr">
        <is>
          <t>Total Budget</t>
        </is>
      </c>
    </row>
    <row r="18" ht="13.5" customHeight="1" s="866">
      <c r="B18" s="933" t="n"/>
      <c r="C18" s="934" t="n"/>
      <c r="D18" s="935" t="n"/>
      <c r="E18" s="936" t="n"/>
      <c r="F18" s="936" t="n"/>
      <c r="G18" s="936" t="n"/>
      <c r="H18" s="936" t="n"/>
      <c r="I18" s="937" t="inlineStr">
        <is>
          <t>People</t>
        </is>
      </c>
      <c r="J18" s="937" t="inlineStr">
        <is>
          <t>HW</t>
        </is>
      </c>
      <c r="K18" s="937" t="inlineStr">
        <is>
          <t>SW</t>
        </is>
      </c>
      <c r="L18" s="937" t="inlineStr">
        <is>
          <t>Network</t>
        </is>
      </c>
      <c r="M18" s="937" t="inlineStr">
        <is>
          <t>Vendor</t>
        </is>
      </c>
      <c r="N18" s="937" t="inlineStr">
        <is>
          <t>Sub-Total</t>
        </is>
      </c>
      <c r="O18" s="936" t="n"/>
      <c r="P18" s="936" t="n"/>
      <c r="Q18" s="936" t="n"/>
      <c r="R18" s="936" t="n"/>
      <c r="S18" s="938" t="inlineStr">
        <is>
          <t>FY2026</t>
        </is>
      </c>
      <c r="T18" s="939" t="n"/>
      <c r="U18" s="890" t="n"/>
      <c r="V18" s="886" t="n"/>
      <c r="W18" s="940" t="inlineStr">
        <is>
          <t>COE's</t>
        </is>
      </c>
      <c r="X18" s="941" t="inlineStr">
        <is>
          <t>FY2026</t>
        </is>
      </c>
    </row>
    <row r="19" ht="26.25" customHeight="1" s="866">
      <c r="B19" s="942" t="n"/>
      <c r="C19" s="923" t="n"/>
      <c r="D19" s="943" t="inlineStr">
        <is>
          <t>Commercial Fuels</t>
        </is>
      </c>
      <c r="E19" s="944" t="n"/>
      <c r="F19" s="944" t="n"/>
      <c r="G19" s="944" t="n"/>
      <c r="H19" s="944" t="n"/>
      <c r="I19" s="945" t="n">
        <v>1.2</v>
      </c>
      <c r="J19" s="945" t="n">
        <v>0</v>
      </c>
      <c r="K19" s="945" t="n">
        <v>0</v>
      </c>
      <c r="L19" s="945" t="inlineStr">
        <is>
          <t>-</t>
        </is>
      </c>
      <c r="M19" s="945" t="inlineStr">
        <is>
          <t>-</t>
        </is>
      </c>
      <c r="N19" s="945">
        <f>SUM(I19:M19)</f>
        <v>1.2</v>
      </c>
      <c r="O19" s="945" t="inlineStr">
        <is>
          <t>-</t>
        </is>
      </c>
      <c r="P19" s="946" t="n"/>
      <c r="Q19" s="946" t="n"/>
      <c r="R19" s="947" t="n"/>
      <c r="S19" s="948">
        <f>SUM(N19:R19)</f>
        <v>1.2</v>
      </c>
      <c r="T19" s="939" t="n"/>
      <c r="U19" s="949" t="n"/>
      <c r="V19" s="950" t="n"/>
      <c r="W19" s="950" t="n"/>
      <c r="X19" s="951" t="inlineStr">
        <is>
          <t>-</t>
        </is>
      </c>
    </row>
    <row r="20" ht="13.5" customHeight="1" s="866">
      <c r="B20" s="952" t="n"/>
      <c r="C20" s="953" t="n"/>
      <c r="D20" s="954" t="inlineStr">
        <is>
          <t>Retail</t>
        </is>
      </c>
      <c r="E20" s="955" t="n"/>
      <c r="F20" s="955" t="n"/>
      <c r="G20" s="955" t="n"/>
      <c r="H20" s="955" t="n"/>
      <c r="I20" s="956" t="n">
        <v>3.4</v>
      </c>
      <c r="J20" s="956" t="n">
        <v>0.2</v>
      </c>
      <c r="K20" s="956" t="n">
        <v>0.9</v>
      </c>
      <c r="L20" s="956" t="inlineStr">
        <is>
          <t>-</t>
        </is>
      </c>
      <c r="M20" s="956" t="n">
        <v>0.7</v>
      </c>
      <c r="N20" s="956">
        <f>SUM(I20:M20)</f>
        <v>5.2</v>
      </c>
      <c r="O20" s="956" t="inlineStr">
        <is>
          <t>-</t>
        </is>
      </c>
      <c r="P20" s="950" t="n"/>
      <c r="Q20" s="950" t="n"/>
      <c r="R20" s="957" t="n"/>
      <c r="S20" s="958">
        <f>SUM(N20:R20)</f>
        <v>5.2</v>
      </c>
      <c r="T20" s="939" t="n"/>
      <c r="U20" s="949" t="n"/>
      <c r="V20" s="950" t="n"/>
      <c r="W20" s="950" t="n"/>
      <c r="X20" s="951" t="inlineStr">
        <is>
          <t>-</t>
        </is>
      </c>
    </row>
    <row r="21" ht="30" customHeight="1" s="866">
      <c r="B21" s="952" t="n"/>
      <c r="C21" s="953" t="n"/>
      <c r="D21" s="954" t="inlineStr">
        <is>
          <t>Infrastructure</t>
        </is>
      </c>
      <c r="E21" s="955" t="n"/>
      <c r="F21" s="955" t="n"/>
      <c r="G21" s="955" t="n"/>
      <c r="H21" s="955" t="n"/>
      <c r="I21" s="956" t="n">
        <v>2</v>
      </c>
      <c r="J21" s="956" t="inlineStr">
        <is>
          <t>-</t>
        </is>
      </c>
      <c r="K21" s="956" t="n">
        <v>0.2</v>
      </c>
      <c r="L21" s="956" t="inlineStr">
        <is>
          <t>-</t>
        </is>
      </c>
      <c r="M21" s="956" t="inlineStr">
        <is>
          <t>-</t>
        </is>
      </c>
      <c r="N21" s="956">
        <f>SUM(I21:M21)</f>
        <v>2.2</v>
      </c>
      <c r="O21" s="956" t="inlineStr">
        <is>
          <t>-</t>
        </is>
      </c>
      <c r="P21" s="950" t="n"/>
      <c r="Q21" s="950" t="n"/>
      <c r="R21" s="957" t="n"/>
      <c r="S21" s="958">
        <f>SUM(N21:R21)</f>
        <v>2.2</v>
      </c>
      <c r="T21" s="939" t="n"/>
      <c r="U21" s="949" t="n"/>
      <c r="V21" s="950" t="n"/>
      <c r="W21" s="950" t="n"/>
      <c r="X21" s="951" t="inlineStr">
        <is>
          <t>-</t>
        </is>
      </c>
    </row>
    <row r="22" ht="26.25" customHeight="1" s="866">
      <c r="B22" s="952" t="n"/>
      <c r="C22" s="953" t="n"/>
      <c r="D22" s="954" t="inlineStr">
        <is>
          <t>Corporate Finance</t>
        </is>
      </c>
      <c r="E22" s="955" t="n"/>
      <c r="F22" s="955" t="n"/>
      <c r="G22" s="955" t="n"/>
      <c r="H22" s="955" t="n"/>
      <c r="I22" s="956" t="n">
        <v>1.3</v>
      </c>
      <c r="J22" s="956" t="inlineStr">
        <is>
          <t>-</t>
        </is>
      </c>
      <c r="K22" s="956" t="n">
        <v>4.2</v>
      </c>
      <c r="L22" s="956" t="inlineStr">
        <is>
          <t>-</t>
        </is>
      </c>
      <c r="M22" s="956" t="n">
        <v>3.5</v>
      </c>
      <c r="N22" s="956">
        <f>SUM(I22:M22)</f>
        <v>9</v>
      </c>
      <c r="O22" s="956" t="inlineStr">
        <is>
          <t>-</t>
        </is>
      </c>
      <c r="P22" s="950" t="n"/>
      <c r="Q22" s="950" t="n"/>
      <c r="R22" s="957" t="n"/>
      <c r="S22" s="958">
        <f>SUM(N22:R22)</f>
        <v>9</v>
      </c>
      <c r="T22" s="939" t="n"/>
      <c r="U22" s="949" t="n"/>
      <c r="V22" s="950" t="n"/>
      <c r="W22" s="950" t="n"/>
      <c r="X22" s="951" t="inlineStr">
        <is>
          <t>-</t>
        </is>
      </c>
    </row>
    <row r="23" ht="13.5" customHeight="1" s="866">
      <c r="B23" s="952" t="n"/>
      <c r="C23" s="953" t="n"/>
      <c r="D23" s="954" t="inlineStr">
        <is>
          <t>P&amp;C</t>
        </is>
      </c>
      <c r="E23" s="955" t="n"/>
      <c r="F23" s="955" t="n"/>
      <c r="G23" s="955" t="n"/>
      <c r="H23" s="955" t="n"/>
      <c r="I23" s="956" t="n">
        <v>0</v>
      </c>
      <c r="J23" s="956" t="inlineStr">
        <is>
          <t>-</t>
        </is>
      </c>
      <c r="K23" s="956" t="inlineStr">
        <is>
          <t>-</t>
        </is>
      </c>
      <c r="L23" s="956" t="inlineStr">
        <is>
          <t>-</t>
        </is>
      </c>
      <c r="M23" s="956" t="inlineStr">
        <is>
          <t>-</t>
        </is>
      </c>
      <c r="N23" s="956">
        <f>SUM(I23:M23)</f>
        <v>0</v>
      </c>
      <c r="O23" s="956" t="inlineStr">
        <is>
          <t>-</t>
        </is>
      </c>
      <c r="P23" s="950" t="n"/>
      <c r="Q23" s="950" t="n"/>
      <c r="R23" s="957" t="n"/>
      <c r="S23" s="958">
        <f>SUM(N23:R23)</f>
        <v>0</v>
      </c>
      <c r="T23" s="939" t="n"/>
      <c r="U23" s="949" t="n"/>
      <c r="V23" s="950" t="n"/>
      <c r="W23" s="950" t="n"/>
      <c r="X23" s="951" t="inlineStr">
        <is>
          <t>-</t>
        </is>
      </c>
    </row>
    <row r="24" ht="13.5" customHeight="1" s="866">
      <c r="B24" s="952" t="n"/>
      <c r="C24" s="953" t="n"/>
      <c r="D24" s="954" t="inlineStr">
        <is>
          <t>Customer</t>
        </is>
      </c>
      <c r="E24" s="955" t="n"/>
      <c r="F24" s="955" t="n"/>
      <c r="G24" s="955" t="n"/>
      <c r="H24" s="955" t="n"/>
      <c r="I24" s="956" t="n">
        <v>1.2</v>
      </c>
      <c r="J24" s="956" t="inlineStr">
        <is>
          <t>-</t>
        </is>
      </c>
      <c r="K24" s="956" t="n">
        <v>0.6</v>
      </c>
      <c r="L24" s="956" t="n">
        <v>0</v>
      </c>
      <c r="M24" s="956" t="n">
        <v>1</v>
      </c>
      <c r="N24" s="956">
        <f>SUM(I24:M24)</f>
        <v>2.8</v>
      </c>
      <c r="O24" s="956" t="n">
        <v>0.9</v>
      </c>
      <c r="P24" s="950" t="n"/>
      <c r="Q24" s="950" t="n"/>
      <c r="R24" s="957" t="n"/>
      <c r="S24" s="958">
        <f>SUM(N24:R24)</f>
        <v>3.7</v>
      </c>
      <c r="T24" s="939" t="n"/>
      <c r="U24" s="949" t="n"/>
      <c r="V24" s="950" t="n"/>
      <c r="W24" s="950" t="n"/>
      <c r="X24" s="951" t="inlineStr">
        <is>
          <t>-</t>
        </is>
      </c>
    </row>
    <row r="25" ht="13.5" customHeight="1" s="866">
      <c r="B25" s="952" t="n"/>
      <c r="C25" s="953" t="n"/>
      <c r="D25" s="959" t="inlineStr">
        <is>
          <t>TDD</t>
        </is>
      </c>
      <c r="E25" s="960" t="n"/>
      <c r="F25" s="961" t="inlineStr">
        <is>
          <t>Emily Mogic</t>
        </is>
      </c>
      <c r="G25" s="960" t="n"/>
      <c r="H25" s="960" t="n"/>
      <c r="I25" s="956" t="n">
        <v>4.5</v>
      </c>
      <c r="J25" s="956" t="n">
        <v>2.5</v>
      </c>
      <c r="K25" s="956" t="n">
        <v>14.5</v>
      </c>
      <c r="L25" s="956" t="n">
        <v>0</v>
      </c>
      <c r="M25" s="956" t="n">
        <v>0.8</v>
      </c>
      <c r="N25" s="956">
        <f>SUM(I25:M25)</f>
        <v>22.3</v>
      </c>
      <c r="O25" s="956" t="n">
        <v>4.9</v>
      </c>
      <c r="P25" s="950" t="n"/>
      <c r="Q25" s="950" t="n"/>
      <c r="R25" s="957" t="n"/>
      <c r="S25" s="962">
        <f>SUM(N25:R25)</f>
        <v>27.2</v>
      </c>
      <c r="T25" s="939" t="n"/>
      <c r="U25" s="949" t="n"/>
      <c r="V25" s="950" t="n"/>
      <c r="W25" s="963">
        <f>S25</f>
        <v>27.2</v>
      </c>
      <c r="X25" s="951">
        <f>W25</f>
        <v>27.2</v>
      </c>
    </row>
    <row r="26" ht="13.5" customHeight="1" s="866">
      <c r="B26" s="952" t="n"/>
      <c r="C26" s="953" t="n"/>
      <c r="D26" s="959" t="inlineStr">
        <is>
          <t>TDDEGM</t>
        </is>
      </c>
      <c r="E26" s="960" t="n"/>
      <c r="F26" s="961" t="inlineStr">
        <is>
          <t>Brad Blyth</t>
        </is>
      </c>
      <c r="G26" s="960" t="n"/>
      <c r="H26" s="960" t="n"/>
      <c r="I26" s="956" t="n">
        <v>6.5</v>
      </c>
      <c r="J26" s="956" t="inlineStr">
        <is>
          <t>-</t>
        </is>
      </c>
      <c r="K26" s="956" t="inlineStr">
        <is>
          <t>-</t>
        </is>
      </c>
      <c r="L26" s="956" t="inlineStr">
        <is>
          <t>-</t>
        </is>
      </c>
      <c r="M26" s="956" t="n">
        <v>3.6</v>
      </c>
      <c r="N26" s="956">
        <f>SUM(I26:M26)</f>
        <v>10.1</v>
      </c>
      <c r="O26" s="956" t="inlineStr">
        <is>
          <t>-</t>
        </is>
      </c>
      <c r="P26" s="956" t="n">
        <v>3</v>
      </c>
      <c r="Q26" s="956" t="n">
        <v>20.2</v>
      </c>
      <c r="R26" s="964" t="n">
        <v>4.9</v>
      </c>
      <c r="S26" s="962">
        <f>SUM(N26:R26)</f>
        <v>38.2</v>
      </c>
      <c r="T26" s="939" t="n"/>
      <c r="U26" s="949" t="n"/>
      <c r="V26" s="950" t="n"/>
      <c r="W26" s="963">
        <f>S26</f>
        <v>38.2</v>
      </c>
      <c r="X26" s="951">
        <f>W26</f>
        <v>38.2</v>
      </c>
    </row>
    <row r="27" ht="39" customHeight="1" s="866">
      <c r="B27" s="952" t="n"/>
      <c r="C27" s="953" t="n"/>
      <c r="D27" s="959" t="inlineStr">
        <is>
          <t>Strategy, Architecture and Data</t>
        </is>
      </c>
      <c r="E27" s="960" t="n"/>
      <c r="F27" s="961" t="inlineStr">
        <is>
          <t>Matt Ashley</t>
        </is>
      </c>
      <c r="G27" s="960" t="n"/>
      <c r="H27" s="960" t="n"/>
      <c r="I27" s="956" t="n">
        <v>5.3</v>
      </c>
      <c r="J27" s="956" t="inlineStr">
        <is>
          <t>-</t>
        </is>
      </c>
      <c r="K27" s="956" t="n">
        <v>1</v>
      </c>
      <c r="L27" s="956" t="inlineStr">
        <is>
          <t>-</t>
        </is>
      </c>
      <c r="M27" s="956" t="n">
        <v>0.6</v>
      </c>
      <c r="N27" s="956">
        <f>SUM(I27:M27)</f>
        <v>6.9</v>
      </c>
      <c r="O27" s="956" t="inlineStr">
        <is>
          <t>-</t>
        </is>
      </c>
      <c r="P27" s="950" t="n"/>
      <c r="Q27" s="950" t="n"/>
      <c r="R27" s="957" t="n"/>
      <c r="S27" s="962">
        <f>SUM(N27:R27)</f>
        <v>6.9</v>
      </c>
      <c r="T27" s="939" t="n"/>
      <c r="U27" s="949" t="n"/>
      <c r="V27" s="950" t="n"/>
      <c r="W27" s="963">
        <f>S27</f>
        <v>6.9</v>
      </c>
      <c r="X27" s="951">
        <f>W27</f>
        <v>6.9</v>
      </c>
    </row>
    <row r="28" ht="39" customHeight="1" s="866">
      <c r="B28" s="952" t="n"/>
      <c r="C28" s="953" t="n"/>
      <c r="D28" s="959" t="inlineStr">
        <is>
          <t>Cyber Risk and Operations</t>
        </is>
      </c>
      <c r="E28" s="960" t="n"/>
      <c r="F28" s="961" t="inlineStr">
        <is>
          <t>Frances Bouzo</t>
        </is>
      </c>
      <c r="G28" s="960" t="n"/>
      <c r="H28" s="960" t="n"/>
      <c r="I28" s="956" t="n">
        <v>7.6</v>
      </c>
      <c r="J28" s="956" t="n">
        <v>0.2</v>
      </c>
      <c r="K28" s="956" t="n">
        <v>4.3</v>
      </c>
      <c r="L28" s="956" t="n">
        <v>2</v>
      </c>
      <c r="M28" s="956" t="n">
        <v>2.9</v>
      </c>
      <c r="N28" s="956">
        <f>SUM(I28:M28)</f>
        <v>17</v>
      </c>
      <c r="O28" s="956" t="inlineStr">
        <is>
          <t>-</t>
        </is>
      </c>
      <c r="P28" s="950" t="n"/>
      <c r="Q28" s="950" t="n"/>
      <c r="R28" s="957" t="n"/>
      <c r="S28" s="962">
        <f>SUM(N28:R28)</f>
        <v>17</v>
      </c>
      <c r="T28" s="939" t="n"/>
      <c r="U28" s="949" t="n"/>
      <c r="V28" s="950" t="n"/>
      <c r="W28" s="963">
        <f>S28</f>
        <v>17</v>
      </c>
      <c r="X28" s="951">
        <f>W28</f>
        <v>17</v>
      </c>
    </row>
    <row r="29" ht="52.5" customHeight="1" s="866">
      <c r="B29" s="933" t="n"/>
      <c r="C29" s="935" t="n"/>
      <c r="D29" s="965" t="inlineStr">
        <is>
          <t>Business Partnering and Governance</t>
        </is>
      </c>
      <c r="E29" s="966" t="n"/>
      <c r="F29" s="967" t="inlineStr">
        <is>
          <t>Michael Schofield</t>
        </is>
      </c>
      <c r="G29" s="966" t="n"/>
      <c r="H29" s="966" t="n"/>
      <c r="I29" s="968" t="n">
        <v>2.3</v>
      </c>
      <c r="J29" s="968" t="inlineStr">
        <is>
          <t>-</t>
        </is>
      </c>
      <c r="K29" s="968" t="inlineStr">
        <is>
          <t>-</t>
        </is>
      </c>
      <c r="L29" s="968" t="inlineStr">
        <is>
          <t>-</t>
        </is>
      </c>
      <c r="M29" s="968" t="inlineStr">
        <is>
          <t>-</t>
        </is>
      </c>
      <c r="N29" s="968">
        <f>SUM(I29:M29)</f>
        <v>2.3</v>
      </c>
      <c r="O29" s="968" t="inlineStr">
        <is>
          <t>-</t>
        </is>
      </c>
      <c r="P29" s="969" t="n"/>
      <c r="Q29" s="969" t="n"/>
      <c r="R29" s="970" t="n"/>
      <c r="S29" s="971">
        <f>SUM(N29:R29)</f>
        <v>2.3</v>
      </c>
      <c r="T29" s="972" t="n"/>
      <c r="U29" s="973" t="n"/>
      <c r="V29" s="969" t="n"/>
      <c r="W29" s="974">
        <f>S29</f>
        <v>2.3</v>
      </c>
      <c r="X29" s="975">
        <f>W29</f>
        <v>2.3</v>
      </c>
    </row>
    <row r="30" ht="13.5" customHeight="1" s="866">
      <c r="B30" s="976" t="inlineStr">
        <is>
          <t>TDD Corporate (1)</t>
        </is>
      </c>
      <c r="C30" s="925" t="n"/>
      <c r="D30" s="977" t="n"/>
      <c r="E30" s="978" t="inlineStr">
        <is>
          <t>Brad Blyth</t>
        </is>
      </c>
      <c r="F30" s="979" t="n"/>
      <c r="G30" s="979" t="n"/>
      <c r="H30" s="979" t="n"/>
      <c r="I30" s="980">
        <f>G5</f>
        <v>35.2</v>
      </c>
      <c r="J30" s="980">
        <f>H5</f>
        <v>2.9</v>
      </c>
      <c r="K30" s="980">
        <f>I5</f>
        <v>25.6</v>
      </c>
      <c r="L30" s="980">
        <f>J5</f>
        <v>2.1</v>
      </c>
      <c r="M30" s="980">
        <f>K5</f>
        <v>13.1</v>
      </c>
      <c r="N30" s="980">
        <f>L5</f>
        <v>78.9</v>
      </c>
      <c r="O30" s="980">
        <f>M5</f>
        <v>5.8</v>
      </c>
      <c r="P30" s="980">
        <f>N5</f>
        <v>3</v>
      </c>
      <c r="Q30" s="980">
        <f>O5</f>
        <v>20.2</v>
      </c>
      <c r="R30" s="981">
        <f>P5</f>
        <v>4.9</v>
      </c>
      <c r="S30" s="937">
        <f>Q5</f>
        <v>112.8</v>
      </c>
      <c r="T30" s="982" t="n"/>
      <c r="U30" s="983" t="n"/>
      <c r="V30" s="984" t="n"/>
      <c r="W30" s="980">
        <f>U5</f>
        <v>91.6</v>
      </c>
      <c r="X30" s="981">
        <f>W30</f>
        <v>91.6</v>
      </c>
    </row>
    <row r="31" ht="13.5" customHeight="1" s="866">
      <c r="B31" s="985" t="n"/>
      <c r="C31" s="986" t="inlineStr">
        <is>
          <t>Z-Energy (Direct TDD)</t>
        </is>
      </c>
      <c r="D31" s="881" t="n"/>
      <c r="E31" s="987" t="n"/>
      <c r="F31" s="987" t="n"/>
      <c r="G31" s="987" t="n"/>
      <c r="H31" s="987" t="n"/>
      <c r="I31" s="945" t="n">
        <v>17.6</v>
      </c>
      <c r="J31" s="945" t="n">
        <v>12.1</v>
      </c>
      <c r="K31" s="945" t="n">
        <v>6.3</v>
      </c>
      <c r="L31" s="945" t="n">
        <v>0.6</v>
      </c>
      <c r="M31" s="945" t="n">
        <v>2.6</v>
      </c>
      <c r="N31" s="945" t="n">
        <v>39.3</v>
      </c>
      <c r="O31" s="945" t="n">
        <v>11.3</v>
      </c>
      <c r="P31" s="945" t="n">
        <v>1.4</v>
      </c>
      <c r="Q31" s="946" t="n"/>
      <c r="R31" s="988" t="n">
        <v>11.7</v>
      </c>
      <c r="S31" s="989" t="n">
        <v>63.7</v>
      </c>
      <c r="T31" s="990" t="n"/>
      <c r="U31" s="991" t="n"/>
      <c r="V31" s="946" t="n"/>
      <c r="W31" s="946" t="n"/>
      <c r="X31" s="992" t="inlineStr">
        <is>
          <t>-</t>
        </is>
      </c>
    </row>
    <row r="32" ht="13.5" customHeight="1" s="866">
      <c r="B32" s="993" t="n"/>
      <c r="C32" s="994" t="inlineStr">
        <is>
          <t>Z-Energy (Other IT Spend for Supplies, Customer)</t>
        </is>
      </c>
      <c r="D32" s="995" t="n"/>
      <c r="E32" s="996" t="n"/>
      <c r="F32" s="996" t="n"/>
      <c r="G32" s="996" t="n"/>
      <c r="H32" s="996" t="n"/>
      <c r="I32" s="969" t="n"/>
      <c r="J32" s="968" t="n">
        <v>7.6</v>
      </c>
      <c r="K32" s="968" t="n">
        <v>5.3</v>
      </c>
      <c r="L32" s="969" t="n"/>
      <c r="M32" s="969" t="n"/>
      <c r="N32" s="968" t="n">
        <v>13</v>
      </c>
      <c r="O32" s="969" t="n"/>
      <c r="P32" s="969" t="n"/>
      <c r="Q32" s="969" t="n"/>
      <c r="R32" s="970" t="n"/>
      <c r="S32" s="997" t="n">
        <v>13</v>
      </c>
      <c r="T32" s="972" t="n"/>
      <c r="U32" s="973" t="n"/>
      <c r="V32" s="969" t="n"/>
      <c r="W32" s="969" t="n"/>
      <c r="X32" s="975" t="inlineStr">
        <is>
          <t>-</t>
        </is>
      </c>
    </row>
    <row r="33" ht="13.5" customHeight="1" s="866">
      <c r="B33" s="976" t="inlineStr">
        <is>
          <t>Z-Energy (2)</t>
        </is>
      </c>
      <c r="C33" s="925" t="n"/>
      <c r="D33" s="977" t="n"/>
      <c r="E33" s="978" t="inlineStr">
        <is>
          <t>Lindis Jones</t>
        </is>
      </c>
      <c r="F33" s="978" t="inlineStr">
        <is>
          <t>Vance Anderson</t>
        </is>
      </c>
      <c r="G33" s="979" t="n"/>
      <c r="H33" s="979" t="n"/>
      <c r="I33" s="980">
        <f>G6</f>
        <v>17.6</v>
      </c>
      <c r="J33" s="980">
        <f>H6</f>
        <v>19.8</v>
      </c>
      <c r="K33" s="980">
        <f>I6</f>
        <v>11.6</v>
      </c>
      <c r="L33" s="980">
        <f>J6</f>
        <v>0.6</v>
      </c>
      <c r="M33" s="980">
        <f>K6</f>
        <v>2.6</v>
      </c>
      <c r="N33" s="980">
        <f>L6</f>
        <v>52.2</v>
      </c>
      <c r="O33" s="980">
        <f>M6</f>
        <v>11.3</v>
      </c>
      <c r="P33" s="980">
        <f>N6</f>
        <v>1.4</v>
      </c>
      <c r="Q33" s="980" t="str">
        <f>O6</f>
        <v>-</v>
      </c>
      <c r="R33" s="981">
        <f>P6</f>
        <v>11.7</v>
      </c>
      <c r="S33" s="937">
        <f>Q6</f>
        <v>76.6</v>
      </c>
      <c r="T33" s="982" t="n"/>
      <c r="U33" s="998">
        <f>S6</f>
        <v>76.6</v>
      </c>
      <c r="V33" s="984" t="n"/>
      <c r="W33" s="984" t="n"/>
      <c r="X33" s="981">
        <f>U33</f>
        <v>76.6</v>
      </c>
    </row>
    <row r="35" ht="12.75" customHeight="1" s="866">
      <c r="B35" s="999" t="n"/>
    </row>
  </sheetData>
  <mergeCells count="29">
    <mergeCell ref="E17:E18"/>
    <mergeCell ref="G17:G18"/>
    <mergeCell ref="N3:N4"/>
    <mergeCell ref="F3:F4"/>
    <mergeCell ref="G3:L3"/>
    <mergeCell ref="U17:U18"/>
    <mergeCell ref="H17:H18"/>
    <mergeCell ref="F17:F18"/>
    <mergeCell ref="M3:M4"/>
    <mergeCell ref="P17:P18"/>
    <mergeCell ref="R17:R18"/>
    <mergeCell ref="I17:N17"/>
    <mergeCell ref="D3:D4"/>
    <mergeCell ref="U3:U4"/>
    <mergeCell ref="B30:D30"/>
    <mergeCell ref="C31:D31"/>
    <mergeCell ref="B17:D18"/>
    <mergeCell ref="B33:D33"/>
    <mergeCell ref="P3:P4"/>
    <mergeCell ref="O17:O18"/>
    <mergeCell ref="Q17:Q18"/>
    <mergeCell ref="T3:T4"/>
    <mergeCell ref="C32:D32"/>
    <mergeCell ref="C3:C4"/>
    <mergeCell ref="O3:O4"/>
    <mergeCell ref="E3:E4"/>
    <mergeCell ref="V17:V18"/>
    <mergeCell ref="S3:S4"/>
    <mergeCell ref="B19:C29"/>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808080"/>
    <outlinePr summaryBelow="1" summaryRight="1"/>
    <pageSetUpPr fitToPage="1"/>
  </sheetPr>
  <dimension ref="B2:L28"/>
  <sheetViews>
    <sheetView showFormulas="0" showGridLines="0" showRowColHeaders="1" showZeros="1" rightToLeft="0" tabSelected="0" showOutlineSymbols="1" defaultGridColor="1" view="normal" topLeftCell="A6" colorId="64" zoomScale="120" zoomScaleNormal="120" zoomScalePageLayoutView="100" workbookViewId="0">
      <selection pane="topLeft" activeCell="G23" activeCellId="0" sqref="G23"/>
    </sheetView>
  </sheetViews>
  <sheetFormatPr baseColWidth="8" defaultColWidth="8.54296875" defaultRowHeight="14.25" zeroHeight="0" outlineLevelRow="0"/>
  <cols>
    <col width="2" customWidth="1" style="866" min="1" max="1"/>
    <col width="46" customWidth="1" style="865" min="2" max="2"/>
    <col width="9" customWidth="1" style="865" min="3" max="7"/>
    <col width="9" customWidth="1" style="866" min="4" max="4"/>
    <col width="9" customWidth="1" style="866" min="5" max="5"/>
    <col width="24" customWidth="1" style="866" min="6" max="6"/>
    <col width="9" customWidth="1" style="866" min="7" max="7"/>
    <col width="20" customWidth="1" style="866" min="8" max="8"/>
    <col width="20" customWidth="1" style="865" min="9" max="9"/>
    <col width="9" customWidth="1" style="865" min="10" max="10"/>
    <col width="9" customWidth="1" style="865" min="11" max="11"/>
    <col width="9" customWidth="1" style="865" min="12" max="12"/>
    <col width="9" customWidth="1" style="866" min="13" max="13"/>
  </cols>
  <sheetData>
    <row r="1" s="866"/>
    <row r="2" ht="18" customHeight="1" s="866">
      <c r="B2" s="1000" t="inlineStr">
        <is>
          <t>Data Config</t>
        </is>
      </c>
      <c r="C2" s="865" t="n"/>
      <c r="D2" s="865" t="n"/>
      <c r="E2" s="865" t="n"/>
      <c r="F2" s="865" t="n"/>
      <c r="G2" s="865" t="n"/>
      <c r="H2" s="865" t="n"/>
      <c r="I2" s="865" t="n"/>
      <c r="J2" s="865" t="n"/>
      <c r="K2" s="865" t="n"/>
      <c r="L2" s="865" t="n"/>
    </row>
    <row r="3" s="866"/>
    <row r="4" ht="19" customHeight="1" s="866">
      <c r="B4" s="1001" t="inlineStr">
        <is>
          <t>TDD Budget Allocation ($m)</t>
        </is>
      </c>
      <c r="H4" s="865" t="n"/>
      <c r="I4" s="1002" t="inlineStr">
        <is>
          <t>Portfolio Overhead (roles, $m)</t>
        </is>
      </c>
      <c r="J4" s="1003" t="n"/>
      <c r="K4" s="1003" t="n"/>
      <c r="L4" s="1004" t="n"/>
    </row>
    <row r="5" ht="48" customHeight="1" s="866">
      <c r="B5" s="1320" t="inlineStr">
        <is>
          <t>Portfolio</t>
        </is>
      </c>
      <c r="C5" s="1320" t="inlineStr">
        <is>
          <t>AU</t>
        </is>
      </c>
      <c r="D5" s="1320" t="inlineStr">
        <is>
          <t>NZ</t>
        </is>
      </c>
      <c r="E5" s="1320" t="inlineStr">
        <is>
          <t>Total</t>
        </is>
      </c>
      <c r="F5" s="1817" t="inlineStr">
        <is>
          <t>Actual cost ($m)</t>
        </is>
      </c>
      <c r="G5" s="1817" t="inlineStr">
        <is>
          <t>Over/(under) budget ($m)</t>
        </is>
      </c>
      <c r="H5" s="865" t="n"/>
      <c r="I5" s="1319" t="inlineStr">
        <is>
          <t>Role</t>
        </is>
      </c>
      <c r="J5" s="1319" t="inlineStr">
        <is>
          <t>Cost ($m)</t>
        </is>
      </c>
      <c r="K5" s="1319" t="inlineStr">
        <is>
          <t>Allocation %</t>
        </is>
      </c>
      <c r="L5" s="1319" t="inlineStr">
        <is>
          <t>Portfolio cost ($m)</t>
        </is>
      </c>
    </row>
    <row r="6" ht="14.25" customHeight="1" s="866">
      <c r="B6" s="1015" t="inlineStr">
        <is>
          <t>COE - Strategy Architecture</t>
        </is>
      </c>
      <c r="C6" s="1818" t="n">
        <v>1.5</v>
      </c>
      <c r="D6" s="1818" t="n">
        <v>0.5</v>
      </c>
      <c r="E6" s="1016">
        <f>C6+D6</f>
        <v>2</v>
      </c>
      <c r="F6" s="1016">
        <f>SUMIFS('REVIEW - Complete Role Mapping'!$AA$2:$AA$528,'REVIEW - Complete Role Mapping'!$AJ$2:$AJ$528,"COE SA&amp;D")/1000000</f>
        <v>6.529494052</v>
      </c>
      <c r="G6" s="1869">
        <f>$F6-$E6</f>
        <v>4.529494052</v>
      </c>
      <c r="H6" s="865" t="n"/>
      <c r="I6" s="1012" t="inlineStr">
        <is>
          <t>Head of Tech</t>
        </is>
      </c>
      <c r="J6" s="1818" t="n">
        <v>0.275</v>
      </c>
      <c r="K6" s="1819" t="n">
        <v>0.5</v>
      </c>
      <c r="L6" s="1014">
        <f>J6*K6</f>
        <v>0.1375</v>
      </c>
    </row>
    <row r="7" ht="14.25" customHeight="1" s="866">
      <c r="B7" s="1015" t="inlineStr">
        <is>
          <t>COE - Cyber, Risk &amp; Service Ops (see 1.13 Cyber Roles)</t>
        </is>
      </c>
      <c r="C7" s="1818" t="n">
        <v>0</v>
      </c>
      <c r="D7" s="1818" t="n">
        <v>0</v>
      </c>
      <c r="E7" s="1016">
        <f>C7+D7</f>
        <v>0</v>
      </c>
      <c r="F7" s="1016" t="n">
        <v>0</v>
      </c>
      <c r="G7" s="1869">
        <f>$F7-$E7</f>
        <v>0</v>
      </c>
      <c r="H7" s="865" t="n"/>
      <c r="I7" s="1012" t="inlineStr">
        <is>
          <t>Business Partner</t>
        </is>
      </c>
      <c r="J7" s="1818" t="n">
        <v>0.44</v>
      </c>
      <c r="K7" s="1819" t="n">
        <v>0.5</v>
      </c>
      <c r="L7" s="1014">
        <f>J7*K7</f>
        <v>0.22</v>
      </c>
    </row>
    <row r="8" ht="14.25" customHeight="1" s="866">
      <c r="B8" s="1015" t="inlineStr">
        <is>
          <t>COE - Transformation</t>
        </is>
      </c>
      <c r="C8" s="1818" t="n">
        <v>1.5</v>
      </c>
      <c r="D8" s="1818" t="n">
        <v>0.5</v>
      </c>
      <c r="E8" s="1016">
        <f>C8+D8</f>
        <v>2</v>
      </c>
      <c r="F8" s="1016">
        <f>SUMIFS('REVIEW - Complete Role Mapping'!$AA$2:$AA$528,'REVIEW - Complete Role Mapping'!$AJ$2:$AJ$528,"COE BP&amp;T")/1000000</f>
        <v>6.400561822</v>
      </c>
      <c r="G8" s="1869">
        <f>$F8-$E8</f>
        <v>4.400561822</v>
      </c>
      <c r="H8" s="865" t="n"/>
      <c r="I8" s="1012" t="inlineStr">
        <is>
          <t>Domain Architect</t>
        </is>
      </c>
      <c r="J8" s="1818" t="n">
        <v>0.28</v>
      </c>
      <c r="K8" s="1819" t="n">
        <v>0.5</v>
      </c>
      <c r="L8" s="1014">
        <f>J8*K8</f>
        <v>0.14</v>
      </c>
    </row>
    <row r="9" ht="14.25" customHeight="1" s="866">
      <c r="B9" s="1015" t="inlineStr">
        <is>
          <t>COE - Business Partnering</t>
        </is>
      </c>
      <c r="C9" s="1818" t="n">
        <v>1.5</v>
      </c>
      <c r="D9" s="1818" t="n">
        <v>0.5</v>
      </c>
      <c r="E9" s="1016">
        <f>C9+D9</f>
        <v>2</v>
      </c>
      <c r="F9" s="1016" t="n">
        <v>0</v>
      </c>
      <c r="G9" s="1869">
        <f>$F9-$E9</f>
        <v>-2</v>
      </c>
      <c r="H9" s="1861" t="n"/>
      <c r="I9" s="1012" t="inlineStr">
        <is>
          <t>Leadership Overhead</t>
        </is>
      </c>
      <c r="J9" s="1818" t="n">
        <v>1</v>
      </c>
      <c r="K9" s="1819" t="n">
        <v>0.3</v>
      </c>
      <c r="L9" s="1014">
        <f>J9*K9</f>
        <v>0.3</v>
      </c>
    </row>
    <row r="10" ht="14.25" customHeight="1" s="866">
      <c r="B10" s="1015" t="inlineStr">
        <is>
          <t>COE - Data</t>
        </is>
      </c>
      <c r="C10" s="1818" t="n">
        <v>1.5</v>
      </c>
      <c r="D10" s="1818" t="n">
        <v>0.5</v>
      </c>
      <c r="E10" s="1016">
        <f>C10+D10</f>
        <v>2</v>
      </c>
      <c r="F10" s="1016" t="n">
        <v>0</v>
      </c>
      <c r="G10" s="1869">
        <f>$F10-$E10</f>
        <v>-2</v>
      </c>
      <c r="H10" s="1861" t="n"/>
      <c r="I10" s="1017" t="inlineStr">
        <is>
          <t>Portfolio overhead subtotal</t>
        </is>
      </c>
      <c r="J10" s="865" t="n"/>
      <c r="K10" s="865" t="n"/>
      <c r="L10" s="1018">
        <f>SUM(L6:L9)</f>
        <v>0.7975</v>
      </c>
    </row>
    <row r="11" ht="14.25" customHeight="1" s="866">
      <c r="B11" s="1015" t="inlineStr">
        <is>
          <t>Ampol Retail</t>
        </is>
      </c>
      <c r="C11" s="1818" t="n">
        <v>5.5</v>
      </c>
      <c r="D11" s="1818" t="n">
        <v>0</v>
      </c>
      <c r="E11" s="1016">
        <f>C11+D11</f>
        <v>5.5</v>
      </c>
      <c r="F11" s="1016">
        <f>SUMIFS('REVIEW - Complete Role Mapping'!$AA$2:$AA$528,'REVIEW - Complete Role Mapping'!$AJ$2:$AJ$528,"Ampol Retail")/1000000</f>
        <v>14.005227457</v>
      </c>
      <c r="G11" s="1870">
        <f>$F11-$E11</f>
        <v>8.505227457</v>
      </c>
      <c r="H11" s="865" t="n"/>
      <c r="I11" s="865" t="n"/>
      <c r="J11" s="865" t="n"/>
      <c r="K11" s="865" t="n"/>
      <c r="L11" s="865" t="n"/>
    </row>
    <row r="12" ht="14.25" customHeight="1" s="866">
      <c r="B12" s="1015" t="inlineStr">
        <is>
          <t>Z Retail</t>
        </is>
      </c>
      <c r="C12" s="1818" t="n">
        <v>0</v>
      </c>
      <c r="D12" s="1818" t="n">
        <v>6.5</v>
      </c>
      <c r="E12" s="1016">
        <f>C12+D12</f>
        <v>6.5</v>
      </c>
      <c r="F12" s="1016">
        <f>SUMIFS('REVIEW - Complete Role Mapping'!$AA$2:$AA$528,'REVIEW - Complete Role Mapping'!$AJ$2:$AJ$528,"Z Retail")/1000000</f>
        <v>7.337294352</v>
      </c>
      <c r="G12" s="1870">
        <f>$F12-$E12</f>
        <v>0.837294352</v>
      </c>
      <c r="H12" s="865" t="n"/>
      <c r="I12" s="1002" t="inlineStr">
        <is>
          <t>Platform Overhead (roles, $m)</t>
        </is>
      </c>
      <c r="J12" s="1003" t="n"/>
      <c r="K12" s="1003" t="n"/>
      <c r="L12" s="1004" t="n"/>
    </row>
    <row r="13" ht="48" customHeight="1" s="866">
      <c r="B13" s="1402" t="inlineStr">
        <is>
          <t>Ampol Customer</t>
        </is>
      </c>
      <c r="C13" s="1818" t="n">
        <v>2.5</v>
      </c>
      <c r="D13" s="1818" t="n">
        <v>0</v>
      </c>
      <c r="E13" s="1821">
        <f>C13+D13</f>
        <v>2.5</v>
      </c>
      <c r="F13" s="1821">
        <f>SUMIFS('REVIEW - Complete Role Mapping'!$AA$2:$AA$528,'REVIEW - Complete Role Mapping'!$AJ$2:$AJ$528,"Customer")/1000000</f>
        <v>17.12686714</v>
      </c>
      <c r="G13" s="1821">
        <f>$F13-$E13</f>
        <v>14.62686714</v>
      </c>
      <c r="H13" s="1861" t="n"/>
      <c r="I13" s="1319" t="inlineStr">
        <is>
          <t>Role</t>
        </is>
      </c>
      <c r="J13" s="1319" t="inlineStr">
        <is>
          <t>Cost ($m)</t>
        </is>
      </c>
      <c r="K13" s="1319" t="inlineStr">
        <is>
          <t>Alloc %</t>
        </is>
      </c>
      <c r="L13" s="1319" t="inlineStr">
        <is>
          <t>Platform cost ($m)</t>
        </is>
      </c>
    </row>
    <row r="14" ht="14.25" customHeight="1" s="866">
      <c r="B14" s="1015" t="inlineStr">
        <is>
          <t>Z Customer</t>
        </is>
      </c>
      <c r="C14" s="1818" t="n">
        <v>0</v>
      </c>
      <c r="D14" s="1818" t="n">
        <v>4</v>
      </c>
      <c r="E14" s="1016">
        <f>C14+D14</f>
        <v>4</v>
      </c>
      <c r="F14" s="1016" t="n">
        <v>0</v>
      </c>
      <c r="G14" s="1016" t="n"/>
      <c r="H14" s="1861" t="n"/>
      <c r="I14" s="1012" t="inlineStr">
        <is>
          <t>Delivery Manager</t>
        </is>
      </c>
      <c r="J14" s="1818" t="n">
        <v>0.28</v>
      </c>
      <c r="K14" s="1819" t="n">
        <v>0.3</v>
      </c>
      <c r="L14" s="1014">
        <f>J14*K14</f>
        <v>0.084</v>
      </c>
    </row>
    <row r="15" ht="14.25" customHeight="1" s="866">
      <c r="B15" s="1015" t="inlineStr">
        <is>
          <t>Commercial Fuels</t>
        </is>
      </c>
      <c r="C15" s="1818" t="n">
        <v>2.5</v>
      </c>
      <c r="D15" s="1818" t="n">
        <v>0</v>
      </c>
      <c r="E15" s="1016">
        <f>C15+D15</f>
        <v>2.5</v>
      </c>
      <c r="F15" s="1016">
        <f>SUMIFS('REVIEW - Complete Role Mapping'!$AA$2:$AA$528,'REVIEW - Complete Role Mapping'!$AJ$2:$AJ$528,"Commercial Fuels")/1000000</f>
        <v>10.1976697287</v>
      </c>
      <c r="G15" s="1870">
        <f>$F15-$E15</f>
        <v>7.6976697287</v>
      </c>
      <c r="H15" s="865" t="n"/>
      <c r="I15" s="1012" t="inlineStr">
        <is>
          <t>Tech Manager</t>
        </is>
      </c>
      <c r="J15" s="1818" t="n">
        <v>0.27</v>
      </c>
      <c r="K15" s="1819" t="n">
        <v>0.3</v>
      </c>
      <c r="L15" s="1014">
        <f>J15*K15</f>
        <v>0.081</v>
      </c>
    </row>
    <row r="16" ht="14.25" customHeight="1" s="866">
      <c r="B16" s="1015" t="inlineStr">
        <is>
          <t>Energy Solutions &amp; B2B</t>
        </is>
      </c>
      <c r="C16" s="1818" t="n">
        <v>2.5</v>
      </c>
      <c r="D16" s="1818" t="n">
        <v>0</v>
      </c>
      <c r="E16" s="1016">
        <f>C16+D16</f>
        <v>2.5</v>
      </c>
      <c r="F16" s="1016">
        <f>SUMIFS('REVIEW - Complete Role Mapping'!$AA$2:$AA$528,'REVIEW - Complete Role Mapping'!$AJ$2:$AJ$528,"Energy Solutions &amp; B2B")/1000000</f>
        <v>6.447816278</v>
      </c>
      <c r="G16" s="1870">
        <f>$F16-$E16</f>
        <v>3.947816278</v>
      </c>
      <c r="H16" s="865" t="n"/>
      <c r="I16" s="1017" t="inlineStr">
        <is>
          <t>Platform overhead subtotal (per platform)</t>
        </is>
      </c>
      <c r="J16" s="865" t="n"/>
      <c r="K16" s="865" t="n"/>
      <c r="L16" s="1018">
        <f>SUM(L14:L15)</f>
        <v>0.165</v>
      </c>
    </row>
    <row r="17" ht="14.25" customHeight="1" s="866">
      <c r="B17" s="1015" t="inlineStr">
        <is>
          <t>Infrastructure</t>
        </is>
      </c>
      <c r="C17" s="1818" t="n">
        <v>2.5</v>
      </c>
      <c r="D17" s="1818" t="n">
        <v>0</v>
      </c>
      <c r="E17" s="1016">
        <f>C17+D17</f>
        <v>2.5</v>
      </c>
      <c r="F17" s="1016">
        <f>SUMIFS('REVIEW - Complete Role Mapping'!$AA$2:$AA$528,'REVIEW - Complete Role Mapping'!$AJ$2:$AJ$528,"Infrastructure")/1000000</f>
        <v>7.74836354</v>
      </c>
      <c r="G17" s="1870">
        <f>$F17-$E17</f>
        <v>5.24836354</v>
      </c>
    </row>
    <row r="18" ht="14.25" customHeight="1" s="866">
      <c r="B18" s="1015" t="inlineStr">
        <is>
          <t>P&amp;C</t>
        </is>
      </c>
      <c r="C18" s="1818" t="n">
        <v>1</v>
      </c>
      <c r="D18" s="1818" t="n">
        <v>1</v>
      </c>
      <c r="E18" s="1016">
        <f>C18+D18</f>
        <v>2</v>
      </c>
      <c r="F18" s="1016">
        <f>SUMIFS('REVIEW - Complete Role Mapping'!$AA$2:$AA$528,'REVIEW - Complete Role Mapping'!$AJ$2:$AJ$528,"P&amp;C")/1000000</f>
        <v>4.18444088</v>
      </c>
      <c r="G18" s="1870">
        <f>$F18-$E18</f>
        <v>2.18444088</v>
      </c>
    </row>
    <row r="19" ht="14.25" customHeight="1" s="866">
      <c r="B19" s="1015" t="inlineStr">
        <is>
          <t>Finance</t>
        </is>
      </c>
      <c r="C19" s="1818" t="n">
        <v>1</v>
      </c>
      <c r="D19" s="1818" t="n">
        <v>1</v>
      </c>
      <c r="E19" s="1016">
        <f>C19+D19</f>
        <v>2</v>
      </c>
      <c r="F19" s="1016">
        <f>SUMIFS('REVIEW - Complete Role Mapping'!$AA$2:$AA$528,'REVIEW - Complete Role Mapping'!$AJ$2:$AJ$528,"Finance")/1000000</f>
        <v>3.844616116</v>
      </c>
      <c r="G19" s="1870">
        <f>$F19-$E19</f>
        <v>1.844616116</v>
      </c>
    </row>
    <row r="20" ht="14.25" customHeight="1" s="866">
      <c r="B20" s="1015" t="inlineStr">
        <is>
          <t>Legal</t>
        </is>
      </c>
      <c r="C20" s="1818" t="n">
        <v>0</v>
      </c>
      <c r="D20" s="1818" t="n">
        <v>0</v>
      </c>
      <c r="E20" s="1016">
        <f>C20+D20</f>
        <v>0</v>
      </c>
      <c r="F20" s="1016" t="n">
        <v>0</v>
      </c>
      <c r="G20" s="1016">
        <f>$F20-$E20</f>
        <v>0</v>
      </c>
    </row>
    <row r="21" ht="14.25" customHeight="1" s="866">
      <c r="B21" s="1015" t="inlineStr">
        <is>
          <t>TDD</t>
        </is>
      </c>
      <c r="C21" s="1818" t="n">
        <v>4.5</v>
      </c>
      <c r="D21" s="1818" t="n">
        <v>1</v>
      </c>
      <c r="E21" s="1016">
        <f>C21+D21</f>
        <v>5.5</v>
      </c>
      <c r="F21" s="1016">
        <f>SUMIFS('REVIEW - Complete Role Mapping'!$AA$2:$AA$528,'REVIEW - Complete Role Mapping'!$AJ$2:$AJ$528,"TDD Group Functions")/1000000</f>
        <v>10.2009694824</v>
      </c>
      <c r="G21" s="1016">
        <f>$F21-$E21</f>
        <v>4.7009694824</v>
      </c>
    </row>
    <row r="22" ht="14.25" customHeight="1" s="866">
      <c r="B22" s="1015" t="inlineStr">
        <is>
          <t>TDD Data</t>
        </is>
      </c>
      <c r="C22" s="1818" t="n">
        <v>2.5</v>
      </c>
      <c r="D22" s="1818" t="n">
        <v>1</v>
      </c>
      <c r="E22" s="1016">
        <f>C22+D22</f>
        <v>3.5</v>
      </c>
      <c r="F22" s="1016">
        <f>SUMIFS('REVIEW - Complete Role Mapping'!$AA$2:$AA$528,'REVIEW - Complete Role Mapping'!$AJ$2:$AJ$528,"Enterprise Data")/1000000</f>
        <v>6.418403776</v>
      </c>
      <c r="G22" s="1016">
        <f>$F22-$E22</f>
        <v>2.918403776</v>
      </c>
    </row>
    <row r="23" ht="14.25" customHeight="1" s="866">
      <c r="B23" s="1823" t="inlineStr">
        <is>
          <t>TDD Cyber</t>
        </is>
      </c>
      <c r="C23" s="1818" t="n">
        <v>2.5</v>
      </c>
      <c r="D23" s="1818" t="n">
        <v>1</v>
      </c>
      <c r="E23" s="1016">
        <f>C23+D23</f>
        <v>3.5</v>
      </c>
      <c r="F23" s="1016">
        <f>SUMIFS('REVIEW - Complete Role Mapping'!$AA$2:$AA$528,'REVIEW - Complete Role Mapping'!$AJ$2:$AJ$528,"COE Cyber")/1000000</f>
        <v>9.897858294</v>
      </c>
      <c r="G23" s="1870">
        <f>$F23-$E23</f>
        <v>6.397858294</v>
      </c>
    </row>
    <row r="24" ht="14.25" customHeight="1" s="866">
      <c r="B24" s="1015" t="n"/>
      <c r="C24" s="1814" t="n"/>
      <c r="D24" s="1814" t="n"/>
      <c r="E24" s="1016" t="n"/>
      <c r="F24" s="1016" t="n"/>
      <c r="G24" s="1016" t="n"/>
    </row>
    <row r="25" ht="14.25" customHeight="1" s="866">
      <c r="B25" s="1015" t="inlineStr">
        <is>
          <t>EGI</t>
        </is>
      </c>
      <c r="C25" s="1818" t="n">
        <v>0</v>
      </c>
      <c r="D25" s="1818" t="n">
        <v>0</v>
      </c>
      <c r="E25" s="1016">
        <f>C25+D25</f>
        <v>0</v>
      </c>
      <c r="F25" s="1016">
        <f>SUMIFS('REVIEW - Complete Role Mapping'!$AA$2:$AA$528,'REVIEW - Complete Role Mapping'!$AJ$2:$AJ$528,"EGI")/1000000</f>
        <v>4.94341935</v>
      </c>
      <c r="G25" s="1016">
        <f>$F25-$E25</f>
        <v>4.94341935</v>
      </c>
    </row>
    <row r="26" ht="14.25" customHeight="1" s="866">
      <c r="B26" s="1871" t="inlineStr">
        <is>
          <t>Total</t>
        </is>
      </c>
      <c r="C26" s="1872">
        <f>SUM(C6:C25)</f>
        <v>33</v>
      </c>
      <c r="D26" s="1872">
        <f>SUM(D6:D25)</f>
        <v>17.5</v>
      </c>
      <c r="E26" s="1872">
        <f>SUM(E6:E25)</f>
        <v>50.5</v>
      </c>
      <c r="F26" s="1872">
        <f>SUM(F6:F25)</f>
        <v>115.2830022681</v>
      </c>
      <c r="G26" s="1873">
        <f>$F26-$E26</f>
        <v>64.7830022681</v>
      </c>
    </row>
    <row r="27" ht="14.25" customHeight="1" s="866">
      <c r="B27" s="1824" t="inlineStr">
        <is>
          <t>Budget</t>
        </is>
      </c>
      <c r="C27" s="1825">
        <f>'0.1 Budget Table (Fin)'!G5+'0.1 Budget Table (Fin)'!G7</f>
        <v>36.2</v>
      </c>
      <c r="D27" s="1825">
        <f>'0.1 Budget Table (Fin)'!G6</f>
        <v>17.6</v>
      </c>
      <c r="E27" s="1825">
        <f>'0.1 Budget Table (Fin)'!G14</f>
        <v>53.8</v>
      </c>
      <c r="F27" s="1824" t="n"/>
      <c r="G27" s="865" t="n"/>
    </row>
    <row r="28" ht="14.25" customHeight="1" s="866">
      <c r="B28" s="865" t="inlineStr">
        <is>
          <t>Variance</t>
        </is>
      </c>
      <c r="C28" s="1026">
        <f>C27-C26</f>
        <v>3.2</v>
      </c>
      <c r="D28" s="1026">
        <f>D27-D26</f>
        <v>0.100000000000001</v>
      </c>
      <c r="E28" s="1026">
        <f>E27-E26</f>
        <v>3.3</v>
      </c>
      <c r="F28" s="1027" t="n"/>
      <c r="G28" s="1027" t="n"/>
    </row>
    <row r="29" s="866"/>
    <row r="30" s="866"/>
    <row r="31" s="866"/>
    <row r="32" s="866"/>
    <row r="33" s="866"/>
    <row r="34" s="866"/>
    <row r="35" s="866"/>
    <row r="36" s="866"/>
    <row r="37" s="866"/>
    <row r="38" s="866"/>
    <row r="39" s="866"/>
  </sheetData>
  <mergeCells count="3">
    <mergeCell ref="B4:G4"/>
    <mergeCell ref="I12:L12"/>
    <mergeCell ref="I4:L4"/>
  </mergeCells>
  <printOptions horizontalCentered="0" verticalCentered="0" headings="0" gridLines="0" gridLinesSet="1"/>
  <pageMargins left="0.75" right="0.75" top="1" bottom="1" header="0.511811023622047" footer="0.511811023622047"/>
  <pageSetup orientation="landscape"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808080"/>
    <outlinePr summaryBelow="1" summaryRight="1"/>
    <pageSetUpPr fitToPage="1"/>
  </sheetPr>
  <dimension ref="A2:K29"/>
  <sheetViews>
    <sheetView showFormulas="0" showGridLines="0" showRowColHeaders="1" showZeros="1" rightToLeft="0" tabSelected="0" showOutlineSymbols="1" defaultGridColor="1" view="normal" topLeftCell="B1" colorId="64" zoomScale="120" zoomScaleNormal="120" zoomScalePageLayoutView="100" workbookViewId="0">
      <selection pane="topLeft" activeCell="A1" activeCellId="0" sqref="A1"/>
    </sheetView>
  </sheetViews>
  <sheetFormatPr baseColWidth="8" defaultColWidth="8.54296875" defaultRowHeight="14.25" zeroHeight="0" outlineLevelRow="0"/>
  <cols>
    <col hidden="1" width="2" customWidth="1" style="865" min="1" max="1"/>
    <col width="9" customWidth="1" style="865" min="2" max="2"/>
    <col width="38" customWidth="1" style="865" min="3" max="3"/>
    <col width="9" customWidth="1" style="865" min="4" max="4"/>
    <col width="20" customWidth="1" style="865" min="5" max="5"/>
    <col width="9" customWidth="1" style="865" min="6" max="6"/>
    <col width="9" customWidth="1" style="865" min="7" max="7"/>
    <col width="9" customWidth="1" style="865" min="8" max="8"/>
    <col width="20" customWidth="1" style="865" min="9" max="9"/>
    <col width="9" customWidth="1" style="866" min="10" max="10"/>
    <col width="9" customWidth="1" style="866" min="11" max="11"/>
    <col width="9" customWidth="1" style="866" min="12" max="12"/>
    <col width="9" customWidth="1" style="866" min="13" max="13"/>
  </cols>
  <sheetData>
    <row r="2" ht="18" customHeight="1" s="866">
      <c r="A2" s="865" t="n"/>
      <c r="B2" s="1826" t="inlineStr">
        <is>
          <t>Squad Archetypes - the cost library</t>
        </is>
      </c>
      <c r="C2" s="1000" t="inlineStr">
        <is>
          <t>Squad Cost Lookup</t>
        </is>
      </c>
      <c r="D2" s="865" t="n"/>
      <c r="E2" s="865" t="n"/>
      <c r="F2" s="865" t="n"/>
      <c r="G2" s="865" t="n"/>
      <c r="H2" s="865" t="n"/>
      <c r="I2" s="865" t="n"/>
      <c r="J2" s="865" t="n"/>
      <c r="K2" s="865" t="n"/>
    </row>
    <row r="4" ht="34" customHeight="1" s="866">
      <c r="A4" s="1002" t="inlineStr">
        <is>
          <t>Key</t>
        </is>
      </c>
      <c r="B4" s="865" t="n"/>
      <c r="C4" s="1002" t="inlineStr">
        <is>
          <t>Squad Type</t>
        </is>
      </c>
      <c r="D4" s="1002" t="inlineStr">
        <is>
          <t>Size</t>
        </is>
      </c>
      <c r="E4" s="1002" t="inlineStr">
        <is>
          <t>Archetype</t>
        </is>
      </c>
      <c r="F4" s="1002" t="inlineStr">
        <is>
          <t># of roles</t>
        </is>
      </c>
      <c r="G4" s="1002" t="inlineStr">
        <is>
          <t>Onshore Cost ($m)</t>
        </is>
      </c>
      <c r="H4" s="1002" t="inlineStr">
        <is>
          <t>Offshore Cost ($m)</t>
        </is>
      </c>
      <c r="I4" s="1002" t="inlineStr">
        <is>
          <t>Use When</t>
        </is>
      </c>
      <c r="J4" s="865" t="n"/>
      <c r="K4" s="1827" t="inlineStr">
        <is>
          <t>Offshore rate</t>
        </is>
      </c>
    </row>
    <row r="5" ht="14.25" customHeight="1" s="866">
      <c r="A5" s="1012" t="str">
        <f>$C5&amp;"|"&amp;$D5</f>
        <v>Engineering|S</v>
      </c>
      <c r="B5" s="865" t="n"/>
      <c r="C5" s="1828" t="inlineStr">
        <is>
          <t>Engineering</t>
        </is>
      </c>
      <c r="D5" s="1828" t="inlineStr">
        <is>
          <t>S</t>
        </is>
      </c>
      <c r="E5" s="1828" t="inlineStr">
        <is>
          <t>Lean build squad</t>
        </is>
      </c>
      <c r="F5" s="1829" t="n">
        <v>4.5</v>
      </c>
      <c r="G5" s="1830" t="n">
        <v>0.8</v>
      </c>
      <c r="H5" s="1830">
        <f>G5*$K$5</f>
        <v>0.32</v>
      </c>
      <c r="I5" s="1828" t="inlineStr">
        <is>
          <t>Simple platforms, incremental changes</t>
        </is>
      </c>
      <c r="J5" s="865" t="n"/>
      <c r="K5" s="1032" t="n">
        <v>0.4</v>
      </c>
    </row>
    <row r="6" ht="14.25" customHeight="1" s="866">
      <c r="A6" s="1012" t="str">
        <f>$C6&amp;"|"&amp;$D6</f>
        <v>Engineering|M</v>
      </c>
      <c r="B6" s="865" t="n"/>
      <c r="C6" s="1033" t="inlineStr">
        <is>
          <t>Engineering</t>
        </is>
      </c>
      <c r="D6" s="1033" t="inlineStr">
        <is>
          <t>M</t>
        </is>
      </c>
      <c r="E6" s="1033" t="inlineStr">
        <is>
          <t>Standard Engineering Squad</t>
        </is>
      </c>
      <c r="F6" s="1034" t="n">
        <v>9</v>
      </c>
      <c r="G6" s="1035" t="n">
        <v>2</v>
      </c>
      <c r="H6" s="1035">
        <f>G6*$K$5</f>
        <v>0.8</v>
      </c>
      <c r="I6" s="1033" t="inlineStr">
        <is>
          <t>Medium complexity platforms</t>
        </is>
      </c>
      <c r="J6" s="865" t="n"/>
      <c r="K6" s="865" t="n"/>
    </row>
    <row r="7" ht="14.25" customHeight="1" s="866">
      <c r="A7" s="1012" t="str">
        <f>$C7&amp;"|"&amp;$D7</f>
        <v>Engineering|L</v>
      </c>
      <c r="B7" s="865" t="n"/>
      <c r="C7" s="1012" t="inlineStr">
        <is>
          <t>Engineering</t>
        </is>
      </c>
      <c r="D7" s="1012" t="inlineStr">
        <is>
          <t>L</t>
        </is>
      </c>
      <c r="E7" s="1012" t="inlineStr">
        <is>
          <t>High-scale squad</t>
        </is>
      </c>
      <c r="F7" s="1036" t="n">
        <v>12</v>
      </c>
      <c r="G7" s="1014" t="n">
        <v>2.7</v>
      </c>
      <c r="H7" s="1014">
        <f>G7*$K$5</f>
        <v>1.08</v>
      </c>
      <c r="I7" s="1012" t="inlineStr">
        <is>
          <t>Scalable platforms, high volume output</t>
        </is>
      </c>
      <c r="J7" s="865" t="n"/>
      <c r="K7" s="865" t="n"/>
    </row>
    <row r="8" ht="14.25" customHeight="1" s="866">
      <c r="A8" s="1012" t="str">
        <f>$C8&amp;"|"&amp;$D8</f>
        <v>Configuration / Integration|XS</v>
      </c>
      <c r="B8" s="865" t="n"/>
      <c r="C8" s="1831" t="inlineStr">
        <is>
          <t>Configuration / Integration</t>
        </is>
      </c>
      <c r="D8" s="1831" t="inlineStr">
        <is>
          <t>XS</t>
        </is>
      </c>
      <c r="E8" s="1831" t="inlineStr">
        <is>
          <t>MS Squad</t>
        </is>
      </c>
      <c r="F8" s="1832" t="n">
        <v>1</v>
      </c>
      <c r="G8" s="1014" t="n">
        <v>0.4</v>
      </c>
      <c r="H8" s="1035">
        <f>G8*$K$5</f>
        <v>0.16</v>
      </c>
      <c r="I8" s="1033" t="inlineStr">
        <is>
          <t>Work managed by a vendor</t>
        </is>
      </c>
      <c r="J8" s="865" t="n"/>
      <c r="K8" s="865" t="n"/>
    </row>
    <row r="9" ht="14.25" customHeight="1" s="866">
      <c r="A9" s="1012" t="str">
        <f>$C9&amp;"|"&amp;$D9</f>
        <v>Configuration / Integration|S</v>
      </c>
      <c r="B9" s="865" t="n"/>
      <c r="C9" s="1012" t="inlineStr">
        <is>
          <t>Configuration / Integration</t>
        </is>
      </c>
      <c r="D9" s="1012" t="inlineStr">
        <is>
          <t>S</t>
        </is>
      </c>
      <c r="E9" s="1012" t="inlineStr">
        <is>
          <t>Simple Configuration Squad</t>
        </is>
      </c>
      <c r="F9" s="1036" t="n">
        <v>6</v>
      </c>
      <c r="G9" s="1035" t="n">
        <v>1.4</v>
      </c>
      <c r="H9" s="1014">
        <f>G9*$K$5</f>
        <v>0.56</v>
      </c>
      <c r="I9" s="1012" t="inlineStr">
        <is>
          <t>Simple configuration, limited integration</t>
        </is>
      </c>
      <c r="J9" s="865" t="n"/>
      <c r="K9" s="865" t="n"/>
    </row>
    <row r="10" ht="14.25" customHeight="1" s="866">
      <c r="A10" s="1012" t="str">
        <f>$C10&amp;"|"&amp;$D10</f>
        <v>Configuration / Integration|M</v>
      </c>
      <c r="B10" s="865" t="n"/>
      <c r="C10" s="1033" t="inlineStr">
        <is>
          <t>Configuration / Integration</t>
        </is>
      </c>
      <c r="D10" s="1033" t="inlineStr">
        <is>
          <t>M</t>
        </is>
      </c>
      <c r="E10" s="1033" t="inlineStr">
        <is>
          <t>Standard Configuration Squad</t>
        </is>
      </c>
      <c r="F10" s="1034" t="n">
        <v>9</v>
      </c>
      <c r="G10" s="1014" t="n">
        <v>2.1</v>
      </c>
      <c r="H10" s="1035">
        <f>G10*$K$5</f>
        <v>0.84</v>
      </c>
      <c r="I10" s="1033" t="inlineStr">
        <is>
          <t>Standard configuration, medium complexity</t>
        </is>
      </c>
      <c r="J10" s="865" t="n"/>
      <c r="K10" s="865" t="n"/>
    </row>
    <row r="11" ht="14.25" customHeight="1" s="866">
      <c r="A11" s="1012" t="str">
        <f>$C11&amp;"|"&amp;$D11</f>
        <v>Configuration / Integration|L</v>
      </c>
      <c r="B11" s="865" t="n"/>
      <c r="C11" s="1012" t="inlineStr">
        <is>
          <t>Configuration / Integration</t>
        </is>
      </c>
      <c r="D11" s="1012" t="inlineStr">
        <is>
          <t>L</t>
        </is>
      </c>
      <c r="E11" s="1012" t="inlineStr">
        <is>
          <t>Complex Integration Squad</t>
        </is>
      </c>
      <c r="F11" s="1036" t="n">
        <v>14</v>
      </c>
      <c r="G11" s="1014" t="n">
        <v>3.2</v>
      </c>
      <c r="H11" s="1014">
        <f>G11*$K$5</f>
        <v>1.28</v>
      </c>
      <c r="I11" s="1012" t="inlineStr">
        <is>
          <t>Complex config or custom build, high integration</t>
        </is>
      </c>
      <c r="J11" s="865" t="n"/>
      <c r="K11" s="865" t="n"/>
    </row>
    <row r="12" ht="14.25" customHeight="1" s="866">
      <c r="A12" s="1012" t="str">
        <f>$C12&amp;"|"&amp;$D12</f>
        <v>Product|S</v>
      </c>
      <c r="B12" s="865" t="n"/>
      <c r="C12" s="1033" t="inlineStr">
        <is>
          <t>Product</t>
        </is>
      </c>
      <c r="D12" s="1033" t="inlineStr">
        <is>
          <t>S</t>
        </is>
      </c>
      <c r="E12" s="1033" t="inlineStr">
        <is>
          <t>Lean Product Squad</t>
        </is>
      </c>
      <c r="F12" s="1034" t="n">
        <v>5.5</v>
      </c>
      <c r="G12" s="1035" t="n">
        <v>1.3</v>
      </c>
      <c r="H12" s="1035">
        <f>G12*$K$5</f>
        <v>0.52</v>
      </c>
      <c r="I12" s="1033" t="inlineStr">
        <is>
          <t>Early stage product testing or low complexity</t>
        </is>
      </c>
      <c r="J12" s="865" t="n"/>
      <c r="K12" s="865" t="n"/>
    </row>
    <row r="13" ht="14.25" customHeight="1" s="866">
      <c r="A13" s="1012" t="str">
        <f>$C13&amp;"|"&amp;$D13</f>
        <v>Product|M</v>
      </c>
      <c r="B13" s="865" t="n"/>
      <c r="C13" s="1012" t="inlineStr">
        <is>
          <t>Product</t>
        </is>
      </c>
      <c r="D13" s="1012" t="inlineStr">
        <is>
          <t>M</t>
        </is>
      </c>
      <c r="E13" s="1012" t="inlineStr">
        <is>
          <t>Balanced Product Squad</t>
        </is>
      </c>
      <c r="F13" s="1036" t="n">
        <v>8.5</v>
      </c>
      <c r="G13" s="1014" t="n">
        <v>1.9</v>
      </c>
      <c r="H13" s="1014">
        <f>G13*$K$5</f>
        <v>0.76</v>
      </c>
      <c r="I13" s="1012" t="inlineStr">
        <is>
          <t>Ongoing product development, moderate complexity</t>
        </is>
      </c>
      <c r="J13" s="865" t="n"/>
      <c r="K13" s="865" t="n"/>
    </row>
    <row r="14" ht="14.25" customHeight="1" s="866">
      <c r="A14" s="1012" t="str">
        <f>$C14&amp;"|"&amp;$D14</f>
        <v>Product|L</v>
      </c>
      <c r="B14" s="865" t="n"/>
      <c r="C14" s="1033" t="inlineStr">
        <is>
          <t>Product</t>
        </is>
      </c>
      <c r="D14" s="1033" t="inlineStr">
        <is>
          <t>L</t>
        </is>
      </c>
      <c r="E14" s="1033" t="inlineStr">
        <is>
          <t>Scaled Product Squad</t>
        </is>
      </c>
      <c r="F14" s="1034" t="n">
        <v>12</v>
      </c>
      <c r="G14" s="1035" t="n">
        <v>2.8</v>
      </c>
      <c r="H14" s="1035">
        <f>G14*$K$5</f>
        <v>1.12</v>
      </c>
      <c r="I14" s="1033" t="inlineStr">
        <is>
          <t>Mature product</t>
        </is>
      </c>
      <c r="J14" s="865" t="n"/>
      <c r="K14" s="865" t="n"/>
    </row>
    <row r="15" ht="14.25" customHeight="1" s="866">
      <c r="A15" s="1012" t="str">
        <f>$C15&amp;"|"&amp;$D15</f>
        <v>Operations|S</v>
      </c>
      <c r="B15" s="865" t="n"/>
      <c r="C15" s="1012" t="inlineStr">
        <is>
          <t>Operations</t>
        </is>
      </c>
      <c r="D15" s="1012" t="inlineStr">
        <is>
          <t>S</t>
        </is>
      </c>
      <c r="E15" s="1012" t="inlineStr">
        <is>
          <t>Lean operations squad</t>
        </is>
      </c>
      <c r="F15" s="1036" t="n">
        <v>4</v>
      </c>
      <c r="G15" s="1014" t="n">
        <v>0.8</v>
      </c>
      <c r="H15" s="1014">
        <f>G15*$K$5</f>
        <v>0.32</v>
      </c>
      <c r="I15" s="1012" t="inlineStr">
        <is>
          <t>Low change, stable platforms</t>
        </is>
      </c>
      <c r="J15" s="865" t="n"/>
      <c r="K15" s="865" t="n"/>
    </row>
    <row r="16" ht="14.25" customHeight="1" s="866">
      <c r="A16" s="1012" t="str">
        <f>$C16&amp;"|"&amp;$D16</f>
        <v>Operations|M</v>
      </c>
      <c r="B16" s="865" t="n"/>
      <c r="C16" s="1033" t="inlineStr">
        <is>
          <t>Operations</t>
        </is>
      </c>
      <c r="D16" s="1033" t="inlineStr">
        <is>
          <t>M</t>
        </is>
      </c>
      <c r="E16" s="1033" t="inlineStr">
        <is>
          <t>Balanced operations squad</t>
        </is>
      </c>
      <c r="F16" s="1034" t="n">
        <v>6</v>
      </c>
      <c r="G16" s="1035" t="n">
        <v>1.4</v>
      </c>
      <c r="H16" s="1035">
        <f>G16*$K$5</f>
        <v>0.56</v>
      </c>
      <c r="I16" s="1033" t="inlineStr">
        <is>
          <t>Moderate support plus improvements</t>
        </is>
      </c>
      <c r="J16" s="865" t="n"/>
      <c r="K16" s="865" t="n"/>
    </row>
    <row r="17" ht="14.25" customHeight="1" s="866">
      <c r="A17" s="1012" t="str">
        <f>$C17&amp;"|"&amp;$D17</f>
        <v>Operations|L</v>
      </c>
      <c r="B17" s="865" t="n"/>
      <c r="C17" s="1012" t="inlineStr">
        <is>
          <t>Operations</t>
        </is>
      </c>
      <c r="D17" s="1012" t="inlineStr">
        <is>
          <t>L</t>
        </is>
      </c>
      <c r="E17" s="1012" t="inlineStr">
        <is>
          <t>High demand operations squad</t>
        </is>
      </c>
      <c r="F17" s="1036" t="n">
        <v>10</v>
      </c>
      <c r="G17" s="1014" t="n">
        <v>2.3</v>
      </c>
      <c r="H17" s="1014">
        <f>G17*$K$5</f>
        <v>0.92</v>
      </c>
      <c r="I17" s="1012" t="inlineStr">
        <is>
          <t>High ticket volume, critical systems</t>
        </is>
      </c>
    </row>
    <row r="18" ht="14.25" customHeight="1" s="866">
      <c r="A18" s="1012" t="str">
        <f>$C18&amp;"|"&amp;$D18</f>
        <v>Enterprise Data and Insights|S</v>
      </c>
      <c r="B18" s="865" t="n"/>
      <c r="C18" s="1033" t="inlineStr">
        <is>
          <t>Enterprise Data and Insights</t>
        </is>
      </c>
      <c r="D18" s="1033" t="inlineStr">
        <is>
          <t>S</t>
        </is>
      </c>
      <c r="E18" s="1033" t="inlineStr">
        <is>
          <t>Lean Data squad</t>
        </is>
      </c>
      <c r="F18" s="1034" t="n">
        <v>4</v>
      </c>
      <c r="G18" s="1035" t="n">
        <v>0.9</v>
      </c>
      <c r="H18" s="1035">
        <f>G18*$K$5</f>
        <v>0.36</v>
      </c>
      <c r="I18" s="1033" t="inlineStr">
        <is>
          <t>Basic reporting, low complexity</t>
        </is>
      </c>
    </row>
    <row r="19" ht="14.25" customHeight="1" s="866">
      <c r="A19" s="1012" t="str">
        <f>$C19&amp;"|"&amp;$D19</f>
        <v>Enterprise Data and Insights|M</v>
      </c>
      <c r="B19" s="865" t="n"/>
      <c r="C19" s="1012" t="inlineStr">
        <is>
          <t>Enterprise Data and Insights</t>
        </is>
      </c>
      <c r="D19" s="1012" t="inlineStr">
        <is>
          <t>M</t>
        </is>
      </c>
      <c r="E19" s="1012" t="inlineStr">
        <is>
          <t>Standard Data squad</t>
        </is>
      </c>
      <c r="F19" s="1036" t="n">
        <v>7.5</v>
      </c>
      <c r="G19" s="1014" t="n">
        <v>1.7</v>
      </c>
      <c r="H19" s="1014">
        <f>G19*$K$5</f>
        <v>0.68</v>
      </c>
      <c r="I19" s="1012" t="inlineStr">
        <is>
          <t>Ongoing analytics, dashboarding</t>
        </is>
      </c>
    </row>
    <row r="20" ht="14.25" customHeight="1" s="866">
      <c r="A20" s="1012" t="str">
        <f>$C20&amp;"|"&amp;$D20</f>
        <v>Enterprise Data and Insights|L</v>
      </c>
      <c r="B20" s="865" t="n"/>
      <c r="C20" s="1033" t="inlineStr">
        <is>
          <t>Enterprise Data and Insights</t>
        </is>
      </c>
      <c r="D20" s="1033" t="inlineStr">
        <is>
          <t>L</t>
        </is>
      </c>
      <c r="E20" s="1033" t="inlineStr">
        <is>
          <t>Advanced Data / AI squad</t>
        </is>
      </c>
      <c r="F20" s="1034" t="n">
        <v>9</v>
      </c>
      <c r="G20" s="1035" t="n">
        <v>2</v>
      </c>
      <c r="H20" s="1035">
        <f>G20*$K$5</f>
        <v>0.8</v>
      </c>
      <c r="I20" s="1033" t="inlineStr">
        <is>
          <t>Advanced analytics, predictive modelling, AI</t>
        </is>
      </c>
    </row>
    <row r="21" ht="14.25" customHeight="1" s="866">
      <c r="A21" s="1012" t="str">
        <f>$C21&amp;"|"&amp;$D21</f>
        <v>Build and Run|S</v>
      </c>
      <c r="B21" s="865" t="n"/>
      <c r="C21" s="1012" t="inlineStr">
        <is>
          <t>Build and Run</t>
        </is>
      </c>
      <c r="D21" s="1012" t="inlineStr">
        <is>
          <t>S</t>
        </is>
      </c>
      <c r="E21" s="1012" t="inlineStr">
        <is>
          <t>Lean build and run squad</t>
        </is>
      </c>
      <c r="F21" s="1036" t="n">
        <v>4</v>
      </c>
      <c r="G21" s="1014" t="n">
        <v>0.9</v>
      </c>
      <c r="H21" s="1014">
        <f>G21*$K$5</f>
        <v>0.36</v>
      </c>
      <c r="I21" s="1012" t="inlineStr">
        <is>
          <t>Simple platforms, low traffic, stable</t>
        </is>
      </c>
    </row>
    <row r="22" ht="14.25" customHeight="1" s="866">
      <c r="A22" s="1012" t="str">
        <f>$C22&amp;"|"&amp;$D22</f>
        <v>Build and Run|M</v>
      </c>
      <c r="B22" s="865" t="n"/>
      <c r="C22" s="1033" t="inlineStr">
        <is>
          <t>Build and Run</t>
        </is>
      </c>
      <c r="D22" s="1033" t="inlineStr">
        <is>
          <t>M</t>
        </is>
      </c>
      <c r="E22" s="1033" t="inlineStr">
        <is>
          <t>Standard build and run squad</t>
        </is>
      </c>
      <c r="F22" s="1034" t="n">
        <v>9</v>
      </c>
      <c r="G22" s="1035" t="n">
        <v>2</v>
      </c>
      <c r="H22" s="1035">
        <f>G22*$K$5</f>
        <v>0.8</v>
      </c>
      <c r="I22" s="1033" t="inlineStr">
        <is>
          <t>Core platforms, moderate complexity</t>
        </is>
      </c>
    </row>
    <row r="23" ht="14.25" customHeight="1" s="866">
      <c r="A23" s="1012" t="str">
        <f>$C23&amp;"|"&amp;$D23</f>
        <v>Build and Run|L</v>
      </c>
      <c r="B23" s="865" t="n"/>
      <c r="C23" s="1012" t="inlineStr">
        <is>
          <t>Build and Run</t>
        </is>
      </c>
      <c r="D23" s="1012" t="inlineStr">
        <is>
          <t>L</t>
        </is>
      </c>
      <c r="E23" s="1012" t="inlineStr">
        <is>
          <t>Scaled build and run squad</t>
        </is>
      </c>
      <c r="F23" s="1036" t="n">
        <v>13</v>
      </c>
      <c r="G23" s="1014" t="n">
        <v>2.8</v>
      </c>
      <c r="H23" s="1014">
        <f>G23*$K$5</f>
        <v>1.12</v>
      </c>
      <c r="I23" s="1012" t="inlineStr">
        <is>
          <t>High traffic or business critical, 24/7</t>
        </is>
      </c>
    </row>
    <row r="24" ht="14.25" customHeight="1" s="866">
      <c r="A24" s="865" t="n"/>
      <c r="B24" s="865" t="n"/>
      <c r="C24" s="1039" t="inlineStr">
        <is>
          <t>Exceptions (will need to incl. rules)</t>
        </is>
      </c>
      <c r="D24" s="865" t="n"/>
      <c r="E24" s="1040" t="inlineStr">
        <is>
          <t>TBC</t>
        </is>
      </c>
      <c r="F24" s="865" t="n"/>
      <c r="G24" s="865" t="n"/>
      <c r="H24" s="865" t="n"/>
      <c r="I24" s="1040" t="inlineStr">
        <is>
          <t>TBC</t>
        </is>
      </c>
    </row>
    <row r="27" ht="14.25" customHeight="1" s="866">
      <c r="A27" s="865" t="n"/>
      <c r="B27" s="865" t="n"/>
      <c r="C27" s="876" t="inlineStr">
        <is>
          <t xml:space="preserve">Exception for ES EVCI - 6 FTE vs 4.5 FTE </t>
        </is>
      </c>
      <c r="D27" s="865" t="n"/>
      <c r="E27" s="865" t="n"/>
      <c r="F27" s="865" t="n"/>
      <c r="G27" s="865" t="n"/>
      <c r="H27" s="865" t="n"/>
      <c r="I27" s="865" t="n"/>
    </row>
    <row r="29" ht="14.25" customHeight="1" s="866">
      <c r="C29" s="865" t="inlineStr">
        <is>
          <t>Exception for TDD DevOps - no BA, DL 6 FTE vs 4.5 FTE</t>
        </is>
      </c>
    </row>
  </sheetData>
  <printOptions horizontalCentered="0" verticalCentered="0" headings="0" gridLines="0" gridLinesSet="1"/>
  <pageMargins left="0.75" right="0.75" top="1" bottom="1" header="0.511811023622047" footer="0.511811023622047"/>
  <pageSetup orientation="landscape"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808080"/>
    <outlinePr summaryBelow="1" summaryRight="1"/>
    <pageSetUpPr fitToPage="0"/>
  </sheetPr>
  <dimension ref="A3:AS52"/>
  <sheetViews>
    <sheetView showFormulas="0" showGridLines="0" showRowColHeaders="1" showZeros="1" rightToLeft="0" tabSelected="0" showOutlineSymbols="1" defaultGridColor="1" view="normal" topLeftCell="B1" colorId="64" zoomScale="90" zoomScaleNormal="90" zoomScalePageLayoutView="100" workbookViewId="0">
      <selection pane="topLeft" activeCell="A1" activeCellId="0" sqref="A1"/>
    </sheetView>
  </sheetViews>
  <sheetFormatPr baseColWidth="8" defaultColWidth="9.1796875" defaultRowHeight="15" zeroHeight="0" outlineLevelRow="0"/>
  <cols>
    <col hidden="1" width="30.18" customWidth="1" style="1041" min="1" max="1"/>
    <col width="28.27" customWidth="1" style="1042" min="2" max="2"/>
    <col width="21" customWidth="1" style="1042" min="3" max="3"/>
    <col width="7.82" customWidth="1" style="1041" min="4" max="6"/>
    <col hidden="1" outlineLevel="1" width="8.27" customWidth="1" style="1041" min="7" max="7"/>
    <col width="6.27" customWidth="1" style="1041" min="8" max="8"/>
    <col hidden="1" width="7.82" customWidth="1" style="1041" min="9" max="11"/>
    <col hidden="1" outlineLevel="1" width="8.27" customWidth="1" style="1041" min="12" max="12"/>
    <col hidden="1" width="6.27" customWidth="1" style="1041" min="13" max="13"/>
    <col outlineLevel="1" width="7.82" customWidth="1" style="1041" min="14" max="16"/>
    <col hidden="1" outlineLevel="2" width="8.27" customWidth="1" style="1041" min="17" max="17"/>
    <col outlineLevel="1" collapsed="1" width="6.27" customWidth="1" style="1041" min="18" max="18"/>
    <col outlineLevel="1" width="7.82" customWidth="1" style="1041" min="19" max="21"/>
    <col hidden="1" outlineLevel="2" width="8.27" customWidth="1" style="1041" min="22" max="22"/>
    <col outlineLevel="1" collapsed="1" width="6.27" customWidth="1" style="1041" min="23" max="23"/>
    <col width="7.82" customWidth="1" style="1041" min="24" max="26"/>
    <col hidden="1" outlineLevel="1" width="8.27" customWidth="1" style="1041" min="27" max="27"/>
    <col width="6.27" customWidth="1" style="1041" min="28" max="28"/>
    <col width="7.82" customWidth="1" style="1041" min="29" max="31"/>
    <col hidden="1" outlineLevel="1" width="8.27" customWidth="1" style="1041" min="32" max="32"/>
    <col width="6.27" customWidth="1" style="1041" min="33" max="33"/>
    <col width="7.82" customWidth="1" style="1041" min="34" max="36"/>
    <col hidden="1" outlineLevel="1" width="8.27" customWidth="1" style="1041" min="37" max="37"/>
    <col width="6.27" customWidth="1" style="1041" min="38" max="38"/>
    <col width="0.73" customWidth="1" style="1041" min="39" max="39"/>
    <col width="7.82" customWidth="1" style="1041" min="40" max="42"/>
    <col outlineLevel="1" width="9.18" customWidth="1" style="1041" min="43" max="43"/>
    <col width="6.27" customWidth="1" style="1041" min="44" max="44"/>
    <col width="9.18" customWidth="1" style="1041" min="45" max="16384"/>
  </cols>
  <sheetData>
    <row r="3" ht="39" customHeight="1" s="866">
      <c r="B3" s="1043" t="inlineStr">
        <is>
          <t>BUSINESS SEGMENTS</t>
        </is>
      </c>
      <c r="C3" s="1043" t="inlineStr">
        <is>
          <t>TDD GM</t>
        </is>
      </c>
      <c r="D3" s="1044" t="inlineStr">
        <is>
          <t>TOTAL 
YTD (Jun-2026)</t>
        </is>
      </c>
      <c r="E3" s="1045" t="n"/>
      <c r="F3" s="1045" t="n"/>
      <c r="G3" s="1045" t="n"/>
      <c r="H3" s="1046" t="n"/>
      <c r="I3" s="1047" t="inlineStr">
        <is>
          <t>OPEX: LIGHTS ON + INITIATIVES
(YTD)</t>
        </is>
      </c>
      <c r="J3" s="1045" t="n"/>
      <c r="K3" s="1045" t="n"/>
      <c r="L3" s="1045" t="n"/>
      <c r="M3" s="1046" t="n"/>
      <c r="N3" s="1047" t="inlineStr">
        <is>
          <t>OPEX: LIGHTS ON
(YTD)</t>
        </is>
      </c>
      <c r="O3" s="1045" t="n"/>
      <c r="P3" s="1045" t="n"/>
      <c r="Q3" s="1045" t="n"/>
      <c r="R3" s="1046" t="n"/>
      <c r="S3" s="1047" t="inlineStr">
        <is>
          <t>OPEX: INITIATIVES
(YTD)</t>
        </is>
      </c>
      <c r="T3" s="1045" t="n"/>
      <c r="U3" s="1045" t="n"/>
      <c r="V3" s="1045" t="n"/>
      <c r="W3" s="1046" t="n"/>
      <c r="X3" s="1048" t="inlineStr">
        <is>
          <t>OPEX: DEPRECIATION
(YTD)</t>
        </is>
      </c>
      <c r="Y3" s="1045" t="n"/>
      <c r="Z3" s="1045" t="n"/>
      <c r="AA3" s="1045" t="n"/>
      <c r="AB3" s="1049" t="n"/>
      <c r="AC3" s="1050" t="inlineStr">
        <is>
          <t>SIGNIFICANT ITEMS
(YTD)</t>
        </is>
      </c>
      <c r="AD3" s="1045" t="n"/>
      <c r="AE3" s="1045" t="n"/>
      <c r="AF3" s="1045" t="n"/>
      <c r="AG3" s="1045" t="n"/>
      <c r="AH3" s="1048" t="inlineStr">
        <is>
          <t>CAPEX
(YTD)</t>
        </is>
      </c>
      <c r="AI3" s="1045" t="n"/>
      <c r="AJ3" s="1045" t="n"/>
      <c r="AK3" s="1045" t="n"/>
      <c r="AL3" s="1049" t="n"/>
      <c r="AN3" s="1051" t="inlineStr">
        <is>
          <t>FY2026</t>
        </is>
      </c>
      <c r="AO3" s="1045" t="n"/>
      <c r="AP3" s="1045" t="n"/>
      <c r="AQ3" s="1045" t="n"/>
      <c r="AR3" s="1049" t="n"/>
    </row>
    <row r="4" ht="13.5" customHeight="1" s="866">
      <c r="B4" s="1052" t="n"/>
      <c r="C4" s="1052" t="n"/>
      <c r="D4" s="1053" t="inlineStr">
        <is>
          <t>A</t>
        </is>
      </c>
      <c r="E4" s="1054" t="inlineStr">
        <is>
          <t>B</t>
        </is>
      </c>
      <c r="F4" s="1054" t="inlineStr">
        <is>
          <t>V</t>
        </is>
      </c>
      <c r="G4" s="1054" t="inlineStr">
        <is>
          <t>V %</t>
        </is>
      </c>
      <c r="H4" s="1054" t="inlineStr">
        <is>
          <t>Trend</t>
        </is>
      </c>
      <c r="I4" s="1055" t="inlineStr">
        <is>
          <t>A</t>
        </is>
      </c>
      <c r="J4" s="1055" t="inlineStr">
        <is>
          <t>B</t>
        </is>
      </c>
      <c r="K4" s="1055" t="inlineStr">
        <is>
          <t>V</t>
        </is>
      </c>
      <c r="L4" s="1055" t="inlineStr">
        <is>
          <t>V %</t>
        </is>
      </c>
      <c r="M4" s="1055" t="inlineStr">
        <is>
          <t>Trend</t>
        </is>
      </c>
      <c r="N4" s="1055" t="inlineStr">
        <is>
          <t>A</t>
        </is>
      </c>
      <c r="O4" s="1055" t="inlineStr">
        <is>
          <t>B</t>
        </is>
      </c>
      <c r="P4" s="1055" t="inlineStr">
        <is>
          <t>V</t>
        </is>
      </c>
      <c r="Q4" s="1055" t="n"/>
      <c r="R4" s="1055" t="inlineStr">
        <is>
          <t>Trend</t>
        </is>
      </c>
      <c r="S4" s="1055" t="inlineStr">
        <is>
          <t>A</t>
        </is>
      </c>
      <c r="T4" s="1055" t="inlineStr">
        <is>
          <t>B</t>
        </is>
      </c>
      <c r="U4" s="1055" t="inlineStr">
        <is>
          <t>V</t>
        </is>
      </c>
      <c r="V4" s="1055" t="inlineStr">
        <is>
          <t>V %</t>
        </is>
      </c>
      <c r="W4" s="1055" t="inlineStr">
        <is>
          <t>Trend</t>
        </is>
      </c>
      <c r="X4" s="1055" t="inlineStr">
        <is>
          <t>A</t>
        </is>
      </c>
      <c r="Y4" s="1055" t="inlineStr">
        <is>
          <t>B</t>
        </is>
      </c>
      <c r="Z4" s="1055" t="inlineStr">
        <is>
          <t>V</t>
        </is>
      </c>
      <c r="AA4" s="1055" t="inlineStr">
        <is>
          <t>V %</t>
        </is>
      </c>
      <c r="AB4" s="1056" t="inlineStr">
        <is>
          <t>Trend</t>
        </is>
      </c>
      <c r="AC4" s="1055" t="inlineStr">
        <is>
          <t>A</t>
        </is>
      </c>
      <c r="AD4" s="1055" t="inlineStr">
        <is>
          <t>B</t>
        </is>
      </c>
      <c r="AE4" s="1055" t="inlineStr">
        <is>
          <t>V</t>
        </is>
      </c>
      <c r="AF4" s="1055" t="inlineStr">
        <is>
          <t>V %</t>
        </is>
      </c>
      <c r="AG4" s="1057" t="inlineStr">
        <is>
          <t>Trend</t>
        </is>
      </c>
      <c r="AH4" s="1055" t="inlineStr">
        <is>
          <t>A</t>
        </is>
      </c>
      <c r="AI4" s="1055" t="inlineStr">
        <is>
          <t>B</t>
        </is>
      </c>
      <c r="AJ4" s="1055" t="inlineStr">
        <is>
          <t>V</t>
        </is>
      </c>
      <c r="AK4" s="1055" t="inlineStr">
        <is>
          <t>V %</t>
        </is>
      </c>
      <c r="AL4" s="1056" t="inlineStr">
        <is>
          <t>Trend</t>
        </is>
      </c>
      <c r="AN4" s="1053" t="inlineStr">
        <is>
          <t>F</t>
        </is>
      </c>
      <c r="AO4" s="1054" t="inlineStr">
        <is>
          <t>B</t>
        </is>
      </c>
      <c r="AP4" s="1054" t="inlineStr">
        <is>
          <t>V</t>
        </is>
      </c>
      <c r="AQ4" s="1054" t="n"/>
      <c r="AR4" s="1058" t="inlineStr">
        <is>
          <t>Trend</t>
        </is>
      </c>
    </row>
    <row r="5" ht="21" customFormat="1" customHeight="1" s="1059">
      <c r="A5" s="1059" t="inlineStr">
        <is>
          <t>TDD (Corporate)1</t>
        </is>
      </c>
      <c r="B5" s="1060" t="inlineStr">
        <is>
          <t>TDD (Corporate)1</t>
        </is>
      </c>
      <c r="C5" s="1061" t="inlineStr">
        <is>
          <t>Brad Blyth
Greg Cassis</t>
        </is>
      </c>
      <c r="D5" s="1874">
        <f>I5+AC5+AH5+X5</f>
        <v>53.57500618</v>
      </c>
      <c r="E5" s="1875">
        <f>J5+AD5+AI5+Y5</f>
        <v>56.15812513</v>
      </c>
      <c r="F5" s="1875">
        <f>E5-D5</f>
        <v>2.58311894999999</v>
      </c>
      <c r="G5" s="1876">
        <f>IFERROR(F5/E5,"-")</f>
        <v>0.0459972433912341</v>
      </c>
      <c r="H5" s="1065" t="inlineStr">
        <is>
          <t>G</t>
        </is>
      </c>
      <c r="I5" s="1875" t="n">
        <v>41.77379708</v>
      </c>
      <c r="J5" s="1875" t="n">
        <v>41.9336938</v>
      </c>
      <c r="K5" s="1875">
        <f>J5-I5</f>
        <v>0.159896719999999</v>
      </c>
      <c r="L5" s="1876">
        <f>IFERROR(K5/J5,"-")</f>
        <v>0.00381308455111577</v>
      </c>
      <c r="M5" s="1066" t="inlineStr">
        <is>
          <t>G</t>
        </is>
      </c>
      <c r="N5" s="1875">
        <f>I5-S5</f>
        <v>40.97295585</v>
      </c>
      <c r="O5" s="1875">
        <f>J5-T5</f>
        <v>40.4336938</v>
      </c>
      <c r="P5" s="1875">
        <f>O5-N5</f>
        <v>-0.539262049999998</v>
      </c>
      <c r="Q5" s="1876">
        <f>IFERROR(P5/O5,"-")</f>
        <v>-0.0133369474643446</v>
      </c>
      <c r="R5" s="1067" t="inlineStr">
        <is>
          <t>A</t>
        </is>
      </c>
      <c r="S5" s="1875" t="n">
        <v>0.80084123</v>
      </c>
      <c r="T5" s="1875" t="n">
        <v>1.5</v>
      </c>
      <c r="U5" s="1875">
        <f>T5-S5</f>
        <v>0.69915877</v>
      </c>
      <c r="V5" s="1876">
        <f>IFERROR(U5/T5,"-")</f>
        <v>0.466105846666667</v>
      </c>
      <c r="W5" s="1065" t="inlineStr">
        <is>
          <t>G</t>
        </is>
      </c>
      <c r="X5" s="1875" t="n">
        <v>2.78522111</v>
      </c>
      <c r="Y5" s="1875" t="n">
        <v>2.9338979</v>
      </c>
      <c r="Z5" s="1875">
        <f>Y5-X5</f>
        <v>0.14867679</v>
      </c>
      <c r="AA5" s="1876">
        <f>IFERROR(Z5/Y5,"-")</f>
        <v>0.0506755160089244</v>
      </c>
      <c r="AB5" s="1065" t="inlineStr">
        <is>
          <t>G</t>
        </is>
      </c>
      <c r="AC5" s="1875" t="n">
        <v>8.8400082</v>
      </c>
      <c r="AD5" s="1875" t="n">
        <v>9.2622</v>
      </c>
      <c r="AE5" s="1875">
        <f>AD5-AC5</f>
        <v>0.4221918</v>
      </c>
      <c r="AF5" s="1876">
        <f>IFERROR(AE5/AD5,"-")</f>
        <v>0.0455822374813759</v>
      </c>
      <c r="AG5" s="1065" t="inlineStr">
        <is>
          <t>G</t>
        </is>
      </c>
      <c r="AH5" s="1875" t="n">
        <v>0.17597979</v>
      </c>
      <c r="AI5" s="1875" t="n">
        <v>2.02833343</v>
      </c>
      <c r="AJ5" s="1875">
        <f>AI5-AH5</f>
        <v>1.85235364</v>
      </c>
      <c r="AK5" s="1876">
        <f>IFERROR(AJ5/AI5,"-")</f>
        <v>0.913239220240037</v>
      </c>
      <c r="AL5" s="1068" t="inlineStr">
        <is>
          <t>G</t>
        </is>
      </c>
      <c r="AN5" s="1877">
        <f>I21+AC21+AH21+X21</f>
        <v>117.95714038</v>
      </c>
      <c r="AO5" s="1878">
        <f>J21+AD21+AI21+Y21</f>
        <v>112.75951309</v>
      </c>
      <c r="AP5" s="1878">
        <f>AO5-AN5</f>
        <v>-5.19762729000001</v>
      </c>
      <c r="AQ5" s="1876">
        <f>IFERROR(AP5/AO5,"-")</f>
        <v>-0.0460948007628543</v>
      </c>
      <c r="AR5" s="1071" t="inlineStr">
        <is>
          <t>A</t>
        </is>
      </c>
    </row>
    <row r="6" ht="21" customFormat="1" customHeight="1" s="1059">
      <c r="A6" s="1059" t="inlineStr">
        <is>
          <t>Z-Energy</t>
        </is>
      </c>
      <c r="B6" s="1072" t="inlineStr">
        <is>
          <t>Z- Energy</t>
        </is>
      </c>
      <c r="C6" s="1073" t="inlineStr">
        <is>
          <t>Vance Anderson
Harley Giles</t>
        </is>
      </c>
      <c r="D6" s="1877">
        <f>I6+AC6+AH6+X6</f>
        <v>35.2578582524</v>
      </c>
      <c r="E6" s="1878">
        <f>J6+AD6+AI6+Y6</f>
        <v>38.2541598471487</v>
      </c>
      <c r="F6" s="1878">
        <f>E6-D6</f>
        <v>2.99630159474868</v>
      </c>
      <c r="G6" s="1879">
        <f>IFERROR(F6/E6,"-")</f>
        <v>0.0783261639184062</v>
      </c>
      <c r="H6" s="1066" t="inlineStr">
        <is>
          <t>G</t>
        </is>
      </c>
      <c r="I6" s="1878" t="n">
        <v>26.4555130724</v>
      </c>
      <c r="J6" s="1878" t="n">
        <v>26.8009903019695</v>
      </c>
      <c r="K6" s="1878">
        <f>J6-I6</f>
        <v>0.3454772295695</v>
      </c>
      <c r="L6" s="1879">
        <f>IFERROR(K6/J6,"-")</f>
        <v>0.0128904650789755</v>
      </c>
      <c r="M6" s="1066" t="inlineStr">
        <is>
          <t>G</t>
        </is>
      </c>
      <c r="N6" s="1875">
        <f>I6-S6</f>
        <v>26.4555130724</v>
      </c>
      <c r="O6" s="1875">
        <f>J6-T6</f>
        <v>26.0778703019695</v>
      </c>
      <c r="P6" s="1878">
        <f>O6-N6</f>
        <v>-0.377642770430501</v>
      </c>
      <c r="Q6" s="1879">
        <f>IFERROR(P6/O6,"-")</f>
        <v>-0.0144813501278124</v>
      </c>
      <c r="R6" s="1067" t="inlineStr">
        <is>
          <t>A</t>
        </is>
      </c>
      <c r="S6" s="1875" t="n">
        <v>0</v>
      </c>
      <c r="T6" s="1875" t="n">
        <v>0.72312</v>
      </c>
      <c r="U6" s="1878">
        <f>T6-S6</f>
        <v>0.72312</v>
      </c>
      <c r="V6" s="1879">
        <f>IFERROR(U6/T6,"-")</f>
        <v>1</v>
      </c>
      <c r="W6" s="1066" t="inlineStr">
        <is>
          <t>G</t>
        </is>
      </c>
      <c r="X6" s="1878" t="n">
        <v>4.835755244</v>
      </c>
      <c r="Y6" s="1878" t="n">
        <v>5.14368626517918</v>
      </c>
      <c r="Z6" s="1878">
        <f>Y6-X6</f>
        <v>0.30793102117918</v>
      </c>
      <c r="AA6" s="1879">
        <f>IFERROR(Z6/Y6,"-")</f>
        <v>0.0598658248781146</v>
      </c>
      <c r="AB6" s="1066" t="inlineStr">
        <is>
          <t>G</t>
        </is>
      </c>
      <c r="AC6" s="1878" t="n">
        <v>0</v>
      </c>
      <c r="AD6" s="1878" t="n">
        <v>0</v>
      </c>
      <c r="AE6" s="1878">
        <f>AD6-AC6</f>
        <v>0</v>
      </c>
      <c r="AF6" s="1879" t="str">
        <f>IFERROR(AE6/AD6,"-")</f>
        <v>-</v>
      </c>
      <c r="AG6" s="1075" t="n"/>
      <c r="AH6" s="1875" t="n">
        <v>3.966589936</v>
      </c>
      <c r="AI6" s="1875" t="n">
        <v>6.30948328</v>
      </c>
      <c r="AJ6" s="1878">
        <f>AI6-AH6</f>
        <v>2.342893344</v>
      </c>
      <c r="AK6" s="1879">
        <f>IFERROR(AJ6/AI6,"-")</f>
        <v>0.371328877505164</v>
      </c>
      <c r="AL6" s="1076" t="inlineStr">
        <is>
          <t>G</t>
        </is>
      </c>
      <c r="AN6" s="1877">
        <f>I22+AC22+AH22+X22</f>
        <v>73.1083914772</v>
      </c>
      <c r="AO6" s="1878">
        <f>J22+AD22+AI22+Y22</f>
        <v>76.7035140483733</v>
      </c>
      <c r="AP6" s="1878">
        <f>AO6-AN6</f>
        <v>3.59512257117331</v>
      </c>
      <c r="AQ6" s="1879">
        <f>IFERROR(AP6/AO6,"-")</f>
        <v>0.0468703763546743</v>
      </c>
      <c r="AR6" s="1076" t="inlineStr">
        <is>
          <t>G</t>
        </is>
      </c>
    </row>
    <row r="7" ht="24" customFormat="1" customHeight="1" s="1059">
      <c r="A7" s="1059" t="inlineStr">
        <is>
          <t>Commercial Fuels</t>
        </is>
      </c>
      <c r="B7" s="1072" t="inlineStr">
        <is>
          <t>Commercial Fuels</t>
        </is>
      </c>
      <c r="C7" s="1073" t="inlineStr">
        <is>
          <t>Roanne Steele</t>
        </is>
      </c>
      <c r="D7" s="1877">
        <f>I7+AC7+AH7+X7</f>
        <v>12.401562279697</v>
      </c>
      <c r="E7" s="1878">
        <f>J7+AD7+AI7+Y7</f>
        <v>18.7773775690909</v>
      </c>
      <c r="F7" s="1878">
        <f>E7-D7</f>
        <v>6.37581528939394</v>
      </c>
      <c r="G7" s="1879">
        <f>IFERROR(F7/E7,"-")</f>
        <v>0.339547695940729</v>
      </c>
      <c r="H7" s="1066" t="inlineStr">
        <is>
          <t>G</t>
        </is>
      </c>
      <c r="I7" s="1878" t="n">
        <v>7.1072414</v>
      </c>
      <c r="J7" s="1878" t="n">
        <v>8.284722285454549</v>
      </c>
      <c r="K7" s="1878">
        <f>J7-I7</f>
        <v>1.17748088545455</v>
      </c>
      <c r="L7" s="1879">
        <f>IFERROR(K7/J7,"-")</f>
        <v>0.142126778048052</v>
      </c>
      <c r="M7" s="1066" t="inlineStr">
        <is>
          <t>G</t>
        </is>
      </c>
      <c r="N7" s="1875">
        <f>I7-S7</f>
        <v>5.01868455307692</v>
      </c>
      <c r="O7" s="1875">
        <f>J7-T7</f>
        <v>5.35386182391609</v>
      </c>
      <c r="P7" s="1878">
        <f>O7-N7</f>
        <v>0.33517727083917</v>
      </c>
      <c r="Q7" s="1879">
        <f>IFERROR(P7/O7,"-")</f>
        <v>0.0626047667763685</v>
      </c>
      <c r="R7" s="1066" t="inlineStr">
        <is>
          <t>G</t>
        </is>
      </c>
      <c r="S7" s="1875" t="n">
        <v>2.08855684692308</v>
      </c>
      <c r="T7" s="1875" t="n">
        <v>2.93086046153846</v>
      </c>
      <c r="U7" s="1878">
        <f>T7-S7</f>
        <v>0.84230361461538</v>
      </c>
      <c r="V7" s="1879">
        <f>IFERROR(U7/T7,"-")</f>
        <v>0.287391237375129</v>
      </c>
      <c r="W7" s="1066" t="inlineStr">
        <is>
          <t>G</t>
        </is>
      </c>
      <c r="X7" s="1878" t="n"/>
      <c r="Y7" s="1878" t="n"/>
      <c r="Z7" s="1878">
        <f>Y7-X7</f>
        <v>0</v>
      </c>
      <c r="AA7" s="1879" t="str">
        <f>IFERROR(Z7/Y7,"-")</f>
        <v>-</v>
      </c>
      <c r="AB7" s="1075" t="n"/>
      <c r="AC7" s="1878" t="n">
        <v>4.72854146969697</v>
      </c>
      <c r="AD7" s="1878" t="n">
        <v>7.109604</v>
      </c>
      <c r="AE7" s="1878">
        <f>AD7-AC7</f>
        <v>2.38106253030303</v>
      </c>
      <c r="AF7" s="1879">
        <f>IFERROR(AE7/AD7,"-")</f>
        <v>0.334907897866468</v>
      </c>
      <c r="AG7" s="1066" t="inlineStr">
        <is>
          <t>G</t>
        </is>
      </c>
      <c r="AH7" s="1875" t="n">
        <v>0.56577941</v>
      </c>
      <c r="AI7" s="1875" t="n">
        <v>3.38305128363636</v>
      </c>
      <c r="AJ7" s="1878">
        <f>AI7-AH7</f>
        <v>2.81727187363636</v>
      </c>
      <c r="AK7" s="1879">
        <f>IFERROR(AJ7/AI7,"-")</f>
        <v>0.832760616802753</v>
      </c>
      <c r="AL7" s="1076" t="inlineStr">
        <is>
          <t>G</t>
        </is>
      </c>
      <c r="AN7" s="1877">
        <f>I23+AC23+AH23+X23</f>
        <v>32.7689975631702</v>
      </c>
      <c r="AO7" s="1878">
        <f>J23+AD23+AI23+Y23</f>
        <v>40.5342230439394</v>
      </c>
      <c r="AP7" s="1878">
        <f>AO7-AN7</f>
        <v>7.76522548076924</v>
      </c>
      <c r="AQ7" s="1879">
        <f>IFERROR(AP7/AO7,"-")</f>
        <v>0.191572081506328</v>
      </c>
      <c r="AR7" s="1076" t="inlineStr">
        <is>
          <t>G</t>
        </is>
      </c>
    </row>
    <row r="8" ht="24" customFormat="1" customHeight="1" s="1059">
      <c r="A8" s="1059" t="inlineStr">
        <is>
          <t>Retail</t>
        </is>
      </c>
      <c r="B8" s="1072" t="inlineStr">
        <is>
          <t>Retail</t>
        </is>
      </c>
      <c r="C8" s="1073" t="inlineStr">
        <is>
          <t>Vance Anderson</t>
        </is>
      </c>
      <c r="D8" s="1877">
        <f>I8+AC8+AH8+X8</f>
        <v>14.29054862</v>
      </c>
      <c r="E8" s="1878">
        <f>J8+AD8+AI8+Y8</f>
        <v>18.06529514</v>
      </c>
      <c r="F8" s="1878">
        <f>E8-D8</f>
        <v>3.77474652</v>
      </c>
      <c r="G8" s="1879">
        <f>IFERROR(F8/E8,"-")</f>
        <v>0.208950171627254</v>
      </c>
      <c r="H8" s="1066" t="inlineStr">
        <is>
          <t>G</t>
        </is>
      </c>
      <c r="I8" s="1878" t="n">
        <v>6.854453</v>
      </c>
      <c r="J8" s="1878" t="n">
        <v>7.08529514</v>
      </c>
      <c r="K8" s="1878">
        <f>J8-I8</f>
        <v>0.23084214</v>
      </c>
      <c r="L8" s="1879">
        <f>IFERROR(K8/J8,"-")</f>
        <v>0.0325804550747338</v>
      </c>
      <c r="M8" s="1066" t="inlineStr">
        <is>
          <t>G</t>
        </is>
      </c>
      <c r="N8" s="1875">
        <f>I8-S8</f>
        <v>6.45960741</v>
      </c>
      <c r="O8" s="1875">
        <f>J8-T8</f>
        <v>6.43029514</v>
      </c>
      <c r="P8" s="1878">
        <f>O8-N8</f>
        <v>-0.0293122700000001</v>
      </c>
      <c r="Q8" s="1879">
        <f>IFERROR(P8/O8,"-")</f>
        <v>-0.00455846417027759</v>
      </c>
      <c r="R8" s="1066" t="inlineStr">
        <is>
          <t>G</t>
        </is>
      </c>
      <c r="S8" s="1875" t="n">
        <v>0.39484559</v>
      </c>
      <c r="T8" s="1875" t="n">
        <v>0.655</v>
      </c>
      <c r="U8" s="1878">
        <f>T8-S8</f>
        <v>0.26015441</v>
      </c>
      <c r="V8" s="1879">
        <f>IFERROR(U8/T8,"-")</f>
        <v>0.397182305343511</v>
      </c>
      <c r="W8" s="1066" t="inlineStr">
        <is>
          <t>G</t>
        </is>
      </c>
      <c r="X8" s="1878" t="n"/>
      <c r="Y8" s="1878" t="n"/>
      <c r="Z8" s="1878">
        <f>Y8-X8</f>
        <v>0</v>
      </c>
      <c r="AA8" s="1879" t="str">
        <f>IFERROR(Z8/Y8,"-")</f>
        <v>-</v>
      </c>
      <c r="AB8" s="1075" t="n"/>
      <c r="AC8" s="1878" t="n">
        <v>3.35460589</v>
      </c>
      <c r="AD8" s="1878" t="n">
        <v>5.08</v>
      </c>
      <c r="AE8" s="1878">
        <f>AD8-AC8</f>
        <v>1.72539411</v>
      </c>
      <c r="AF8" s="1879">
        <f>IFERROR(AE8/AD8,"-")</f>
        <v>0.33964450984252</v>
      </c>
      <c r="AG8" s="1066" t="inlineStr">
        <is>
          <t>G</t>
        </is>
      </c>
      <c r="AH8" s="1875" t="n">
        <v>4.08148973</v>
      </c>
      <c r="AI8" s="1875" t="n">
        <v>5.9</v>
      </c>
      <c r="AJ8" s="1878">
        <f>AI8-AH8</f>
        <v>1.81851027</v>
      </c>
      <c r="AK8" s="1879">
        <f>IFERROR(AJ8/AI8,"-")</f>
        <v>0.308222079661017</v>
      </c>
      <c r="AL8" s="1076" t="inlineStr">
        <is>
          <t>G</t>
        </is>
      </c>
      <c r="AN8" s="1877">
        <f>I24+AC24+AH24+X24</f>
        <v>35.26035577</v>
      </c>
      <c r="AO8" s="1878">
        <f>J24+AD24+AI24+Y24</f>
        <v>33.88085459</v>
      </c>
      <c r="AP8" s="1878">
        <f>AO8-AN8</f>
        <v>-1.37950118000001</v>
      </c>
      <c r="AQ8" s="1879">
        <f>IFERROR(AP8/AO8,"-")</f>
        <v>-0.0407162451093299</v>
      </c>
      <c r="AR8" s="1077" t="inlineStr">
        <is>
          <t>R</t>
        </is>
      </c>
    </row>
    <row r="9" ht="24" customFormat="1" customHeight="1" s="1059">
      <c r="A9" s="1059" t="inlineStr">
        <is>
          <t>Energy Solutions</t>
        </is>
      </c>
      <c r="B9" s="1072" t="inlineStr">
        <is>
          <t>Energy Solutions</t>
        </is>
      </c>
      <c r="C9" s="1073" t="inlineStr">
        <is>
          <t>Roanne Steele</t>
        </is>
      </c>
      <c r="D9" s="1877">
        <f>I9+AC9+AH9+X9</f>
        <v>4.138503998274</v>
      </c>
      <c r="E9" s="1878">
        <f>J9+AD9+AI9+Y9</f>
        <v>3.80667954</v>
      </c>
      <c r="F9" s="1878">
        <f>E9-D9</f>
        <v>-0.331824458274</v>
      </c>
      <c r="G9" s="1879">
        <f>IFERROR(F9/E9,"-")</f>
        <v>-0.0871690024829356</v>
      </c>
      <c r="H9" s="1078" t="inlineStr">
        <is>
          <t>R</t>
        </is>
      </c>
      <c r="I9" s="1878" t="n">
        <v>2.87890034</v>
      </c>
      <c r="J9" s="1878" t="n">
        <v>2.51601915</v>
      </c>
      <c r="K9" s="1878">
        <f>J9-I9</f>
        <v>-0.36288119</v>
      </c>
      <c r="L9" s="1879">
        <f>IFERROR(K9/J9,"-")</f>
        <v>-0.144228310026973</v>
      </c>
      <c r="M9" s="1079" t="inlineStr">
        <is>
          <t>R</t>
        </is>
      </c>
      <c r="N9" s="1875">
        <f>I9-S9</f>
        <v>2.54529162</v>
      </c>
      <c r="O9" s="1875">
        <f>J9-T9</f>
        <v>2.03101915</v>
      </c>
      <c r="P9" s="1878">
        <f>O9-N9</f>
        <v>-0.51427247</v>
      </c>
      <c r="Q9" s="1879">
        <f>IFERROR(P9/O9,"-")</f>
        <v>-0.253209069939099</v>
      </c>
      <c r="R9" s="1078" t="inlineStr">
        <is>
          <t>R</t>
        </is>
      </c>
      <c r="S9" s="1875" t="n">
        <v>0.33360872</v>
      </c>
      <c r="T9" s="1875" t="n">
        <v>0.485</v>
      </c>
      <c r="U9" s="1878">
        <f>T9-S9</f>
        <v>0.15139128</v>
      </c>
      <c r="V9" s="1879">
        <f>IFERROR(U9/T9,"-")</f>
        <v>0.312146969072165</v>
      </c>
      <c r="W9" s="1066" t="inlineStr">
        <is>
          <t>G</t>
        </is>
      </c>
      <c r="X9" s="1878" t="n"/>
      <c r="Y9" s="1878" t="n"/>
      <c r="Z9" s="1878">
        <f>Y9-X9</f>
        <v>0</v>
      </c>
      <c r="AA9" s="1879" t="str">
        <f>IFERROR(Z9/Y9,"-")</f>
        <v>-</v>
      </c>
      <c r="AB9" s="1075" t="n"/>
      <c r="AC9" s="1878" t="n"/>
      <c r="AD9" s="1878" t="n"/>
      <c r="AE9" s="1878">
        <f>AD9-AC9</f>
        <v>0</v>
      </c>
      <c r="AF9" s="1879" t="str">
        <f>IFERROR(AE9/AD9,"-")</f>
        <v>-</v>
      </c>
      <c r="AG9" s="1075" t="n"/>
      <c r="AH9" s="1875" t="n">
        <v>1.259603658274</v>
      </c>
      <c r="AI9" s="1875" t="n">
        <v>1.29066039</v>
      </c>
      <c r="AJ9" s="1878">
        <f>AI9-AH9</f>
        <v>0.031056731726</v>
      </c>
      <c r="AK9" s="1879">
        <f>IFERROR(AJ9/AI9,"-")</f>
        <v>0.0240626674271766</v>
      </c>
      <c r="AL9" s="1076" t="inlineStr">
        <is>
          <t>G</t>
        </is>
      </c>
      <c r="AN9" s="1877">
        <f>I25+AC25+AH25+X25</f>
        <v>7.830666008274</v>
      </c>
      <c r="AO9" s="1878">
        <f>J25+AD25+AI25+Y25</f>
        <v>8.00952437</v>
      </c>
      <c r="AP9" s="1878">
        <f>AO9-AN9</f>
        <v>0.178858361726</v>
      </c>
      <c r="AQ9" s="1879">
        <f>IFERROR(AP9/AO9,"-")</f>
        <v>0.0223307094733267</v>
      </c>
      <c r="AR9" s="1077" t="inlineStr">
        <is>
          <t>R</t>
        </is>
      </c>
    </row>
    <row r="10" ht="24" customFormat="1" customHeight="1" s="1059">
      <c r="A10" s="1059" t="inlineStr">
        <is>
          <t>Infrastructure</t>
        </is>
      </c>
      <c r="B10" s="1072" t="inlineStr">
        <is>
          <t>Infrastructure</t>
        </is>
      </c>
      <c r="C10" s="1073" t="inlineStr">
        <is>
          <t>Roanne Steele</t>
        </is>
      </c>
      <c r="D10" s="1877">
        <f>I10+AC10+AH10+X10</f>
        <v>2.69057661</v>
      </c>
      <c r="E10" s="1878">
        <f>J10+AD10+AI10+Y10</f>
        <v>4.27708298</v>
      </c>
      <c r="F10" s="1878">
        <f>E10-D10</f>
        <v>1.58650637</v>
      </c>
      <c r="G10" s="1879">
        <f>IFERROR(F10/E10,"-")</f>
        <v>0.37093186581103</v>
      </c>
      <c r="H10" s="1066" t="inlineStr">
        <is>
          <t>G</t>
        </is>
      </c>
      <c r="I10" s="1878" t="n">
        <v>1.75620822</v>
      </c>
      <c r="J10" s="1878" t="n">
        <v>1.831374</v>
      </c>
      <c r="K10" s="1878">
        <f>J10-I10</f>
        <v>0.0751657800000001</v>
      </c>
      <c r="L10" s="1879">
        <f>IFERROR(K10/J10,"-")</f>
        <v>0.0410433805437885</v>
      </c>
      <c r="M10" s="1066" t="inlineStr">
        <is>
          <t>G</t>
        </is>
      </c>
      <c r="N10" s="1875">
        <f>I10-S10</f>
        <v>1.44044992</v>
      </c>
      <c r="O10" s="1875">
        <f>J10-T10</f>
        <v>1.449693</v>
      </c>
      <c r="P10" s="1878">
        <f>O10-N10</f>
        <v>0.00924308000000007</v>
      </c>
      <c r="Q10" s="1879">
        <f>IFERROR(P10/O10,"-")</f>
        <v>0.00637588786039532</v>
      </c>
      <c r="R10" s="1066" t="inlineStr">
        <is>
          <t>G</t>
        </is>
      </c>
      <c r="S10" s="1875" t="n">
        <v>0.3157583</v>
      </c>
      <c r="T10" s="1875" t="n">
        <v>0.381681</v>
      </c>
      <c r="U10" s="1878">
        <f>T10-S10</f>
        <v>0.0659227</v>
      </c>
      <c r="V10" s="1879">
        <f>IFERROR(U10/T10,"-")</f>
        <v>0.172716745135336</v>
      </c>
      <c r="W10" s="1066" t="inlineStr">
        <is>
          <t>G</t>
        </is>
      </c>
      <c r="X10" s="1878" t="n"/>
      <c r="Y10" s="1878" t="n"/>
      <c r="Z10" s="1878">
        <f>Y10-X10</f>
        <v>0</v>
      </c>
      <c r="AA10" s="1879" t="str">
        <f>IFERROR(Z10/Y10,"-")</f>
        <v>-</v>
      </c>
      <c r="AB10" s="1075" t="n"/>
      <c r="AC10" s="1878" t="n"/>
      <c r="AD10" s="1878" t="n"/>
      <c r="AE10" s="1878">
        <f>AD10-AC10</f>
        <v>0</v>
      </c>
      <c r="AF10" s="1879" t="str">
        <f>IFERROR(AE10/AD10,"-")</f>
        <v>-</v>
      </c>
      <c r="AG10" s="1075" t="n"/>
      <c r="AH10" s="1875" t="n">
        <v>0.93436839</v>
      </c>
      <c r="AI10" s="1875" t="n">
        <v>2.44570898</v>
      </c>
      <c r="AJ10" s="1878">
        <f>AI10-AH10</f>
        <v>1.51134059</v>
      </c>
      <c r="AK10" s="1879">
        <f>IFERROR(AJ10/AI10,"-")</f>
        <v>0.617956021079826</v>
      </c>
      <c r="AL10" s="1076" t="inlineStr">
        <is>
          <t>G</t>
        </is>
      </c>
      <c r="AN10" s="1877">
        <f>I26+AC26+AH26+X26</f>
        <v>8.41854714</v>
      </c>
      <c r="AO10" s="1878">
        <f>J26+AD26+AI26+Y26</f>
        <v>9.24937596</v>
      </c>
      <c r="AP10" s="1878">
        <f>AO10-AN10</f>
        <v>0.830828820000001</v>
      </c>
      <c r="AQ10" s="1879">
        <f>IFERROR(AP10/AO10,"-")</f>
        <v>0.0898253918527062</v>
      </c>
      <c r="AR10" s="1076" t="inlineStr">
        <is>
          <t>G</t>
        </is>
      </c>
    </row>
    <row r="11" ht="24" customFormat="1" customHeight="1" s="1059">
      <c r="A11" s="1059" t="inlineStr">
        <is>
          <t>Finance &amp; Other Corp</t>
        </is>
      </c>
      <c r="B11" s="1072" t="inlineStr">
        <is>
          <t>Finance &amp; Other Corp</t>
        </is>
      </c>
      <c r="C11" s="1073" t="inlineStr">
        <is>
          <t>Emily Mogic</t>
        </is>
      </c>
      <c r="D11" s="1877">
        <f>I11+AC11+AH11+X11</f>
        <v>2.84685292</v>
      </c>
      <c r="E11" s="1878">
        <f>J11+AD11+AI11+Y11</f>
        <v>2.12235381</v>
      </c>
      <c r="F11" s="1878">
        <f>E11-D11</f>
        <v>-0.72449911</v>
      </c>
      <c r="G11" s="1879">
        <f>IFERROR(F11/E11,"-")</f>
        <v>-0.341365848892085</v>
      </c>
      <c r="H11" s="1078" t="inlineStr">
        <is>
          <t>R</t>
        </is>
      </c>
      <c r="I11" s="1878" t="n">
        <v>2.84685292</v>
      </c>
      <c r="J11" s="1878" t="n">
        <v>2.12235381</v>
      </c>
      <c r="K11" s="1878">
        <f>J11-I11</f>
        <v>-0.72449911</v>
      </c>
      <c r="L11" s="1879">
        <f>IFERROR(K11/J11,"-")</f>
        <v>-0.341365848892085</v>
      </c>
      <c r="M11" s="1078" t="inlineStr">
        <is>
          <t>R</t>
        </is>
      </c>
      <c r="N11" s="1875">
        <f>I11-S11</f>
        <v>2.07860065</v>
      </c>
      <c r="O11" s="1875">
        <f>J11-T11</f>
        <v>1.654610505</v>
      </c>
      <c r="P11" s="1878">
        <f>O11-N11</f>
        <v>-0.423990145</v>
      </c>
      <c r="Q11" s="1879">
        <f>IFERROR(P11/O11,"-")</f>
        <v>-0.256247705256773</v>
      </c>
      <c r="R11" s="1078" t="inlineStr">
        <is>
          <t>R</t>
        </is>
      </c>
      <c r="S11" s="1875" t="n">
        <v>0.76825227</v>
      </c>
      <c r="T11" s="1875" t="n">
        <v>0.467743305</v>
      </c>
      <c r="U11" s="1878">
        <f>T11-S11</f>
        <v>-0.300508965</v>
      </c>
      <c r="V11" s="1879">
        <f>IFERROR(U11/T11,"-")</f>
        <v>-0.642465561318938</v>
      </c>
      <c r="W11" s="1078" t="inlineStr">
        <is>
          <t>R</t>
        </is>
      </c>
      <c r="X11" s="1878" t="n"/>
      <c r="Y11" s="1878" t="n"/>
      <c r="Z11" s="1878">
        <f>Y11-X11</f>
        <v>0</v>
      </c>
      <c r="AA11" s="1879" t="str">
        <f>IFERROR(Z11/Y11,"-")</f>
        <v>-</v>
      </c>
      <c r="AB11" s="1075" t="n"/>
      <c r="AC11" s="1878" t="n"/>
      <c r="AD11" s="1878" t="n"/>
      <c r="AE11" s="1878">
        <f>AD11-AC11</f>
        <v>0</v>
      </c>
      <c r="AF11" s="1879" t="str">
        <f>IFERROR(AE11/AD11,"-")</f>
        <v>-</v>
      </c>
      <c r="AG11" s="1075" t="n"/>
      <c r="AH11" s="1875" t="n">
        <v>0</v>
      </c>
      <c r="AI11" s="1875" t="n">
        <v>0</v>
      </c>
      <c r="AJ11" s="1878">
        <f>AI11-AH11</f>
        <v>0</v>
      </c>
      <c r="AK11" s="1879" t="str">
        <f>IFERROR(AJ11/AI11,"-")</f>
        <v>-</v>
      </c>
      <c r="AL11" s="1080" t="n"/>
      <c r="AN11" s="1877">
        <f>I27+AC27+AH27+X27</f>
        <v>5.27211191</v>
      </c>
      <c r="AO11" s="1878">
        <f>J27+AD27+AI27+Y27</f>
        <v>3.88077368</v>
      </c>
      <c r="AP11" s="1878">
        <f>AO11-AN11</f>
        <v>-1.39133823</v>
      </c>
      <c r="AQ11" s="1879">
        <f>IFERROR(AP11/AO11,"-")</f>
        <v>-0.358520837525367</v>
      </c>
      <c r="AR11" s="1076" t="inlineStr">
        <is>
          <t>G</t>
        </is>
      </c>
    </row>
    <row r="12" ht="24" customFormat="1" customHeight="1" s="1059">
      <c r="A12" s="1059" t="inlineStr">
        <is>
          <t>People &amp; Culture</t>
        </is>
      </c>
      <c r="B12" s="1072" t="inlineStr">
        <is>
          <t>P&amp;C</t>
        </is>
      </c>
      <c r="C12" s="1073" t="inlineStr">
        <is>
          <t>Emily Mogic</t>
        </is>
      </c>
      <c r="D12" s="1877">
        <f>I12+AC12+AH12+X12</f>
        <v>1.9651397</v>
      </c>
      <c r="E12" s="1878">
        <f>J12+AD12+AI12+Y12</f>
        <v>2.46050804</v>
      </c>
      <c r="F12" s="1878">
        <f>E12-D12</f>
        <v>0.49536834</v>
      </c>
      <c r="G12" s="1879">
        <f>IFERROR(F12/E12,"-")</f>
        <v>0.201327665647457</v>
      </c>
      <c r="H12" s="1066" t="inlineStr">
        <is>
          <t>G</t>
        </is>
      </c>
      <c r="I12" s="1878" t="n">
        <v>1.61781844</v>
      </c>
      <c r="J12" s="1878" t="n">
        <v>1.86060804</v>
      </c>
      <c r="K12" s="1878">
        <f>J12-I12</f>
        <v>0.2427896</v>
      </c>
      <c r="L12" s="1879">
        <f>IFERROR(K12/J12,"-")</f>
        <v>0.130489385609663</v>
      </c>
      <c r="M12" s="1066" t="inlineStr">
        <is>
          <t>G</t>
        </is>
      </c>
      <c r="N12" s="1875">
        <f>I12-S12</f>
        <v>0.70035539</v>
      </c>
      <c r="O12" s="1875">
        <f>J12-T12</f>
        <v>0.87310804</v>
      </c>
      <c r="P12" s="1878">
        <f>O12-N12</f>
        <v>0.17275265</v>
      </c>
      <c r="Q12" s="1879">
        <f>IFERROR(P12/O12,"-")</f>
        <v>0.197859419551331</v>
      </c>
      <c r="R12" s="1066" t="inlineStr">
        <is>
          <t>G</t>
        </is>
      </c>
      <c r="S12" s="1875" t="n">
        <v>0.9174630499999999</v>
      </c>
      <c r="T12" s="1875" t="n">
        <v>0.9875</v>
      </c>
      <c r="U12" s="1878">
        <f>T12-S12</f>
        <v>0.0700369500000001</v>
      </c>
      <c r="V12" s="1879">
        <f>IFERROR(U12/T12,"-")</f>
        <v>0.0709234936708862</v>
      </c>
      <c r="W12" s="1066" t="inlineStr">
        <is>
          <t>G</t>
        </is>
      </c>
      <c r="X12" s="1878" t="n"/>
      <c r="Y12" s="1878" t="n"/>
      <c r="Z12" s="1878">
        <f>Y12-X12</f>
        <v>0</v>
      </c>
      <c r="AA12" s="1879" t="str">
        <f>IFERROR(Z12/Y12,"-")</f>
        <v>-</v>
      </c>
      <c r="AB12" s="1075" t="n"/>
      <c r="AC12" s="1878" t="n">
        <v>0.34732126</v>
      </c>
      <c r="AD12" s="1878" t="n">
        <v>0.4624</v>
      </c>
      <c r="AE12" s="1878">
        <f>AD12-AC12</f>
        <v>0.11507874</v>
      </c>
      <c r="AF12" s="1879">
        <f>IFERROR(AE12/AD12,"-")</f>
        <v>0.248872707612457</v>
      </c>
      <c r="AG12" s="1066" t="inlineStr">
        <is>
          <t>G</t>
        </is>
      </c>
      <c r="AH12" s="1875" t="n">
        <v>0</v>
      </c>
      <c r="AI12" s="1875" t="n">
        <v>0.1375</v>
      </c>
      <c r="AJ12" s="1878">
        <f>AI12-AH12</f>
        <v>0.1375</v>
      </c>
      <c r="AK12" s="1879">
        <f>IFERROR(AJ12/AI12,"-")</f>
        <v>1</v>
      </c>
      <c r="AL12" s="1076" t="inlineStr">
        <is>
          <t>G</t>
        </is>
      </c>
      <c r="AN12" s="1877">
        <f>I28+AC28+AH28+X28</f>
        <v>5.4932256</v>
      </c>
      <c r="AO12" s="1878">
        <f>J28+AD28+AI28+Y28</f>
        <v>5.81303803</v>
      </c>
      <c r="AP12" s="1878">
        <f>AO12-AN12</f>
        <v>0.319812430000001</v>
      </c>
      <c r="AQ12" s="1879">
        <f>IFERROR(AP12/AO12,"-")</f>
        <v>0.0550164007786477</v>
      </c>
      <c r="AR12" s="1076" t="inlineStr">
        <is>
          <t>G</t>
        </is>
      </c>
    </row>
    <row r="13" ht="24" customFormat="1" customHeight="1" s="1059">
      <c r="A13" s="1059" t="inlineStr">
        <is>
          <t>Customer</t>
        </is>
      </c>
      <c r="B13" s="1081" t="inlineStr">
        <is>
          <t>Customer</t>
        </is>
      </c>
      <c r="C13" s="1082" t="inlineStr">
        <is>
          <t>Harley Giles</t>
        </is>
      </c>
      <c r="D13" s="1880">
        <f>I13+AC13+AH13+X13</f>
        <v>2.41052833</v>
      </c>
      <c r="E13" s="1881">
        <f>J13+AD13+AI13+Y13</f>
        <v>5.40474571</v>
      </c>
      <c r="F13" s="1881">
        <f>E13-D13</f>
        <v>2.99421738</v>
      </c>
      <c r="G13" s="1882">
        <f>IFERROR(F13/E13,"-")</f>
        <v>0.553997827216926</v>
      </c>
      <c r="H13" s="1086" t="inlineStr">
        <is>
          <t>G</t>
        </is>
      </c>
      <c r="I13" s="1881" t="n">
        <v>0.98861064</v>
      </c>
      <c r="J13" s="1881" t="n">
        <v>0.82141236</v>
      </c>
      <c r="K13" s="1881">
        <f>J13-I13</f>
        <v>-0.16719828</v>
      </c>
      <c r="L13" s="1882">
        <f>IFERROR(K13/J13,"-")</f>
        <v>-0.203549749360967</v>
      </c>
      <c r="M13" s="1079" t="inlineStr">
        <is>
          <t>R</t>
        </is>
      </c>
      <c r="N13" s="1883">
        <f>I13-S13</f>
        <v>0.98861064</v>
      </c>
      <c r="O13" s="1883">
        <f>J13-T13</f>
        <v>0.82141236</v>
      </c>
      <c r="P13" s="1881">
        <f>O13-N13</f>
        <v>-0.16719828</v>
      </c>
      <c r="Q13" s="1882">
        <f>IFERROR(P13/O13,"-")</f>
        <v>-0.203549749360967</v>
      </c>
      <c r="R13" s="1079" t="inlineStr">
        <is>
          <t>R</t>
        </is>
      </c>
      <c r="S13" s="1883" t="n">
        <v>0</v>
      </c>
      <c r="T13" s="1883" t="n">
        <v>0</v>
      </c>
      <c r="U13" s="1881">
        <f>T13-S13</f>
        <v>0</v>
      </c>
      <c r="V13" s="1882" t="str">
        <f>IFERROR(U13/T13,"-")</f>
        <v>-</v>
      </c>
      <c r="W13" s="1088" t="n"/>
      <c r="X13" s="1881" t="n"/>
      <c r="Y13" s="1881" t="n"/>
      <c r="Z13" s="1881">
        <f>Y13-X13</f>
        <v>0</v>
      </c>
      <c r="AA13" s="1882" t="str">
        <f>IFERROR(Z13/Y13,"-")</f>
        <v>-</v>
      </c>
      <c r="AB13" s="1088" t="n"/>
      <c r="AC13" s="1881" t="n">
        <v>0</v>
      </c>
      <c r="AD13" s="1881" t="n">
        <v>2.50000002</v>
      </c>
      <c r="AE13" s="1881">
        <f>AD13-AC13</f>
        <v>2.50000002</v>
      </c>
      <c r="AF13" s="1882">
        <f>IFERROR(AE13/AD13,"-")</f>
        <v>1</v>
      </c>
      <c r="AG13" s="1086" t="inlineStr">
        <is>
          <t>G</t>
        </is>
      </c>
      <c r="AH13" s="1883" t="n">
        <v>1.42191769</v>
      </c>
      <c r="AI13" s="1883" t="n">
        <v>2.08333333</v>
      </c>
      <c r="AJ13" s="1881">
        <f>AI13-AH13</f>
        <v>0.66141564</v>
      </c>
      <c r="AK13" s="1882">
        <f>IFERROR(AJ13/AI13,"-")</f>
        <v>0.317479507707967</v>
      </c>
      <c r="AL13" s="1089" t="inlineStr">
        <is>
          <t>G</t>
        </is>
      </c>
      <c r="AN13" s="1880">
        <f>I29+AC29+AH29+X29</f>
        <v>10.98378269</v>
      </c>
      <c r="AO13" s="1881">
        <f>J29+AD29+AI29+Y29</f>
        <v>11.69153287</v>
      </c>
      <c r="AP13" s="1881">
        <f>AO13-AN13</f>
        <v>0.70775018</v>
      </c>
      <c r="AQ13" s="1882">
        <f>IFERROR(AP13/AO13,"-")</f>
        <v>0.0605352769281484</v>
      </c>
      <c r="AR13" s="1089" t="inlineStr">
        <is>
          <t>G</t>
        </is>
      </c>
    </row>
    <row r="14" ht="26.25" customFormat="1" customHeight="1" s="1090">
      <c r="B14" s="1091" t="inlineStr">
        <is>
          <t>Total Technology</t>
        </is>
      </c>
      <c r="C14" s="1091" t="n"/>
      <c r="D14" s="1884">
        <f>SUM(D5:D13)</f>
        <v>129.576576890371</v>
      </c>
      <c r="E14" s="1885">
        <f>SUM(E5:E13)</f>
        <v>149.32632776624</v>
      </c>
      <c r="F14" s="1885">
        <f>SUM(F5:F13)</f>
        <v>19.7497508758686</v>
      </c>
      <c r="G14" s="1886">
        <f>F14/E14</f>
        <v>0.132259000614986</v>
      </c>
      <c r="H14" s="1095" t="inlineStr">
        <is>
          <t>G</t>
        </is>
      </c>
      <c r="I14" s="1887">
        <f>SUM(I5:I13)</f>
        <v>92.2793951124</v>
      </c>
      <c r="J14" s="1885">
        <f>SUM(J5:J13)</f>
        <v>93.2564688874241</v>
      </c>
      <c r="K14" s="1885">
        <f>SUM(K5:K13)</f>
        <v>0.977073775024048</v>
      </c>
      <c r="L14" s="1886">
        <f>K14/J14</f>
        <v>0.0104772761255151</v>
      </c>
      <c r="M14" s="1095" t="inlineStr">
        <is>
          <t>G</t>
        </is>
      </c>
      <c r="N14" s="1887">
        <f>SUM(N5:N13)</f>
        <v>86.6600691054769</v>
      </c>
      <c r="O14" s="1885">
        <f>SUM(O5:O13)</f>
        <v>85.1255641208856</v>
      </c>
      <c r="P14" s="1885">
        <f>SUM(P5:P13)</f>
        <v>-1.53450498459133</v>
      </c>
      <c r="Q14" s="1886">
        <f>P14/O14</f>
        <v>-0.0180263708139684</v>
      </c>
      <c r="R14" s="1097" t="inlineStr">
        <is>
          <t>A</t>
        </is>
      </c>
      <c r="S14" s="1887">
        <f>SUM(S5:S13)</f>
        <v>5.61932600692308</v>
      </c>
      <c r="T14" s="1885">
        <f>SUM(T5:T13)</f>
        <v>8.13090476653846</v>
      </c>
      <c r="U14" s="1885">
        <f>SUM(U5:U13)</f>
        <v>2.51157875961538</v>
      </c>
      <c r="V14" s="1886">
        <f>U14/T14</f>
        <v>0.308892900818543</v>
      </c>
      <c r="W14" s="1095" t="inlineStr">
        <is>
          <t>G</t>
        </is>
      </c>
      <c r="X14" s="1887">
        <f>SUM(X5:X13)</f>
        <v>7.620976354</v>
      </c>
      <c r="Y14" s="1885">
        <f>SUM(Y5:Y13)</f>
        <v>8.07758416517918</v>
      </c>
      <c r="Z14" s="1885">
        <f>SUM(Z5:Z13)</f>
        <v>0.45660781117918</v>
      </c>
      <c r="AA14" s="1886">
        <f>Z14/Y14</f>
        <v>0.0565277689271903</v>
      </c>
      <c r="AB14" s="1095" t="inlineStr">
        <is>
          <t>G</t>
        </is>
      </c>
      <c r="AC14" s="1887">
        <f>SUM(AC5:AC13)</f>
        <v>17.270476819697</v>
      </c>
      <c r="AD14" s="1885">
        <f>SUM(AD5:AD13)</f>
        <v>24.41420402</v>
      </c>
      <c r="AE14" s="1885">
        <f>SUM(AE5:AE13)</f>
        <v>7.14372720030303</v>
      </c>
      <c r="AF14" s="1886">
        <f>AE14/AD14</f>
        <v>0.292605369990802</v>
      </c>
      <c r="AG14" s="1095" t="inlineStr">
        <is>
          <t>G</t>
        </is>
      </c>
      <c r="AH14" s="1887">
        <f>SUM(AH5:AH13)</f>
        <v>12.405728604274</v>
      </c>
      <c r="AI14" s="1885">
        <f>SUM(AI5:AI13)</f>
        <v>23.5780706936364</v>
      </c>
      <c r="AJ14" s="1885">
        <f>SUM(AJ5:AJ13)</f>
        <v>11.1723420893624</v>
      </c>
      <c r="AK14" s="1886">
        <f>AJ14/AI14</f>
        <v>0.473844625988747</v>
      </c>
      <c r="AL14" s="1098" t="inlineStr">
        <is>
          <t>G</t>
        </is>
      </c>
      <c r="AN14" s="1884">
        <f>SUM(AN5:AN13)</f>
        <v>297.093218538644</v>
      </c>
      <c r="AO14" s="1885">
        <f>SUM(AO5:AO13)</f>
        <v>302.522349682313</v>
      </c>
      <c r="AP14" s="1885">
        <f>SUM(AP5:AP13)</f>
        <v>5.42913114366853</v>
      </c>
      <c r="AQ14" s="1888">
        <f>AP14/AO14</f>
        <v>0.0179462150461604</v>
      </c>
      <c r="AR14" s="1098" t="inlineStr">
        <is>
          <t>G</t>
        </is>
      </c>
    </row>
    <row r="15" ht="24" customHeight="1" s="866">
      <c r="F15" s="1889">
        <f>F14/E14</f>
        <v>0.132259000614986</v>
      </c>
      <c r="I15" s="1889">
        <f>I14/$D14</f>
        <v>0.712161081323159</v>
      </c>
      <c r="J15" s="1101" t="inlineStr">
        <is>
          <t>`</t>
        </is>
      </c>
      <c r="K15" s="1889">
        <f>K14/J14</f>
        <v>0.0104772761255151</v>
      </c>
      <c r="L15" s="1101" t="n"/>
      <c r="M15" s="1101" t="n"/>
      <c r="N15" s="1889">
        <f>N14/$D14</f>
        <v>0.668794246500247</v>
      </c>
      <c r="O15" s="1101" t="n"/>
      <c r="P15" s="1889">
        <f>P14/O14</f>
        <v>-0.0180263708139684</v>
      </c>
      <c r="Q15" s="1101" t="n"/>
      <c r="R15" s="1101" t="n"/>
      <c r="S15" s="1889">
        <f>S14/$D14</f>
        <v>0.043366834822912</v>
      </c>
      <c r="T15" s="1101" t="n"/>
      <c r="U15" s="1889">
        <f>U14/T14</f>
        <v>0.308892900818543</v>
      </c>
      <c r="V15" s="1101" t="n"/>
      <c r="W15" s="1101" t="n"/>
      <c r="X15" s="1889">
        <f>X14/$D14</f>
        <v>0.058814459656916</v>
      </c>
      <c r="Z15" s="1889">
        <f>Z14/Y14</f>
        <v>0.0565277689271903</v>
      </c>
      <c r="AC15" s="1889">
        <f>AC14/$D14</f>
        <v>0.133283940926366</v>
      </c>
      <c r="AD15" s="1101" t="n"/>
      <c r="AE15" s="1889">
        <f>AE14/AD14</f>
        <v>0.292605369990802</v>
      </c>
      <c r="AF15" s="1101" t="n"/>
      <c r="AG15" s="1101" t="n"/>
      <c r="AH15" s="1889">
        <f>AH14/$D14</f>
        <v>0.095740518093559</v>
      </c>
      <c r="AI15" s="1101" t="n"/>
      <c r="AJ15" s="1889">
        <f>AJ14/AI14</f>
        <v>0.473844625988747</v>
      </c>
      <c r="AK15" s="1101" t="n"/>
      <c r="AL15" s="1101" t="n"/>
    </row>
    <row r="16" ht="30.75" customFormat="1" customHeight="1" s="1041"/>
    <row r="19" ht="35.25" customHeight="1" s="866">
      <c r="B19" s="1043" t="inlineStr">
        <is>
          <t>BUSINESS SEGMENTS</t>
        </is>
      </c>
      <c r="C19" s="1043" t="inlineStr">
        <is>
          <t>TDD GM</t>
        </is>
      </c>
      <c r="D19" s="1102" t="inlineStr">
        <is>
          <t>FY2026 - TOTAL</t>
        </is>
      </c>
      <c r="E19" s="1045" t="n"/>
      <c r="F19" s="1045" t="n"/>
      <c r="G19" s="1045" t="n"/>
      <c r="H19" s="1046" t="n"/>
      <c r="I19" s="1047" t="inlineStr">
        <is>
          <t>OPEX: LIGHTS ON + INITIATIVES</t>
        </is>
      </c>
      <c r="J19" s="1045" t="n"/>
      <c r="K19" s="1045" t="n"/>
      <c r="L19" s="1045" t="n"/>
      <c r="M19" s="1046" t="n"/>
      <c r="N19" s="1047" t="inlineStr">
        <is>
          <t>OPEX:LIGHTS ON</t>
        </is>
      </c>
      <c r="O19" s="1045" t="n"/>
      <c r="P19" s="1045" t="n"/>
      <c r="Q19" s="1045" t="n"/>
      <c r="R19" s="1046" t="n"/>
      <c r="S19" s="1047" t="inlineStr">
        <is>
          <t>OPEX: INITIATIVES</t>
        </is>
      </c>
      <c r="T19" s="1045" t="n"/>
      <c r="U19" s="1045" t="n"/>
      <c r="V19" s="1045" t="n"/>
      <c r="W19" s="1046" t="n"/>
      <c r="X19" s="1047" t="inlineStr">
        <is>
          <t>OPEX: DEPRECIATION</t>
        </is>
      </c>
      <c r="Y19" s="1045" t="n"/>
      <c r="Z19" s="1045" t="n"/>
      <c r="AA19" s="1045" t="n"/>
      <c r="AB19" s="1046" t="n"/>
      <c r="AC19" s="1047" t="inlineStr">
        <is>
          <t>OPEX: SIGNIFICANT ITEMS</t>
        </is>
      </c>
      <c r="AD19" s="1045" t="n"/>
      <c r="AE19" s="1045" t="n"/>
      <c r="AF19" s="1045" t="n"/>
      <c r="AG19" s="1046" t="n"/>
      <c r="AH19" s="1048" t="inlineStr">
        <is>
          <t>CAPEX</t>
        </is>
      </c>
      <c r="AI19" s="1045" t="n"/>
      <c r="AJ19" s="1045" t="n"/>
      <c r="AK19" s="1045" t="n"/>
      <c r="AL19" s="1049" t="n"/>
    </row>
    <row r="20" ht="12.75" customHeight="1" s="866">
      <c r="B20" s="1052" t="n"/>
      <c r="C20" s="1052" t="n"/>
      <c r="D20" s="1103" t="inlineStr">
        <is>
          <t>F</t>
        </is>
      </c>
      <c r="E20" s="1103" t="inlineStr">
        <is>
          <t>B</t>
        </is>
      </c>
      <c r="F20" s="1103" t="inlineStr">
        <is>
          <t>V</t>
        </is>
      </c>
      <c r="G20" s="1054" t="inlineStr">
        <is>
          <t>V %</t>
        </is>
      </c>
      <c r="H20" s="1103" t="inlineStr">
        <is>
          <t>Trend</t>
        </is>
      </c>
      <c r="I20" s="1104" t="inlineStr">
        <is>
          <t>F</t>
        </is>
      </c>
      <c r="J20" s="1055" t="inlineStr">
        <is>
          <t>B</t>
        </is>
      </c>
      <c r="K20" s="1055" t="inlineStr">
        <is>
          <t>V</t>
        </is>
      </c>
      <c r="L20" s="1055" t="inlineStr">
        <is>
          <t>V %</t>
        </is>
      </c>
      <c r="M20" s="1055" t="inlineStr">
        <is>
          <t>Trend</t>
        </is>
      </c>
      <c r="N20" s="1104" t="inlineStr">
        <is>
          <t>F</t>
        </is>
      </c>
      <c r="O20" s="1055" t="inlineStr">
        <is>
          <t>B</t>
        </is>
      </c>
      <c r="P20" s="1055" t="inlineStr">
        <is>
          <t>V</t>
        </is>
      </c>
      <c r="Q20" s="1055" t="inlineStr">
        <is>
          <t>V %</t>
        </is>
      </c>
      <c r="R20" s="1055" t="inlineStr">
        <is>
          <t>Trend</t>
        </is>
      </c>
      <c r="S20" s="1104" t="inlineStr">
        <is>
          <t>F</t>
        </is>
      </c>
      <c r="T20" s="1055" t="inlineStr">
        <is>
          <t>B</t>
        </is>
      </c>
      <c r="U20" s="1055" t="inlineStr">
        <is>
          <t>V</t>
        </is>
      </c>
      <c r="V20" s="1055" t="inlineStr">
        <is>
          <t>V %</t>
        </is>
      </c>
      <c r="W20" s="1055" t="inlineStr">
        <is>
          <t>Trend</t>
        </is>
      </c>
      <c r="X20" s="1104" t="inlineStr">
        <is>
          <t>F</t>
        </is>
      </c>
      <c r="Y20" s="1055" t="inlineStr">
        <is>
          <t>B</t>
        </is>
      </c>
      <c r="Z20" s="1055" t="inlineStr">
        <is>
          <t>V</t>
        </is>
      </c>
      <c r="AA20" s="1055" t="inlineStr">
        <is>
          <t>V %</t>
        </is>
      </c>
      <c r="AB20" s="1055" t="inlineStr">
        <is>
          <t>Trend</t>
        </is>
      </c>
      <c r="AC20" s="1104" t="inlineStr">
        <is>
          <t>F</t>
        </is>
      </c>
      <c r="AD20" s="1055" t="inlineStr">
        <is>
          <t>B</t>
        </is>
      </c>
      <c r="AE20" s="1055" t="inlineStr">
        <is>
          <t>V</t>
        </is>
      </c>
      <c r="AF20" s="1055" t="inlineStr">
        <is>
          <t>V %</t>
        </is>
      </c>
      <c r="AG20" s="1055" t="inlineStr">
        <is>
          <t>Trend</t>
        </is>
      </c>
      <c r="AH20" s="1104" t="inlineStr">
        <is>
          <t>F</t>
        </is>
      </c>
      <c r="AI20" s="1055" t="inlineStr">
        <is>
          <t>B</t>
        </is>
      </c>
      <c r="AJ20" s="1055" t="inlineStr">
        <is>
          <t>V</t>
        </is>
      </c>
      <c r="AK20" s="1055" t="inlineStr">
        <is>
          <t>V %</t>
        </is>
      </c>
      <c r="AL20" s="1056" t="inlineStr">
        <is>
          <t>Trend</t>
        </is>
      </c>
    </row>
    <row r="21" ht="21" customFormat="1" customHeight="1" s="1059">
      <c r="A21" s="1059" t="inlineStr">
        <is>
          <t>TDD (Corporate)1</t>
        </is>
      </c>
      <c r="B21" s="1105" t="inlineStr">
        <is>
          <t>TDD (Corporate)1</t>
        </is>
      </c>
      <c r="C21" s="1061" t="inlineStr">
        <is>
          <t>Brad Blyth
Greg Cassis</t>
        </is>
      </c>
      <c r="D21" s="1875">
        <f>I21+AC21+AH21+X21</f>
        <v>117.95714038</v>
      </c>
      <c r="E21" s="1875">
        <f>J21+AD21+AI21+Y21</f>
        <v>112.75951309</v>
      </c>
      <c r="F21" s="1875">
        <f>E21-D21</f>
        <v>-5.19762729000001</v>
      </c>
      <c r="G21" s="1876">
        <f>IFERROR(F21/E21,"-")</f>
        <v>-0.0460948007628543</v>
      </c>
      <c r="H21" s="1078" t="inlineStr">
        <is>
          <t>R</t>
        </is>
      </c>
      <c r="I21" s="1875" t="n">
        <v>82.08787687</v>
      </c>
      <c r="J21" s="1875" t="n">
        <v>81.89486321</v>
      </c>
      <c r="K21" s="1875">
        <f>J21-I21</f>
        <v>-0.193013660000005</v>
      </c>
      <c r="L21" s="1876">
        <f>IFERROR(K21/J21,"-")</f>
        <v>-0.0023568469673741</v>
      </c>
      <c r="M21" s="1065" t="inlineStr">
        <is>
          <t>G</t>
        </is>
      </c>
      <c r="N21" s="1875">
        <f>I21-S21</f>
        <v>79.31043564</v>
      </c>
      <c r="O21" s="1875">
        <f>J21-T21</f>
        <v>78.89486321</v>
      </c>
      <c r="P21" s="1875">
        <f>O21-N21</f>
        <v>-0.415572430000012</v>
      </c>
      <c r="Q21" s="1876">
        <f>IFERROR(P21/O21,"-")</f>
        <v>-0.00526742062907002</v>
      </c>
      <c r="R21" s="1067" t="inlineStr">
        <is>
          <t>A</t>
        </is>
      </c>
      <c r="S21" s="1875" t="n">
        <v>2.77744123</v>
      </c>
      <c r="T21" s="1875" t="n">
        <v>3</v>
      </c>
      <c r="U21" s="1875">
        <f>T21-S21</f>
        <v>0.22255877</v>
      </c>
      <c r="V21" s="1876">
        <f>IFERROR(U21/T21,"-")</f>
        <v>0.0741862566666667</v>
      </c>
      <c r="W21" s="1065" t="inlineStr">
        <is>
          <t>G</t>
        </is>
      </c>
      <c r="X21" s="1875" t="n">
        <v>5.68651106</v>
      </c>
      <c r="Y21" s="1875" t="n">
        <v>5.80004988</v>
      </c>
      <c r="Z21" s="1875">
        <f>Y21-X21</f>
        <v>0.11353882</v>
      </c>
      <c r="AA21" s="1876">
        <f>IFERROR(Z21/Y21,"-")</f>
        <v>0.0195754902714734</v>
      </c>
      <c r="AB21" s="1065" t="inlineStr">
        <is>
          <t>G</t>
        </is>
      </c>
      <c r="AC21" s="1875" t="n">
        <v>25.39577262</v>
      </c>
      <c r="AD21" s="1875" t="n">
        <v>20.1966</v>
      </c>
      <c r="AE21" s="1875">
        <f>AD21-AC21</f>
        <v>-5.19917262</v>
      </c>
      <c r="AF21" s="1876">
        <f>IFERROR(AE21/AD21,"-")</f>
        <v>-0.257428112652625</v>
      </c>
      <c r="AG21" s="1078" t="inlineStr">
        <is>
          <t>R</t>
        </is>
      </c>
      <c r="AH21" s="1875" t="n">
        <v>4.78697983</v>
      </c>
      <c r="AI21" s="1875" t="n">
        <v>4.868</v>
      </c>
      <c r="AJ21" s="1875">
        <f>AI21-AH21</f>
        <v>0.0810201700000004</v>
      </c>
      <c r="AK21" s="1876">
        <f>IFERROR(AJ21/AI21,"-")</f>
        <v>0.0166434202958094</v>
      </c>
      <c r="AL21" s="1068" t="inlineStr">
        <is>
          <t>G</t>
        </is>
      </c>
      <c r="AM21" s="1890">
        <f>I21+X21</f>
        <v>87.77438793</v>
      </c>
      <c r="AN21" s="1059" t="inlineStr">
        <is>
          <t>input retail SI number manually</t>
        </is>
      </c>
      <c r="AO21" s="1890" t="n"/>
      <c r="AP21" s="1890" t="n"/>
      <c r="AQ21" s="1890" t="n"/>
      <c r="AR21" s="1890" t="n"/>
      <c r="AS21" s="1890" t="n"/>
    </row>
    <row r="22" ht="21" customFormat="1" customHeight="1" s="1059">
      <c r="A22" s="1059" t="inlineStr">
        <is>
          <t>Z-Energy</t>
        </is>
      </c>
      <c r="B22" s="1107" t="inlineStr">
        <is>
          <t>Z- Energy</t>
        </is>
      </c>
      <c r="C22" s="1073" t="inlineStr">
        <is>
          <t>Vance Anderson
Harley Giles</t>
        </is>
      </c>
      <c r="D22" s="1878">
        <f>I22+AC22+AH22+X22</f>
        <v>73.1083914772</v>
      </c>
      <c r="E22" s="1878">
        <f>J22+AD22+AI22+Y22</f>
        <v>76.7035140483733</v>
      </c>
      <c r="F22" s="1878">
        <f>E22-D22</f>
        <v>3.59512257117331</v>
      </c>
      <c r="G22" s="1879">
        <f>IFERROR(F22/E22,"-")</f>
        <v>0.0468703763546743</v>
      </c>
      <c r="H22" s="1066" t="inlineStr">
        <is>
          <t>G</t>
        </is>
      </c>
      <c r="I22" s="1878" t="n">
        <v>53.465433886</v>
      </c>
      <c r="J22" s="1878" t="n">
        <v>53.6714996190862</v>
      </c>
      <c r="K22" s="1878">
        <f>J22-I22</f>
        <v>0.206065733086199</v>
      </c>
      <c r="L22" s="1879">
        <f>IFERROR(K22/J22,"-")</f>
        <v>0.0038393884007094</v>
      </c>
      <c r="M22" s="1066" t="inlineStr">
        <is>
          <t>G</t>
        </is>
      </c>
      <c r="N22" s="1875">
        <f>I22-S22</f>
        <v>53.465433886</v>
      </c>
      <c r="O22" s="1875">
        <f>J22-T22</f>
        <v>52.2252596190862</v>
      </c>
      <c r="P22" s="1878">
        <f>O22-N22</f>
        <v>-1.2401742669138</v>
      </c>
      <c r="Q22" s="1879">
        <f>IFERROR(P22/O22,"-")</f>
        <v>-0.0237466367033735</v>
      </c>
      <c r="R22" s="1067" t="inlineStr">
        <is>
          <t>A</t>
        </is>
      </c>
      <c r="S22" s="1878" t="n">
        <v>0</v>
      </c>
      <c r="T22" s="1878" t="n">
        <v>1.44624</v>
      </c>
      <c r="U22" s="1878">
        <f>T22-S22</f>
        <v>1.44624</v>
      </c>
      <c r="V22" s="1879">
        <f>IFERROR(U22/T22,"-")</f>
        <v>1</v>
      </c>
      <c r="W22" s="1066" t="inlineStr">
        <is>
          <t>G</t>
        </is>
      </c>
      <c r="X22" s="1878" t="n">
        <v>10.1614981916</v>
      </c>
      <c r="Y22" s="1878" t="n">
        <v>11.3065205892871</v>
      </c>
      <c r="Z22" s="1875">
        <f>Y22-X22</f>
        <v>1.1450223976871</v>
      </c>
      <c r="AA22" s="1879">
        <f>IFERROR(Z22/Y22,"-")</f>
        <v>0.101270977985217</v>
      </c>
      <c r="AB22" s="1066" t="inlineStr">
        <is>
          <t>G</t>
        </is>
      </c>
      <c r="AC22" s="1878" t="n">
        <v>0</v>
      </c>
      <c r="AD22" s="1878" t="n">
        <v>0</v>
      </c>
      <c r="AE22" s="1878">
        <f>AD22-AC22</f>
        <v>0</v>
      </c>
      <c r="AF22" s="1879" t="str">
        <f>IFERROR(AE22/AD22,"-")</f>
        <v>-</v>
      </c>
      <c r="AG22" s="1075" t="n"/>
      <c r="AH22" s="1878" t="n">
        <v>9.4814593996</v>
      </c>
      <c r="AI22" s="1878" t="n">
        <v>11.72549384</v>
      </c>
      <c r="AJ22" s="1878">
        <f>AI22-AH22</f>
        <v>2.2440344404</v>
      </c>
      <c r="AK22" s="1879">
        <f>IFERROR(AJ22/AI22,"-")</f>
        <v>0.191380804170889</v>
      </c>
      <c r="AL22" s="1076" t="inlineStr">
        <is>
          <t>G</t>
        </is>
      </c>
      <c r="AM22" s="1890">
        <f>I22+X22</f>
        <v>63.6269320776</v>
      </c>
      <c r="AN22" s="1890" t="n"/>
      <c r="AO22" s="1890" t="n"/>
      <c r="AP22" s="1890" t="n"/>
      <c r="AQ22" s="1890" t="n"/>
      <c r="AR22" s="1890" t="n"/>
      <c r="AS22" s="1890" t="n"/>
    </row>
    <row r="23" ht="24" customFormat="1" customHeight="1" s="1059">
      <c r="A23" s="1059" t="inlineStr">
        <is>
          <t>Commercial Fuels</t>
        </is>
      </c>
      <c r="B23" s="1107" t="inlineStr">
        <is>
          <t>Commercial Fuels</t>
        </is>
      </c>
      <c r="C23" s="1073" t="inlineStr">
        <is>
          <t>Roanne Steele</t>
        </is>
      </c>
      <c r="D23" s="1878">
        <f>I23+AC23+AH23+X23</f>
        <v>32.7689975631702</v>
      </c>
      <c r="E23" s="1878">
        <f>J23+AD23+AI23+Y23</f>
        <v>40.5342230439394</v>
      </c>
      <c r="F23" s="1878">
        <f>E23-D23</f>
        <v>7.76522548076924</v>
      </c>
      <c r="G23" s="1879">
        <f>IFERROR(F23/E23,"-")</f>
        <v>0.191572081506328</v>
      </c>
      <c r="H23" s="1066" t="inlineStr">
        <is>
          <t>G</t>
        </is>
      </c>
      <c r="I23" s="1878" t="n">
        <v>18.0758203839394</v>
      </c>
      <c r="J23" s="1878" t="n">
        <v>19.5173022039394</v>
      </c>
      <c r="K23" s="1878">
        <f>J23-I23</f>
        <v>1.44148182</v>
      </c>
      <c r="L23" s="1879">
        <f>IFERROR(K23/J23,"-")</f>
        <v>0.0738566121965898</v>
      </c>
      <c r="M23" s="1066" t="inlineStr">
        <is>
          <t>G</t>
        </is>
      </c>
      <c r="N23" s="1875">
        <f>I23-S23</f>
        <v>12.122014240313</v>
      </c>
      <c r="O23" s="1875">
        <f>J23-T23</f>
        <v>13.6555812808625</v>
      </c>
      <c r="P23" s="1878">
        <f>O23-N23</f>
        <v>1.53356704054946</v>
      </c>
      <c r="Q23" s="1879">
        <f>IFERROR(P23/O23,"-")</f>
        <v>0.11230331459406</v>
      </c>
      <c r="R23" s="1066" t="inlineStr">
        <is>
          <t>G</t>
        </is>
      </c>
      <c r="S23" s="1878" t="n">
        <v>5.95380614362638</v>
      </c>
      <c r="T23" s="1878" t="n">
        <v>5.86172092307692</v>
      </c>
      <c r="U23" s="1878">
        <f>T23-S23</f>
        <v>-0.0920852205494604</v>
      </c>
      <c r="V23" s="1879">
        <f>IFERROR(U23/T23,"-")</f>
        <v>-0.0157095879790066</v>
      </c>
      <c r="W23" s="1067" t="inlineStr">
        <is>
          <t>A</t>
        </is>
      </c>
      <c r="X23" s="1878" t="n"/>
      <c r="Y23" s="1878" t="n"/>
      <c r="Z23" s="1878">
        <f>Y23-X23</f>
        <v>0</v>
      </c>
      <c r="AA23" s="1879" t="str">
        <f>IFERROR(Z23/Y23,"-")</f>
        <v>-</v>
      </c>
      <c r="AB23" s="1075" t="n"/>
      <c r="AC23" s="1878" t="n">
        <v>8.927315999999999</v>
      </c>
      <c r="AD23" s="1878" t="n">
        <v>14.219208</v>
      </c>
      <c r="AE23" s="1878">
        <f>AD23-AC23</f>
        <v>5.291892</v>
      </c>
      <c r="AF23" s="1879">
        <f>IFERROR(AE23/AD23,"-")</f>
        <v>0.372165031976465</v>
      </c>
      <c r="AG23" s="1066" t="inlineStr">
        <is>
          <t>G</t>
        </is>
      </c>
      <c r="AH23" s="1878" t="n">
        <v>5.76586117923077</v>
      </c>
      <c r="AI23" s="1878" t="n">
        <v>6.79771284</v>
      </c>
      <c r="AJ23" s="1878">
        <f>AI23-AH23</f>
        <v>1.03185166076923</v>
      </c>
      <c r="AK23" s="1879">
        <f>IFERROR(AJ23/AI23,"-")</f>
        <v>0.151793946737125</v>
      </c>
      <c r="AL23" s="1076" t="inlineStr">
        <is>
          <t>G</t>
        </is>
      </c>
    </row>
    <row r="24" ht="24" customFormat="1" customHeight="1" s="1059">
      <c r="A24" s="1059" t="inlineStr">
        <is>
          <t>Retail</t>
        </is>
      </c>
      <c r="B24" s="1107" t="inlineStr">
        <is>
          <t>Retail</t>
        </is>
      </c>
      <c r="C24" s="1073" t="inlineStr">
        <is>
          <t>Vance Anderson</t>
        </is>
      </c>
      <c r="D24" s="1878">
        <f>I24+AC24+AH24+X24</f>
        <v>35.26035577</v>
      </c>
      <c r="E24" s="1878">
        <f>J24+AD24+AI24+Y24</f>
        <v>33.88085459</v>
      </c>
      <c r="F24" s="1878">
        <f>E24-D24</f>
        <v>-1.37950118000001</v>
      </c>
      <c r="G24" s="1879">
        <f>IFERROR(F24/E24,"-")</f>
        <v>-0.0407162451093299</v>
      </c>
      <c r="H24" s="1067" t="inlineStr">
        <is>
          <t>A</t>
        </is>
      </c>
      <c r="I24" s="1878" t="n">
        <v>15.23072269</v>
      </c>
      <c r="J24" s="1878" t="n">
        <v>15.23585459</v>
      </c>
      <c r="K24" s="1878">
        <f>J24-I24</f>
        <v>0.0051319000000003</v>
      </c>
      <c r="L24" s="1879">
        <f>IFERROR(K24/J24,"-")</f>
        <v>0.000336830465904328</v>
      </c>
      <c r="M24" s="1066" t="inlineStr">
        <is>
          <t>G</t>
        </is>
      </c>
      <c r="N24" s="1875">
        <f>I24-S24</f>
        <v>14.4810851</v>
      </c>
      <c r="O24" s="1875">
        <f>J24-T24</f>
        <v>13.92585459</v>
      </c>
      <c r="P24" s="1878">
        <f>O24-N24</f>
        <v>-0.55523051</v>
      </c>
      <c r="Q24" s="1879">
        <f>IFERROR(P24/O24,"-")</f>
        <v>-0.0398704802216378</v>
      </c>
      <c r="R24" s="1067" t="inlineStr">
        <is>
          <t>A</t>
        </is>
      </c>
      <c r="S24" s="1878" t="n">
        <v>0.74963759</v>
      </c>
      <c r="T24" s="1878" t="n">
        <v>1.31</v>
      </c>
      <c r="U24" s="1878">
        <f>T24-S24</f>
        <v>0.56036241</v>
      </c>
      <c r="V24" s="1879">
        <f>IFERROR(U24/T24,"-")</f>
        <v>0.427757564885496</v>
      </c>
      <c r="W24" s="1066" t="inlineStr">
        <is>
          <t>G</t>
        </is>
      </c>
      <c r="X24" s="1878" t="n"/>
      <c r="Y24" s="1878" t="n"/>
      <c r="Z24" s="1878">
        <f>Y24-X24</f>
        <v>0</v>
      </c>
      <c r="AA24" s="1879" t="str">
        <f>IFERROR(Z24/Y24,"-")</f>
        <v>-</v>
      </c>
      <c r="AB24" s="1075" t="n"/>
      <c r="AC24" s="1878" t="n">
        <v>8.640000000000001</v>
      </c>
      <c r="AD24" s="1878" t="n">
        <v>6.845</v>
      </c>
      <c r="AE24" s="1878">
        <f>AD24-AC24</f>
        <v>-1.795</v>
      </c>
      <c r="AF24" s="1879">
        <f>IFERROR(AE24/AD24,"-")</f>
        <v>-0.262235208181154</v>
      </c>
      <c r="AG24" s="1078" t="inlineStr">
        <is>
          <t>R</t>
        </is>
      </c>
      <c r="AH24" s="1878" t="n">
        <v>11.38963308</v>
      </c>
      <c r="AI24" s="1878" t="n">
        <v>11.8</v>
      </c>
      <c r="AJ24" s="1878">
        <f>AI24-AH24</f>
        <v>0.410366920000001</v>
      </c>
      <c r="AK24" s="1879">
        <f>IFERROR(AJ24/AI24,"-")</f>
        <v>0.0347768576271188</v>
      </c>
      <c r="AL24" s="1076" t="inlineStr">
        <is>
          <t>G</t>
        </is>
      </c>
    </row>
    <row r="25" ht="24" customFormat="1" customHeight="1" s="1059">
      <c r="A25" s="1059" t="inlineStr">
        <is>
          <t>Energy Solutions</t>
        </is>
      </c>
      <c r="B25" s="1107" t="inlineStr">
        <is>
          <t>Energy Solutions</t>
        </is>
      </c>
      <c r="C25" s="1073" t="inlineStr">
        <is>
          <t>Roanne Steele</t>
        </is>
      </c>
      <c r="D25" s="1878">
        <f>I25+AC25+AH25+X25</f>
        <v>7.830666008274</v>
      </c>
      <c r="E25" s="1878">
        <f>J25+AD25+AI25+Y25</f>
        <v>8.00952437</v>
      </c>
      <c r="F25" s="1878">
        <f>E25-D25</f>
        <v>0.178858361726</v>
      </c>
      <c r="G25" s="1879">
        <f>IFERROR(F25/E25,"-")</f>
        <v>0.0223307094733267</v>
      </c>
      <c r="H25" s="1066" t="inlineStr">
        <is>
          <t>G</t>
        </is>
      </c>
      <c r="I25" s="1878" t="n">
        <v>5.04409835</v>
      </c>
      <c r="J25" s="1878" t="n">
        <v>5.01193945</v>
      </c>
      <c r="K25" s="1878">
        <f>J25-I25</f>
        <v>-0.0321588999999998</v>
      </c>
      <c r="L25" s="1879">
        <f>IFERROR(K25/J25,"-")</f>
        <v>-0.00641645820362011</v>
      </c>
      <c r="M25" s="1067" t="inlineStr">
        <is>
          <t>A</t>
        </is>
      </c>
      <c r="N25" s="1875">
        <f>I25-S25</f>
        <v>4.53621563</v>
      </c>
      <c r="O25" s="1875">
        <f>J25-T25</f>
        <v>4.04193945</v>
      </c>
      <c r="P25" s="1878">
        <f>O25-N25</f>
        <v>-0.494276179999999</v>
      </c>
      <c r="Q25" s="1879">
        <f>IFERROR(P25/O25,"-")</f>
        <v>-0.122286883837411</v>
      </c>
      <c r="R25" s="1078" t="inlineStr">
        <is>
          <t>R</t>
        </is>
      </c>
      <c r="S25" s="1878" t="n">
        <v>0.50788272</v>
      </c>
      <c r="T25" s="1878" t="n">
        <v>0.97</v>
      </c>
      <c r="U25" s="1878">
        <f>T25-S25</f>
        <v>0.46211728</v>
      </c>
      <c r="V25" s="1879">
        <f>IFERROR(U25/T25,"-")</f>
        <v>0.476409567010309</v>
      </c>
      <c r="W25" s="1066" t="inlineStr">
        <is>
          <t>G</t>
        </is>
      </c>
      <c r="X25" s="1878" t="n"/>
      <c r="Y25" s="1878" t="n"/>
      <c r="Z25" s="1878">
        <f>Y25-X25</f>
        <v>0</v>
      </c>
      <c r="AA25" s="1879" t="str">
        <f>IFERROR(Z25/Y25,"-")</f>
        <v>-</v>
      </c>
      <c r="AB25" s="1075" t="n"/>
      <c r="AC25" s="1878" t="n"/>
      <c r="AD25" s="1878" t="n"/>
      <c r="AE25" s="1878">
        <f>AD25-AC25</f>
        <v>0</v>
      </c>
      <c r="AF25" s="1879" t="str">
        <f>IFERROR(AE25/AD25,"-")</f>
        <v>-</v>
      </c>
      <c r="AG25" s="1075" t="n"/>
      <c r="AH25" s="1878" t="n">
        <v>2.786567658274</v>
      </c>
      <c r="AI25" s="1878" t="n">
        <v>2.99758492</v>
      </c>
      <c r="AJ25" s="1878">
        <f>AI25-AH25</f>
        <v>0.211017261726</v>
      </c>
      <c r="AK25" s="1879">
        <f>IFERROR(AJ25/AI25,"-")</f>
        <v>0.0703957577041721</v>
      </c>
      <c r="AL25" s="1076" t="inlineStr">
        <is>
          <t>G</t>
        </is>
      </c>
    </row>
    <row r="26" ht="24" customFormat="1" customHeight="1" s="1059">
      <c r="A26" s="1059" t="inlineStr">
        <is>
          <t>Infrastructure</t>
        </is>
      </c>
      <c r="B26" s="1107" t="inlineStr">
        <is>
          <t>Infrastructure</t>
        </is>
      </c>
      <c r="C26" s="1073" t="inlineStr">
        <is>
          <t>Roanne Steele</t>
        </is>
      </c>
      <c r="D26" s="1878">
        <f>I26+AC26+AH26+X26</f>
        <v>8.41854714</v>
      </c>
      <c r="E26" s="1878">
        <f>J26+AD26+AI26+Y26</f>
        <v>9.24937596</v>
      </c>
      <c r="F26" s="1878">
        <f>E26-D26</f>
        <v>0.830828820000001</v>
      </c>
      <c r="G26" s="1879">
        <f>IFERROR(F26/E26,"-")</f>
        <v>0.0898253918527062</v>
      </c>
      <c r="H26" s="1066" t="inlineStr">
        <is>
          <t>G</t>
        </is>
      </c>
      <c r="I26" s="1878" t="n">
        <v>4.27497864</v>
      </c>
      <c r="J26" s="1878" t="n">
        <v>4.357958</v>
      </c>
      <c r="K26" s="1878">
        <f>J26-I26</f>
        <v>0.0829793600000004</v>
      </c>
      <c r="L26" s="1879">
        <f>IFERROR(K26/J26,"-")</f>
        <v>0.0190408810732</v>
      </c>
      <c r="M26" s="1066" t="inlineStr">
        <is>
          <t>G</t>
        </is>
      </c>
      <c r="N26" s="1875">
        <f>I26-S26</f>
        <v>3.30102534</v>
      </c>
      <c r="O26" s="1875">
        <f>J26-T26</f>
        <v>3.594596</v>
      </c>
      <c r="P26" s="1878">
        <f>O26-N26</f>
        <v>0.29357066</v>
      </c>
      <c r="Q26" s="1879">
        <f>IFERROR(P26/O26,"-")</f>
        <v>0.0816700013019545</v>
      </c>
      <c r="R26" s="1066" t="inlineStr">
        <is>
          <t>G</t>
        </is>
      </c>
      <c r="S26" s="1878" t="n">
        <v>0.9739533</v>
      </c>
      <c r="T26" s="1878" t="n">
        <v>0.763362</v>
      </c>
      <c r="U26" s="1878">
        <f>T26-S26</f>
        <v>-0.2105913</v>
      </c>
      <c r="V26" s="1879">
        <f>IFERROR(U26/T26,"-")</f>
        <v>-0.275873438814088</v>
      </c>
      <c r="W26" s="1078" t="inlineStr">
        <is>
          <t>R</t>
        </is>
      </c>
      <c r="X26" s="1878" t="n"/>
      <c r="Y26" s="1878" t="n"/>
      <c r="Z26" s="1878">
        <f>Y26-X26</f>
        <v>0</v>
      </c>
      <c r="AA26" s="1879" t="str">
        <f>IFERROR(Z26/Y26,"-")</f>
        <v>-</v>
      </c>
      <c r="AB26" s="1075" t="n"/>
      <c r="AC26" s="1878" t="n"/>
      <c r="AD26" s="1878" t="n"/>
      <c r="AE26" s="1878">
        <f>AD26-AC26</f>
        <v>0</v>
      </c>
      <c r="AF26" s="1879" t="str">
        <f>IFERROR(AE26/AD26,"-")</f>
        <v>-</v>
      </c>
      <c r="AG26" s="1075" t="n"/>
      <c r="AH26" s="1878" t="n">
        <v>4.1435685</v>
      </c>
      <c r="AI26" s="1878" t="n">
        <v>4.89141796</v>
      </c>
      <c r="AJ26" s="1878">
        <f>AI26-AH26</f>
        <v>0.74784946</v>
      </c>
      <c r="AK26" s="1879">
        <f>IFERROR(AJ26/AI26,"-")</f>
        <v>0.152890116141292</v>
      </c>
      <c r="AL26" s="1076" t="inlineStr">
        <is>
          <t>G</t>
        </is>
      </c>
    </row>
    <row r="27" ht="24" customFormat="1" customHeight="1" s="1059">
      <c r="A27" s="1059" t="inlineStr">
        <is>
          <t>Finance &amp; Other Corp</t>
        </is>
      </c>
      <c r="B27" s="1107" t="inlineStr">
        <is>
          <t>Finance &amp; Other Corp</t>
        </is>
      </c>
      <c r="C27" s="1073" t="inlineStr">
        <is>
          <t>Emily Mogic</t>
        </is>
      </c>
      <c r="D27" s="1878">
        <f>I27+AC27+AH27+X27</f>
        <v>5.27211191</v>
      </c>
      <c r="E27" s="1878">
        <f>J27+AD27+AI27+Y27</f>
        <v>3.88077368</v>
      </c>
      <c r="F27" s="1878">
        <f>E27-D27</f>
        <v>-1.39133823</v>
      </c>
      <c r="G27" s="1879">
        <f>IFERROR(F27/E27,"-")</f>
        <v>-0.358520837525367</v>
      </c>
      <c r="H27" s="1078" t="inlineStr">
        <is>
          <t>R</t>
        </is>
      </c>
      <c r="I27" s="1878" t="n">
        <v>5.27211191</v>
      </c>
      <c r="J27" s="1878" t="n">
        <v>3.88077368</v>
      </c>
      <c r="K27" s="1878">
        <f>J27-I27</f>
        <v>-1.39133823</v>
      </c>
      <c r="L27" s="1879">
        <f>IFERROR(K27/J27,"-")</f>
        <v>-0.358520837525367</v>
      </c>
      <c r="M27" s="1078" t="inlineStr">
        <is>
          <t>R</t>
        </is>
      </c>
      <c r="N27" s="1875">
        <f>I27-S27</f>
        <v>4.35889564</v>
      </c>
      <c r="O27" s="1875">
        <f>J27-T27</f>
        <v>2.94528707</v>
      </c>
      <c r="P27" s="1878">
        <f>O27-N27</f>
        <v>-1.41360857</v>
      </c>
      <c r="Q27" s="1879">
        <f>IFERROR(P27/O27,"-")</f>
        <v>-0.479956125295454</v>
      </c>
      <c r="R27" s="1078" t="inlineStr">
        <is>
          <t>R</t>
        </is>
      </c>
      <c r="S27" s="1878" t="n">
        <v>0.9132162700000001</v>
      </c>
      <c r="T27" s="1878" t="n">
        <v>0.93548661</v>
      </c>
      <c r="U27" s="1878">
        <f>T27-S27</f>
        <v>0.0222703399999999</v>
      </c>
      <c r="V27" s="1879">
        <f>IFERROR(U27/T27,"-")</f>
        <v>0.0238061558144589</v>
      </c>
      <c r="W27" s="1066" t="inlineStr">
        <is>
          <t>G</t>
        </is>
      </c>
      <c r="X27" s="1878" t="n"/>
      <c r="Y27" s="1878" t="n"/>
      <c r="Z27" s="1878">
        <f>Y27-X27</f>
        <v>0</v>
      </c>
      <c r="AA27" s="1879" t="str">
        <f>IFERROR(Z27/Y27,"-")</f>
        <v>-</v>
      </c>
      <c r="AB27" s="1075" t="n"/>
      <c r="AC27" s="1878" t="n"/>
      <c r="AD27" s="1878" t="n"/>
      <c r="AE27" s="1878">
        <f>AD27-AC27</f>
        <v>0</v>
      </c>
      <c r="AF27" s="1879" t="str">
        <f>IFERROR(AE27/AD27,"-")</f>
        <v>-</v>
      </c>
      <c r="AG27" s="1075" t="n"/>
      <c r="AH27" s="1878" t="n">
        <v>0</v>
      </c>
      <c r="AI27" s="1878" t="n">
        <v>0</v>
      </c>
      <c r="AJ27" s="1878">
        <f>AI27-AH27</f>
        <v>0</v>
      </c>
      <c r="AK27" s="1879" t="str">
        <f>IFERROR(AJ27/AI27,"-")</f>
        <v>-</v>
      </c>
      <c r="AL27" s="1076" t="inlineStr">
        <is>
          <t>G</t>
        </is>
      </c>
    </row>
    <row r="28" ht="24" customFormat="1" customHeight="1" s="1059">
      <c r="A28" s="1059" t="inlineStr">
        <is>
          <t>People &amp; Culture</t>
        </is>
      </c>
      <c r="B28" s="1107" t="inlineStr">
        <is>
          <t>P&amp;C</t>
        </is>
      </c>
      <c r="C28" s="1073" t="inlineStr">
        <is>
          <t>Emily Mogic</t>
        </is>
      </c>
      <c r="D28" s="1878">
        <f>I28+AC28+AH28+X28</f>
        <v>5.4932256</v>
      </c>
      <c r="E28" s="1878">
        <f>J28+AD28+AI28+Y28</f>
        <v>5.81303803</v>
      </c>
      <c r="F28" s="1878">
        <f>E28-D28</f>
        <v>0.319812430000001</v>
      </c>
      <c r="G28" s="1879">
        <f>IFERROR(F28/E28,"-")</f>
        <v>0.0550164007786477</v>
      </c>
      <c r="H28" s="1066" t="inlineStr">
        <is>
          <t>G</t>
        </is>
      </c>
      <c r="I28" s="1878" t="n">
        <v>3.85168615</v>
      </c>
      <c r="J28" s="1878" t="n">
        <v>4.12303803</v>
      </c>
      <c r="K28" s="1878">
        <f>J28-I28</f>
        <v>0.27135188</v>
      </c>
      <c r="L28" s="1879">
        <f>IFERROR(K28/J28,"-")</f>
        <v>0.0658135767910926</v>
      </c>
      <c r="M28" s="1066" t="inlineStr">
        <is>
          <t>G</t>
        </is>
      </c>
      <c r="N28" s="1875">
        <f>I28-S28</f>
        <v>1.91213530398386</v>
      </c>
      <c r="O28" s="1875">
        <f>J28-T28</f>
        <v>2.14803803</v>
      </c>
      <c r="P28" s="1878">
        <f>O28-N28</f>
        <v>0.23590272601614</v>
      </c>
      <c r="Q28" s="1879">
        <f>IFERROR(P28/O28,"-")</f>
        <v>0.109822415954218</v>
      </c>
      <c r="R28" s="1066" t="inlineStr">
        <is>
          <t>G</t>
        </is>
      </c>
      <c r="S28" s="1878" t="n">
        <v>1.93955084601614</v>
      </c>
      <c r="T28" s="1878" t="n">
        <v>1.975</v>
      </c>
      <c r="U28" s="1878">
        <f>T28-S28</f>
        <v>0.0354491539838602</v>
      </c>
      <c r="V28" s="1879">
        <f>IFERROR(U28/T28,"-")</f>
        <v>0.0179489387260052</v>
      </c>
      <c r="W28" s="1066" t="inlineStr">
        <is>
          <t>G</t>
        </is>
      </c>
      <c r="X28" s="1878" t="n"/>
      <c r="Y28" s="1878" t="n"/>
      <c r="Z28" s="1878">
        <f>Y28-X28</f>
        <v>0</v>
      </c>
      <c r="AA28" s="1879" t="str">
        <f>IFERROR(Z28/Y28,"-")</f>
        <v>-</v>
      </c>
      <c r="AB28" s="1075" t="n"/>
      <c r="AC28" s="1878" t="n">
        <v>1.31153945</v>
      </c>
      <c r="AD28" s="1878" t="n">
        <v>1.36</v>
      </c>
      <c r="AE28" s="1878">
        <f>AD28-AC28</f>
        <v>0.0484605500000002</v>
      </c>
      <c r="AF28" s="1879">
        <f>IFERROR(AE28/AD28,"-")</f>
        <v>0.0356327573529413</v>
      </c>
      <c r="AG28" s="1066" t="inlineStr">
        <is>
          <t>G</t>
        </is>
      </c>
      <c r="AH28" s="1878" t="n">
        <v>0.33</v>
      </c>
      <c r="AI28" s="1878" t="n">
        <v>0.33</v>
      </c>
      <c r="AJ28" s="1878">
        <f>AI28-AH28</f>
        <v>0</v>
      </c>
      <c r="AK28" s="1879">
        <f>IFERROR(AJ28/AI28,"-")</f>
        <v>0</v>
      </c>
      <c r="AL28" s="1076" t="inlineStr">
        <is>
          <t>G</t>
        </is>
      </c>
    </row>
    <row r="29" ht="24" customFormat="1" customHeight="1" s="1059">
      <c r="A29" s="1059" t="inlineStr">
        <is>
          <t>Customer</t>
        </is>
      </c>
      <c r="B29" s="1108" t="inlineStr">
        <is>
          <t>Customer</t>
        </is>
      </c>
      <c r="C29" s="1082" t="inlineStr">
        <is>
          <t>Harley Giles</t>
        </is>
      </c>
      <c r="D29" s="1881">
        <f>I29+AC29+AH29+X29</f>
        <v>10.98378269</v>
      </c>
      <c r="E29" s="1881">
        <f>J29+AD29+AI29+Y29</f>
        <v>11.69153287</v>
      </c>
      <c r="F29" s="1881">
        <f>E29-D29</f>
        <v>0.70775018</v>
      </c>
      <c r="G29" s="1882">
        <f>IFERROR(F29/E29,"-")</f>
        <v>0.0605352769281484</v>
      </c>
      <c r="H29" s="1086" t="inlineStr">
        <is>
          <t>G</t>
        </is>
      </c>
      <c r="I29" s="1881" t="n">
        <v>2.74505002</v>
      </c>
      <c r="J29" s="1881" t="n">
        <v>1.69153283</v>
      </c>
      <c r="K29" s="1881">
        <f>J29-I29</f>
        <v>-1.05351719</v>
      </c>
      <c r="L29" s="1882">
        <f>IFERROR(K29/J29,"-")</f>
        <v>-0.622818056685308</v>
      </c>
      <c r="M29" s="1109" t="inlineStr">
        <is>
          <t>R</t>
        </is>
      </c>
      <c r="N29" s="1883">
        <f>I29-S29</f>
        <v>2.74505002</v>
      </c>
      <c r="O29" s="1883">
        <f>J29-T29</f>
        <v>1.69153283</v>
      </c>
      <c r="P29" s="1881">
        <f>O29-N29</f>
        <v>-1.05351719</v>
      </c>
      <c r="Q29" s="1882">
        <f>IFERROR(P29/O29,"-")</f>
        <v>-0.622818056685308</v>
      </c>
      <c r="R29" s="1109" t="inlineStr">
        <is>
          <t>R</t>
        </is>
      </c>
      <c r="S29" s="1881" t="n">
        <v>0</v>
      </c>
      <c r="T29" s="1881" t="n">
        <v>0</v>
      </c>
      <c r="U29" s="1881">
        <f>T29-S29</f>
        <v>0</v>
      </c>
      <c r="V29" s="1882" t="str">
        <f>IFERROR(U29/T29,"-")</f>
        <v>-</v>
      </c>
      <c r="W29" s="1088" t="n"/>
      <c r="X29" s="1881" t="n"/>
      <c r="Y29" s="1881" t="n"/>
      <c r="Z29" s="1881">
        <f>Y29-X29</f>
        <v>0</v>
      </c>
      <c r="AA29" s="1882" t="str">
        <f>IFERROR(Z29/Y29,"-")</f>
        <v>-</v>
      </c>
      <c r="AB29" s="1088" t="n"/>
      <c r="AC29" s="1881" t="n">
        <v>3.83238698</v>
      </c>
      <c r="AD29" s="1881" t="n">
        <v>5.00000004</v>
      </c>
      <c r="AE29" s="1881">
        <f>AD29-AC29</f>
        <v>1.16761306</v>
      </c>
      <c r="AF29" s="1882">
        <f>IFERROR(AE29/AD29,"-")</f>
        <v>0.233522610131819</v>
      </c>
      <c r="AG29" s="1110" t="inlineStr">
        <is>
          <t>G</t>
        </is>
      </c>
      <c r="AH29" s="1881" t="n">
        <v>4.40634569</v>
      </c>
      <c r="AI29" s="1881" t="n">
        <v>5</v>
      </c>
      <c r="AJ29" s="1881">
        <f>AI29-AH29</f>
        <v>0.59365431</v>
      </c>
      <c r="AK29" s="1882">
        <f>IFERROR(AJ29/AI29,"-")</f>
        <v>0.118730862</v>
      </c>
      <c r="AL29" s="1089" t="inlineStr">
        <is>
          <t>G</t>
        </is>
      </c>
    </row>
    <row r="30" ht="26.25" customFormat="1" customHeight="1" s="1090">
      <c r="B30" s="1091" t="inlineStr">
        <is>
          <t>Total Technology</t>
        </is>
      </c>
      <c r="C30" s="1091" t="n"/>
      <c r="D30" s="1887">
        <f>SUM(D21:D29)</f>
        <v>297.093218538644</v>
      </c>
      <c r="E30" s="1885">
        <f>SUM(E21:E29)</f>
        <v>302.522349682313</v>
      </c>
      <c r="F30" s="1885">
        <f>SUM(F21:F29)</f>
        <v>5.42913114366853</v>
      </c>
      <c r="G30" s="1888">
        <f>F30/E30</f>
        <v>0.0179462150461604</v>
      </c>
      <c r="H30" s="1095" t="inlineStr">
        <is>
          <t>G</t>
        </is>
      </c>
      <c r="I30" s="1887">
        <f>SUM(I21:I29)</f>
        <v>190.047778899939</v>
      </c>
      <c r="J30" s="1885">
        <f>SUM(J21:J29)</f>
        <v>189.384761613026</v>
      </c>
      <c r="K30" s="1885">
        <f>SUM(K21:K29)</f>
        <v>-0.663017286913805</v>
      </c>
      <c r="L30" s="1886">
        <f>K30/J30</f>
        <v>-0.00350090092395377</v>
      </c>
      <c r="M30" s="1097" t="inlineStr">
        <is>
          <t>A</t>
        </is>
      </c>
      <c r="N30" s="1887">
        <f>SUM(N21:N29)</f>
        <v>176.232290800297</v>
      </c>
      <c r="O30" s="1885">
        <f>SUM(O21:O29)</f>
        <v>173.122952079949</v>
      </c>
      <c r="P30" s="1885">
        <f>SUM(P21:P29)</f>
        <v>-3.10933872034821</v>
      </c>
      <c r="Q30" s="1886">
        <f>P30/O30</f>
        <v>-0.0179602917059334</v>
      </c>
      <c r="R30" s="1097" t="inlineStr">
        <is>
          <t>A</t>
        </is>
      </c>
      <c r="S30" s="1887">
        <f>SUM(S21:S29)</f>
        <v>13.8154880996425</v>
      </c>
      <c r="T30" s="1885">
        <f>SUM(T21:T29)</f>
        <v>16.2618095330769</v>
      </c>
      <c r="U30" s="1885">
        <f>SUM(U21:U29)</f>
        <v>2.4463214334344</v>
      </c>
      <c r="V30" s="1886">
        <f>U30/T30</f>
        <v>0.150433531302806</v>
      </c>
      <c r="W30" s="1095" t="inlineStr">
        <is>
          <t>G</t>
        </is>
      </c>
      <c r="X30" s="1887">
        <f>SUM(X21:X29)</f>
        <v>15.8480092516</v>
      </c>
      <c r="Y30" s="1885">
        <f>SUM(Y21:Y29)</f>
        <v>17.1065704692871</v>
      </c>
      <c r="Z30" s="1885">
        <f>SUM(Z21:Z29)</f>
        <v>1.2585612176871</v>
      </c>
      <c r="AA30" s="1886">
        <f>Z30/Y30</f>
        <v>0.0735718021298719</v>
      </c>
      <c r="AB30" s="1095" t="inlineStr">
        <is>
          <t>G</t>
        </is>
      </c>
      <c r="AC30" s="1887">
        <f>SUM(AC21:AC29)</f>
        <v>48.10701505</v>
      </c>
      <c r="AD30" s="1885">
        <f>SUM(AD21:AD29)</f>
        <v>47.62080804</v>
      </c>
      <c r="AE30" s="1885">
        <f>SUM(AE21:AE29)</f>
        <v>-0.486207009999999</v>
      </c>
      <c r="AF30" s="1886">
        <f>AE30/AD30</f>
        <v>-0.0102099697592615</v>
      </c>
      <c r="AG30" s="1097" t="inlineStr">
        <is>
          <t>A</t>
        </is>
      </c>
      <c r="AH30" s="1887">
        <f>SUM(AH21:AH29)</f>
        <v>43.0904153371048</v>
      </c>
      <c r="AI30" s="1885">
        <f>SUM(AI21:AI29)</f>
        <v>48.41020956</v>
      </c>
      <c r="AJ30" s="1885">
        <f>SUM(AJ21:AJ29)</f>
        <v>5.31979422289523</v>
      </c>
      <c r="AK30" s="1886">
        <f>AJ30/AI30</f>
        <v>0.109889923453065</v>
      </c>
      <c r="AL30" s="1098" t="inlineStr">
        <is>
          <t>G</t>
        </is>
      </c>
    </row>
    <row r="31" ht="15.75" customHeight="1" s="866">
      <c r="I31" s="1889">
        <f>I30/$D30</f>
        <v>0.639690733550753</v>
      </c>
      <c r="J31" s="1101" t="n"/>
      <c r="K31" s="1101" t="n"/>
      <c r="L31" s="1101" t="n"/>
      <c r="M31" s="1101" t="n"/>
      <c r="N31" s="1889">
        <f>N30/$D30</f>
        <v>0.593188534114499</v>
      </c>
      <c r="O31" s="1101" t="n"/>
      <c r="P31" s="1101" t="n"/>
      <c r="Q31" s="1101" t="n"/>
      <c r="R31" s="1101" t="n"/>
      <c r="S31" s="1889">
        <f>S30/$D30</f>
        <v>0.0465021994362536</v>
      </c>
      <c r="T31" s="1101" t="n"/>
      <c r="U31" s="1101" t="n"/>
      <c r="V31" s="1101" t="n"/>
      <c r="W31" s="1101" t="n"/>
      <c r="X31" s="1889">
        <f>X30/$D30</f>
        <v>0.0533435577208861</v>
      </c>
      <c r="AC31" s="1889">
        <f>AC30/$D30</f>
        <v>0.161925658507559</v>
      </c>
      <c r="AD31" s="1101" t="n"/>
      <c r="AE31" s="1101" t="n"/>
      <c r="AF31" s="1101" t="n"/>
      <c r="AG31" s="1101" t="n"/>
      <c r="AH31" s="1889">
        <f>AH30/$D30</f>
        <v>0.145040050220802</v>
      </c>
      <c r="AI31" s="1101" t="n"/>
      <c r="AJ31" s="1101" t="n"/>
      <c r="AK31" s="1101" t="n"/>
      <c r="AL31" s="1101" t="n"/>
    </row>
    <row r="32" ht="15" customHeight="1" s="866">
      <c r="AO32" s="1891">
        <f>E30-297</f>
        <v>5.52234968231272</v>
      </c>
    </row>
    <row r="35" ht="38.25" customHeight="1" s="866">
      <c r="B35" s="1112" t="n"/>
      <c r="C35" s="1112" t="n"/>
      <c r="D35" s="1113" t="str">
        <f>D3</f>
        <v>TOTAL 
YTD (Jun-2026)</v>
      </c>
      <c r="E35" s="1045" t="n"/>
      <c r="F35" s="1045" t="n"/>
      <c r="G35" s="1045" t="n"/>
      <c r="H35" s="1049" t="n"/>
      <c r="I35" s="1114" t="inlineStr">
        <is>
          <t>TOTAL TECHNOLOGY
Full Year 2026</t>
        </is>
      </c>
      <c r="J35" s="1045" t="n"/>
      <c r="K35" s="1045" t="n"/>
      <c r="L35" s="1045" t="n"/>
      <c r="M35" s="1049" t="n"/>
    </row>
    <row r="36" ht="13.5" customHeight="1" s="866">
      <c r="B36" s="1115" t="inlineStr">
        <is>
          <t>Spend Type</t>
        </is>
      </c>
      <c r="C36" s="1116" t="n"/>
      <c r="D36" s="1892" t="inlineStr">
        <is>
          <t>A</t>
        </is>
      </c>
      <c r="E36" s="1893" t="inlineStr">
        <is>
          <t>B</t>
        </is>
      </c>
      <c r="F36" s="1893" t="inlineStr">
        <is>
          <t>V</t>
        </is>
      </c>
      <c r="G36" s="1054" t="inlineStr">
        <is>
          <t>V %</t>
        </is>
      </c>
      <c r="H36" s="1058" t="inlineStr">
        <is>
          <t>Trend</t>
        </is>
      </c>
      <c r="I36" s="1892" t="inlineStr">
        <is>
          <t>F</t>
        </is>
      </c>
      <c r="J36" s="1893" t="inlineStr">
        <is>
          <t>B</t>
        </is>
      </c>
      <c r="K36" s="1893" t="inlineStr">
        <is>
          <t>V</t>
        </is>
      </c>
      <c r="L36" s="1054" t="inlineStr">
        <is>
          <t>V %</t>
        </is>
      </c>
      <c r="M36" s="1058" t="inlineStr">
        <is>
          <t>Trend</t>
        </is>
      </c>
    </row>
    <row r="37" ht="19.5" customHeight="1" s="866">
      <c r="B37" s="1119" t="inlineStr">
        <is>
          <t>Lights on</t>
        </is>
      </c>
      <c r="C37" s="1119" t="n"/>
      <c r="D37" s="1877">
        <f>N14</f>
        <v>86.6600691054769</v>
      </c>
      <c r="E37" s="1877">
        <f>O14</f>
        <v>85.1255641208856</v>
      </c>
      <c r="F37" s="1878">
        <f>E37-D37</f>
        <v>-1.53450498459134</v>
      </c>
      <c r="G37" s="1879">
        <f>IFERROR(F37/E37,"-")</f>
        <v>-0.0180263708139685</v>
      </c>
      <c r="H37" s="1120" t="inlineStr">
        <is>
          <t>A</t>
        </is>
      </c>
      <c r="I37" s="1877">
        <f>N30</f>
        <v>176.232290800297</v>
      </c>
      <c r="J37" s="1877">
        <f>O30</f>
        <v>173.122952079949</v>
      </c>
      <c r="K37" s="1878">
        <f>J37-I37</f>
        <v>-3.10933872034823</v>
      </c>
      <c r="L37" s="1879">
        <f>IFERROR(K37/J37,"-")</f>
        <v>-0.0179602917059336</v>
      </c>
      <c r="M37" s="1120" t="inlineStr">
        <is>
          <t>A</t>
        </is>
      </c>
    </row>
    <row r="38" ht="19.5" customHeight="1" s="866">
      <c r="B38" s="1121" t="inlineStr">
        <is>
          <t>Depreciation</t>
        </is>
      </c>
      <c r="C38" s="1121" t="n"/>
      <c r="D38" s="1880">
        <f>X14</f>
        <v>7.620976354</v>
      </c>
      <c r="E38" s="1881">
        <f>Y14</f>
        <v>8.07758416517918</v>
      </c>
      <c r="F38" s="1881">
        <f>E38-D38</f>
        <v>0.456607811179179</v>
      </c>
      <c r="G38" s="1882">
        <f>IFERROR(F38/E38,"-")</f>
        <v>0.0565277689271902</v>
      </c>
      <c r="H38" s="1089" t="inlineStr">
        <is>
          <t>G</t>
        </is>
      </c>
      <c r="I38" s="1880">
        <f>X30</f>
        <v>15.8480092516</v>
      </c>
      <c r="J38" s="1881">
        <f>Y30</f>
        <v>17.1065704692871</v>
      </c>
      <c r="K38" s="1881">
        <f>J38-I38</f>
        <v>1.2585612176871</v>
      </c>
      <c r="L38" s="1882">
        <f>IFERROR(K38/J38,"-")</f>
        <v>0.0735718021298718</v>
      </c>
      <c r="M38" s="1089" t="inlineStr">
        <is>
          <t>G</t>
        </is>
      </c>
    </row>
    <row r="39" ht="19.5" customHeight="1" s="866">
      <c r="B39" s="1122" t="inlineStr">
        <is>
          <t>Lights on + Depreciation</t>
        </is>
      </c>
      <c r="C39" s="1122" t="n"/>
      <c r="D39" s="1894">
        <f>SUM(D37:D38)</f>
        <v>94.2810454594769</v>
      </c>
      <c r="E39" s="1895">
        <f>SUM(E37:E38)</f>
        <v>93.2031482860648</v>
      </c>
      <c r="F39" s="1895">
        <f>SUM(F37:F38)</f>
        <v>-1.07789717341216</v>
      </c>
      <c r="G39" s="1896">
        <f>IFERROR(F39/E39,"-")</f>
        <v>-0.0115650296501124</v>
      </c>
      <c r="H39" s="1126" t="inlineStr">
        <is>
          <t>A</t>
        </is>
      </c>
      <c r="I39" s="1894">
        <f>SUM(I37:I38)</f>
        <v>192.080300051897</v>
      </c>
      <c r="J39" s="1895">
        <f>SUM(J37:J38)</f>
        <v>190.229522549236</v>
      </c>
      <c r="K39" s="1895">
        <f>SUM(K37:K38)</f>
        <v>-1.85077750266113</v>
      </c>
      <c r="L39" s="1896">
        <f>IFERROR(K39/J39,"-")</f>
        <v>-0.00972918124305396</v>
      </c>
      <c r="M39" s="1126" t="inlineStr">
        <is>
          <t>A</t>
        </is>
      </c>
    </row>
    <row r="40" ht="19.5" customHeight="1" s="866">
      <c r="B40" s="1119" t="inlineStr">
        <is>
          <t>Opex Initiatives</t>
        </is>
      </c>
      <c r="C40" s="1119" t="n"/>
      <c r="D40" s="1874">
        <f>S14</f>
        <v>5.61932600692308</v>
      </c>
      <c r="E40" s="1875">
        <f>T14</f>
        <v>8.13090476653846</v>
      </c>
      <c r="F40" s="1875">
        <f>E40-D40</f>
        <v>2.51157875961538</v>
      </c>
      <c r="G40" s="1876">
        <f>IFERROR(F40/E40,"-")</f>
        <v>0.308892900818543</v>
      </c>
      <c r="H40" s="1068" t="inlineStr">
        <is>
          <t>G</t>
        </is>
      </c>
      <c r="I40" s="1874">
        <f>S30</f>
        <v>13.8154880996425</v>
      </c>
      <c r="J40" s="1875">
        <f>T30</f>
        <v>16.2618095330769</v>
      </c>
      <c r="K40" s="1875">
        <f>J40-I40</f>
        <v>2.4463214334344</v>
      </c>
      <c r="L40" s="1876">
        <f>IFERROR(K40/J40,"-")</f>
        <v>0.150433531302806</v>
      </c>
      <c r="M40" s="1068" t="inlineStr">
        <is>
          <t>G</t>
        </is>
      </c>
    </row>
    <row r="41" ht="19.5" customHeight="1" s="866">
      <c r="B41" s="1127" t="inlineStr">
        <is>
          <t>Capex</t>
        </is>
      </c>
      <c r="C41" s="1119" t="n"/>
      <c r="D41" s="1877">
        <f>AH14</f>
        <v>12.405728604274</v>
      </c>
      <c r="E41" s="1878">
        <f>AI14</f>
        <v>23.5780706936364</v>
      </c>
      <c r="F41" s="1878">
        <f>E41-D41</f>
        <v>11.1723420893624</v>
      </c>
      <c r="G41" s="1879">
        <f>IFERROR(F41/E41,"-")</f>
        <v>0.473844625988747</v>
      </c>
      <c r="H41" s="1076" t="inlineStr">
        <is>
          <t>G</t>
        </is>
      </c>
      <c r="I41" s="1877">
        <f>AH30</f>
        <v>43.0904153371048</v>
      </c>
      <c r="J41" s="1878">
        <f>AI30</f>
        <v>48.41020956</v>
      </c>
      <c r="K41" s="1878">
        <f>J41-I41</f>
        <v>5.31979422289523</v>
      </c>
      <c r="L41" s="1879">
        <f>IFERROR(K41/J41,"-")</f>
        <v>0.109889923453065</v>
      </c>
      <c r="M41" s="1076" t="inlineStr">
        <is>
          <t>G</t>
        </is>
      </c>
    </row>
    <row r="42" ht="19.5" customHeight="1" s="866">
      <c r="B42" s="1128" t="inlineStr">
        <is>
          <t>Significant Items</t>
        </is>
      </c>
      <c r="C42" s="1121" t="n"/>
      <c r="D42" s="1880">
        <f>AC14</f>
        <v>17.270476819697</v>
      </c>
      <c r="E42" s="1881">
        <f>AD14</f>
        <v>24.41420402</v>
      </c>
      <c r="F42" s="1881">
        <f>E42-D42</f>
        <v>7.14372720030303</v>
      </c>
      <c r="G42" s="1882">
        <f>IFERROR(F42/E42,"-")</f>
        <v>0.292605369990802</v>
      </c>
      <c r="H42" s="1089" t="inlineStr">
        <is>
          <t>G</t>
        </is>
      </c>
      <c r="I42" s="1880">
        <f>AC30</f>
        <v>48.10701505</v>
      </c>
      <c r="J42" s="1881">
        <f>AD30</f>
        <v>47.62080804</v>
      </c>
      <c r="K42" s="1881">
        <f>J42-I42</f>
        <v>-0.486207010000001</v>
      </c>
      <c r="L42" s="1882">
        <f>IFERROR(K42/J42,"-")</f>
        <v>-0.0102099697592616</v>
      </c>
      <c r="M42" s="1071" t="inlineStr">
        <is>
          <t>A</t>
        </is>
      </c>
    </row>
    <row r="43" ht="19.5" customHeight="1" s="866">
      <c r="B43" s="1122" t="inlineStr">
        <is>
          <t>Projects</t>
        </is>
      </c>
      <c r="C43" s="1122" t="n"/>
      <c r="D43" s="1894">
        <f>SUM(D40:D42)</f>
        <v>35.295531430894</v>
      </c>
      <c r="E43" s="1895">
        <f>SUM(E40:E42)</f>
        <v>56.1231794801748</v>
      </c>
      <c r="F43" s="1895">
        <f>SUM(F40:F42)</f>
        <v>20.8276480492808</v>
      </c>
      <c r="G43" s="1896">
        <f>IFERROR(F43/E43,"-")</f>
        <v>0.371105989400298</v>
      </c>
      <c r="H43" s="1129" t="inlineStr">
        <is>
          <t>G</t>
        </is>
      </c>
      <c r="I43" s="1894">
        <f>SUM(I40:I42)</f>
        <v>105.012918486747</v>
      </c>
      <c r="J43" s="1895">
        <f>SUM(J40:J42)</f>
        <v>112.292827133077</v>
      </c>
      <c r="K43" s="1895">
        <f>SUM(K40:K42)</f>
        <v>7.27990864632963</v>
      </c>
      <c r="L43" s="1896">
        <f>IFERROR(K43/J43,"-")</f>
        <v>0.0648296853164298</v>
      </c>
      <c r="M43" s="1129" t="inlineStr">
        <is>
          <t>G</t>
        </is>
      </c>
    </row>
    <row r="44" ht="19.5" customHeight="1" s="866">
      <c r="B44" s="1130" t="inlineStr">
        <is>
          <t>Total Technology</t>
        </is>
      </c>
      <c r="C44" s="1130" t="n"/>
      <c r="D44" s="1894">
        <f>SUM(D43,D39)</f>
        <v>129.576576890371</v>
      </c>
      <c r="E44" s="1895">
        <f>SUM(E43,E39)</f>
        <v>149.32632776624</v>
      </c>
      <c r="F44" s="1895">
        <f>SUM(F43,F39)</f>
        <v>19.7497508758686</v>
      </c>
      <c r="G44" s="1896">
        <f>IFERROR(F44/E44,"-")</f>
        <v>0.132259000614986</v>
      </c>
      <c r="H44" s="1129" t="inlineStr">
        <is>
          <t>G</t>
        </is>
      </c>
      <c r="I44" s="1894">
        <f>SUM(I43,I39)</f>
        <v>297.093218538644</v>
      </c>
      <c r="J44" s="1895">
        <f>SUM(J43,J39)</f>
        <v>302.522349682313</v>
      </c>
      <c r="K44" s="1895">
        <f>SUM(K43,K39)</f>
        <v>5.42913114366849</v>
      </c>
      <c r="L44" s="1896">
        <f>IFERROR(K44/J44,"-")</f>
        <v>0.0179462150461603</v>
      </c>
      <c r="M44" s="1129" t="inlineStr">
        <is>
          <t>G</t>
        </is>
      </c>
    </row>
    <row r="47" ht="38.25" customHeight="1" s="866">
      <c r="B47" s="1131" t="inlineStr">
        <is>
          <t>SPEND CATEGORY</t>
        </is>
      </c>
      <c r="C47" s="1132" t="n"/>
      <c r="D47" s="1113" t="str">
        <f>D3</f>
        <v>TOTAL 
YTD (Jun-2026)</v>
      </c>
      <c r="E47" s="1045" t="n"/>
      <c r="F47" s="1045" t="n"/>
      <c r="G47" s="1045" t="n"/>
      <c r="H47" s="1049" t="n"/>
      <c r="I47" s="1114" t="inlineStr">
        <is>
          <t>TOTAL TECHNOLOGY
YTD (May-2026)</t>
        </is>
      </c>
      <c r="J47" s="1045" t="n"/>
      <c r="K47" s="1045" t="n"/>
      <c r="L47" s="1045" t="n"/>
      <c r="M47" s="1049" t="n"/>
    </row>
    <row r="48" ht="22.5" customHeight="1" s="866">
      <c r="B48" s="1133" t="n"/>
      <c r="C48" s="1134" t="n"/>
      <c r="D48" s="1892" t="inlineStr">
        <is>
          <t>A</t>
        </is>
      </c>
      <c r="E48" s="1893" t="inlineStr">
        <is>
          <t>B</t>
        </is>
      </c>
      <c r="F48" s="1893" t="inlineStr">
        <is>
          <t>V</t>
        </is>
      </c>
      <c r="G48" s="1054" t="inlineStr">
        <is>
          <t>V %</t>
        </is>
      </c>
      <c r="H48" s="1058" t="inlineStr">
        <is>
          <t>Trend</t>
        </is>
      </c>
      <c r="I48" s="1892" t="inlineStr">
        <is>
          <t>A</t>
        </is>
      </c>
      <c r="J48" s="1893" t="inlineStr">
        <is>
          <t>B</t>
        </is>
      </c>
      <c r="K48" s="1893" t="inlineStr">
        <is>
          <t>V</t>
        </is>
      </c>
      <c r="L48" s="1054" t="inlineStr">
        <is>
          <t>V %</t>
        </is>
      </c>
      <c r="M48" s="1058" t="inlineStr">
        <is>
          <t>Trend</t>
        </is>
      </c>
    </row>
    <row r="49" ht="19.5" customHeight="1" s="866">
      <c r="B49" s="1119" t="inlineStr">
        <is>
          <t>Opex</t>
        </is>
      </c>
      <c r="C49" s="1119" t="n"/>
      <c r="D49" s="1877">
        <f>I14+X14</f>
        <v>99.9003714664</v>
      </c>
      <c r="E49" s="1877">
        <f>J14+Y14</f>
        <v>101.334053052603</v>
      </c>
      <c r="F49" s="1878">
        <f>E49-D49</f>
        <v>1.43368158620322</v>
      </c>
      <c r="G49" s="1879">
        <f>IFERROR(F49/E49,"-")</f>
        <v>0.0141480730614711</v>
      </c>
      <c r="H49" s="1076" t="inlineStr">
        <is>
          <t>G</t>
        </is>
      </c>
      <c r="I49" s="1877">
        <f>I30+X30</f>
        <v>205.895788151539</v>
      </c>
      <c r="J49" s="1877">
        <f>J30+Y30</f>
        <v>206.491332082313</v>
      </c>
      <c r="K49" s="1878">
        <f>J49-I49</f>
        <v>0.595543930773317</v>
      </c>
      <c r="L49" s="1879">
        <f>IFERROR(K49/J49,"-")</f>
        <v>0.0028841110412127</v>
      </c>
      <c r="M49" s="1076" t="inlineStr">
        <is>
          <t>G</t>
        </is>
      </c>
    </row>
    <row r="50" ht="19.5" customHeight="1" s="866">
      <c r="B50" s="1121" t="inlineStr">
        <is>
          <t>Significant Items</t>
        </is>
      </c>
      <c r="C50" s="1121" t="n"/>
      <c r="D50" s="1877">
        <f>AC14</f>
        <v>17.270476819697</v>
      </c>
      <c r="E50" s="1877">
        <f>AD14</f>
        <v>24.41420402</v>
      </c>
      <c r="F50" s="1878">
        <f>E50-D50</f>
        <v>7.14372720030303</v>
      </c>
      <c r="G50" s="1879">
        <f>IFERROR(F50/E50,"-")</f>
        <v>0.292605369990802</v>
      </c>
      <c r="H50" s="1076" t="inlineStr">
        <is>
          <t>G</t>
        </is>
      </c>
      <c r="I50" s="1877">
        <f>AC30</f>
        <v>48.10701505</v>
      </c>
      <c r="J50" s="1877">
        <f>AD30</f>
        <v>47.62080804</v>
      </c>
      <c r="K50" s="1878">
        <f>J50-I50</f>
        <v>-0.486207010000001</v>
      </c>
      <c r="L50" s="1879">
        <f>IFERROR(K50/J50,"-")</f>
        <v>-0.0102099697592616</v>
      </c>
      <c r="M50" s="1120" t="inlineStr">
        <is>
          <t>A</t>
        </is>
      </c>
    </row>
    <row r="51" ht="19.5" customHeight="1" s="866">
      <c r="B51" s="1121" t="inlineStr">
        <is>
          <t>Capex</t>
        </is>
      </c>
      <c r="C51" s="1121" t="n"/>
      <c r="D51" s="1877">
        <f>AH14</f>
        <v>12.405728604274</v>
      </c>
      <c r="E51" s="1877">
        <f>AI14</f>
        <v>23.5780706936364</v>
      </c>
      <c r="F51" s="1878">
        <f>E51-D51</f>
        <v>11.1723420893624</v>
      </c>
      <c r="G51" s="1879">
        <f>IFERROR(F51/E51,"-")</f>
        <v>0.473844625988747</v>
      </c>
      <c r="H51" s="1076" t="inlineStr">
        <is>
          <t>G</t>
        </is>
      </c>
      <c r="I51" s="1877">
        <f>AH30</f>
        <v>43.0904153371048</v>
      </c>
      <c r="J51" s="1877">
        <f>AI30</f>
        <v>48.41020956</v>
      </c>
      <c r="K51" s="1878">
        <f>J51-I51</f>
        <v>5.31979422289523</v>
      </c>
      <c r="L51" s="1879">
        <f>IFERROR(K51/J51,"-")</f>
        <v>0.109889923453065</v>
      </c>
      <c r="M51" s="1076" t="inlineStr">
        <is>
          <t>G</t>
        </is>
      </c>
    </row>
    <row r="52" ht="19.5" customHeight="1" s="866">
      <c r="B52" s="1130" t="inlineStr">
        <is>
          <t>Total Technology</t>
        </is>
      </c>
      <c r="C52" s="1130" t="n"/>
      <c r="D52" s="1894">
        <f>SUM(D49:D51)</f>
        <v>129.576576890371</v>
      </c>
      <c r="E52" s="1894">
        <f>SUM(E49:E51)</f>
        <v>149.32632776624</v>
      </c>
      <c r="F52" s="1894">
        <f>SUM(F49:F51)</f>
        <v>19.7497508758686</v>
      </c>
      <c r="G52" s="1896">
        <f>IFERROR(F52/E52,"-")</f>
        <v>0.132259000614986</v>
      </c>
      <c r="H52" s="1129" t="inlineStr">
        <is>
          <t>G</t>
        </is>
      </c>
      <c r="I52" s="1894">
        <f>SUM(I49:I51)</f>
        <v>297.093218538644</v>
      </c>
      <c r="J52" s="1894">
        <f>SUM(J49:J51)</f>
        <v>302.522349682313</v>
      </c>
      <c r="K52" s="1894">
        <f>SUM(K49:K51)</f>
        <v>5.42913114366854</v>
      </c>
      <c r="L52" s="1896">
        <f>IFERROR(K52/J52,"-")</f>
        <v>0.0179462150461605</v>
      </c>
      <c r="M52" s="1129" t="inlineStr">
        <is>
          <t>G</t>
        </is>
      </c>
    </row>
  </sheetData>
  <mergeCells count="24">
    <mergeCell ref="D35:H35"/>
    <mergeCell ref="AN3:AR3"/>
    <mergeCell ref="B47:B48"/>
    <mergeCell ref="AH3:AL3"/>
    <mergeCell ref="B3:B4"/>
    <mergeCell ref="D19:H19"/>
    <mergeCell ref="S3:W3"/>
    <mergeCell ref="AC3:AG3"/>
    <mergeCell ref="N3:R3"/>
    <mergeCell ref="I47:M47"/>
    <mergeCell ref="AH19:AL19"/>
    <mergeCell ref="X19:AB19"/>
    <mergeCell ref="B19:B20"/>
    <mergeCell ref="X3:AB3"/>
    <mergeCell ref="I3:M3"/>
    <mergeCell ref="D47:H47"/>
    <mergeCell ref="AC19:AG19"/>
    <mergeCell ref="S19:W19"/>
    <mergeCell ref="N19:R19"/>
    <mergeCell ref="D3:H3"/>
    <mergeCell ref="C19:C20"/>
    <mergeCell ref="I35:M35"/>
    <mergeCell ref="C3:C4"/>
    <mergeCell ref="I19:M19"/>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808080"/>
    <outlinePr summaryBelow="1" summaryRight="1"/>
    <pageSetUpPr fitToPage="1"/>
  </sheetPr>
  <dimension ref="A1:AV528"/>
  <sheetViews>
    <sheetView showFormulas="0" showGridLines="0" showRowColHeaders="1" showZeros="1" rightToLeft="0" tabSelected="0" showOutlineSymbols="1" defaultGridColor="1" view="normal" topLeftCell="A2" colorId="64" zoomScale="60" zoomScaleNormal="60" zoomScalePageLayoutView="100" workbookViewId="0">
      <selection pane="topLeft" activeCell="AC194" activeCellId="0" sqref="AC194"/>
    </sheetView>
  </sheetViews>
  <sheetFormatPr baseColWidth="8" defaultColWidth="8.73046875" defaultRowHeight="18" zeroHeight="0" outlineLevelRow="0"/>
  <cols>
    <col width="16.27" customWidth="1" style="1135" min="1" max="1"/>
    <col width="20.73" customWidth="1" style="1136" min="2" max="2"/>
    <col width="26.82" customWidth="1" style="1136" min="3" max="3"/>
    <col width="19.45" customWidth="1" style="1136" min="4" max="4"/>
    <col width="37.45" customWidth="1" style="1136" min="5" max="5"/>
    <col width="22" customWidth="1" style="1136" min="6" max="6"/>
    <col width="26.18" customWidth="1" style="1136" min="7" max="7"/>
    <col width="33" customWidth="1" style="1136" min="8" max="8"/>
    <col width="23.45" customWidth="1" style="1136" min="9" max="9"/>
    <col width="23.27" customWidth="1" style="1136" min="10" max="10"/>
    <col width="34.45" customWidth="1" style="1136" min="11" max="11"/>
    <col width="6.54" customWidth="1" style="1136" min="12" max="12"/>
    <col width="9.449999999999999" customWidth="1" style="1136" min="13" max="13"/>
    <col width="8.27" customWidth="1" style="1137" min="14" max="14"/>
    <col width="8.73" customWidth="1" style="1137" min="15" max="16"/>
    <col width="20.18" customWidth="1" style="1137" min="17" max="17"/>
    <col width="18.54" customWidth="1" style="1137" min="18" max="18"/>
    <col width="14.27" customWidth="1" style="1137" min="19" max="19"/>
    <col width="14.18" customWidth="1" style="1137" min="20" max="21"/>
    <col width="8.449999999999999" customWidth="1" style="1137" min="22" max="22"/>
    <col width="12.54" customWidth="1" style="1137" min="23" max="23"/>
    <col width="14.45" customWidth="1" style="1137" min="24" max="24"/>
    <col width="14.18" customWidth="1" style="1136" min="25" max="25"/>
    <col width="9.27" customWidth="1" style="1137" min="26" max="26"/>
    <col width="14.27" customWidth="1" style="1136" min="27" max="27"/>
    <col width="13.54" customWidth="1" style="1136" min="28" max="28"/>
    <col width="56.18" customWidth="1" style="1136" min="29" max="29"/>
    <col width="8.73" customWidth="1" style="1136" min="30" max="33"/>
    <col width="4.81" customWidth="1" style="1136" min="34" max="34"/>
    <col width="8.73" customWidth="1" style="1136" min="35" max="35"/>
    <col width="20.81" customWidth="1" style="1136" min="36" max="36"/>
    <col width="7.82" customWidth="1" style="1136" min="37" max="37"/>
    <col width="7.45" customWidth="1" style="1136" min="38" max="38"/>
    <col width="6.73" customWidth="1" style="1136" min="39" max="39"/>
    <col width="23.82" customWidth="1" style="1136" min="40" max="40"/>
    <col width="8.73" customWidth="1" style="1136" min="41" max="41"/>
    <col width="28.54" customWidth="1" style="1136" min="42" max="42"/>
    <col width="6.54" customWidth="1" style="1136" min="43" max="43"/>
    <col hidden="1" width="13" customWidth="1" style="1136" min="44" max="45"/>
    <col width="8.73" customWidth="1" style="1136" min="46" max="16384"/>
  </cols>
  <sheetData>
    <row r="1" ht="41.25" customFormat="1" customHeight="1" s="1138">
      <c r="A1" s="1139" t="inlineStr">
        <is>
          <t>EE Number</t>
        </is>
      </c>
      <c r="B1" s="1140" t="inlineStr">
        <is>
          <t>Name</t>
        </is>
      </c>
      <c r="C1" s="1140" t="inlineStr">
        <is>
          <t>Position Title</t>
        </is>
      </c>
      <c r="D1" s="1140" t="inlineStr">
        <is>
          <t>Reports to name</t>
        </is>
      </c>
      <c r="E1" s="1140" t="inlineStr">
        <is>
          <t>Reports to Position</t>
        </is>
      </c>
      <c r="F1" s="1897" t="inlineStr">
        <is>
          <t>Division (GM)</t>
        </is>
      </c>
      <c r="G1" s="1142" t="inlineStr">
        <is>
          <t>Department (GM-1)</t>
        </is>
      </c>
      <c r="H1" s="1142" t="inlineStr">
        <is>
          <t>Team (GM-2)</t>
        </is>
      </c>
      <c r="I1" s="1143" t="inlineStr">
        <is>
          <t>Portfolio</t>
        </is>
      </c>
      <c r="J1" s="1144" t="inlineStr">
        <is>
          <t>Platform</t>
        </is>
      </c>
      <c r="K1" s="1143" t="inlineStr">
        <is>
          <t>Squad</t>
        </is>
      </c>
      <c r="L1" s="1143" t="inlineStr">
        <is>
          <t>CC</t>
        </is>
      </c>
      <c r="M1" s="1898" t="inlineStr">
        <is>
          <t>Country</t>
        </is>
      </c>
      <c r="N1" s="1899" t="inlineStr">
        <is>
          <t>Job Level</t>
        </is>
      </c>
      <c r="O1" s="1899" t="inlineStr">
        <is>
          <t>FTE</t>
        </is>
      </c>
      <c r="P1" s="1899" t="n"/>
      <c r="Q1" s="1899" t="inlineStr">
        <is>
          <t>Type</t>
        </is>
      </c>
      <c r="R1" s="1900" t="inlineStr">
        <is>
          <t>Unit</t>
        </is>
      </c>
      <c r="S1" s="1900" t="inlineStr">
        <is>
          <t>day rate</t>
        </is>
      </c>
      <c r="T1" s="1901" t="inlineStr">
        <is>
          <t>FTE Base
 Local</t>
        </is>
      </c>
      <c r="U1" s="1902" t="inlineStr">
        <is>
          <t>FTE Base 
AUD</t>
        </is>
      </c>
      <c r="V1" s="1903" t="inlineStr">
        <is>
          <t>STI</t>
        </is>
      </c>
      <c r="W1" s="1904" t="inlineStr">
        <is>
          <t>Payroll</t>
        </is>
      </c>
      <c r="X1" s="1904" t="inlineStr">
        <is>
          <t>Pensions</t>
        </is>
      </c>
      <c r="Y1" s="1904" t="inlineStr">
        <is>
          <t>medical</t>
        </is>
      </c>
      <c r="Z1" s="1904" t="inlineStr">
        <is>
          <t>CPI</t>
        </is>
      </c>
      <c r="AA1" s="1905" t="inlineStr">
        <is>
          <t>Full Cost 
AUD</t>
        </is>
      </c>
      <c r="AB1" s="1138" t="inlineStr">
        <is>
          <t>MyHR ee no</t>
        </is>
      </c>
      <c r="AJ1" s="865" t="inlineStr">
        <is>
          <t>MTab</t>
        </is>
      </c>
      <c r="AK1" s="865" t="inlineStr">
        <is>
          <t>MStatus</t>
        </is>
      </c>
      <c r="AL1" s="865" t="inlineStr">
        <is>
          <t>MAUNZ</t>
        </is>
      </c>
      <c r="AM1" s="865" t="inlineStr">
        <is>
          <t>MRank</t>
        </is>
      </c>
      <c r="AN1" s="865" t="inlineStr">
        <is>
          <t>MKey</t>
        </is>
      </c>
      <c r="AP1" s="1906" t="inlineStr">
        <is>
          <t>Squad (canonical, from col K)</t>
        </is>
      </c>
      <c r="AQ1" s="1906" t="inlineStr">
        <is>
          <t>Leadership</t>
        </is>
      </c>
      <c r="AR1" s="1906" t="inlineStr">
        <is>
          <t>Overhead line</t>
        </is>
      </c>
      <c r="AS1" s="1906" t="inlineStr">
        <is>
          <t>Squad name on the 1.x tab</t>
        </is>
      </c>
      <c r="AT1" s="1824" t="inlineStr">
        <is>
          <t>Squad or overhead line</t>
        </is>
      </c>
      <c r="AU1" s="1824" t="inlineStr">
        <is>
          <t>Agreed cost override (AUD)</t>
        </is>
      </c>
    </row>
    <row r="2" ht="18" customHeight="1" s="866">
      <c r="A2" s="1155" t="n">
        <v>99999101533</v>
      </c>
      <c r="B2" s="1156" t="inlineStr">
        <is>
          <t>Adrian Alcance</t>
        </is>
      </c>
      <c r="C2" s="1156" t="inlineStr">
        <is>
          <t>Senior Engineer - DevOps</t>
        </is>
      </c>
      <c r="D2" s="1156" t="inlineStr">
        <is>
          <t>Vacant</t>
        </is>
      </c>
      <c r="E2" s="1156" t="inlineStr">
        <is>
          <t>Technology Manager, Engineering</t>
        </is>
      </c>
      <c r="F2" s="1157" t="inlineStr">
        <is>
          <t>Ampol Retail &amp; Z</t>
        </is>
      </c>
      <c r="G2" s="1156" t="inlineStr">
        <is>
          <t>Z &amp; Group Retail</t>
        </is>
      </c>
      <c r="H2" s="1156" t="inlineStr">
        <is>
          <t>Z &amp; Group Retail, Engineering</t>
        </is>
      </c>
      <c r="I2" s="1156" t="inlineStr">
        <is>
          <t>Z</t>
        </is>
      </c>
      <c r="J2" s="1156" t="inlineStr">
        <is>
          <t>Z Customer</t>
        </is>
      </c>
      <c r="K2" s="1156" t="inlineStr">
        <is>
          <t xml:space="preserve">Z Retail Backend </t>
        </is>
      </c>
      <c r="L2" s="1158" t="n"/>
      <c r="M2" s="1159" t="inlineStr">
        <is>
          <t>NZ</t>
        </is>
      </c>
      <c r="N2" s="1160" t="inlineStr">
        <is>
          <t>CIA</t>
        </is>
      </c>
      <c r="O2" s="1161" t="n">
        <v>1</v>
      </c>
      <c r="P2" s="1160" t="n"/>
      <c r="Q2" s="1161" t="inlineStr">
        <is>
          <t>Permanent - Full Time</t>
        </is>
      </c>
      <c r="R2" s="1162" t="n"/>
      <c r="S2" s="1162" t="n"/>
      <c r="T2" s="1163" t="n">
        <v>123710</v>
      </c>
      <c r="U2" s="1164" t="n">
        <v>113813.2</v>
      </c>
      <c r="V2" s="1165" t="n">
        <v>0.15</v>
      </c>
      <c r="W2" s="1161" t="n"/>
      <c r="X2" s="1166" t="n">
        <v>0.05</v>
      </c>
      <c r="Y2" s="1907" t="n">
        <v>2910</v>
      </c>
      <c r="Z2" s="1166" t="n">
        <v>0.03</v>
      </c>
      <c r="AA2" s="1168">
        <f>IF(TRIM($B2)="","",IF(N($AU2)&gt;0,$AU2,IF(N($S2)&gt;0,$S2*Lists!$AG$15*(1+N($Z2)),N($U2)*(1+N($V2)+N($W2)+N($X2)+N($Z2))+N($Y2))))</f>
        <v>142900.236</v>
      </c>
      <c r="AH2" s="1908" t="n"/>
      <c r="AJ2" s="865" t="str">
        <f>IF(TRIM($B2)="","",IF(IFERROR(INDEX(Lists!$AO$2:$AO$11,MATCH(ROW(),Lists!$AN$2:$AN$11,0)),"")&lt;&gt;"",IFERROR(INDEX(Lists!$AO$2:$AO$11,MATCH(ROW(),Lists!$AN$2:$AN$11,0)),""),IFERROR(INDEX(Lists!$U:$U,MATCH(TRIM($I2),Lists!$T:$T,0)),TRIM($I2))))</f>
        <v>Z Retail</v>
      </c>
      <c r="AK2" s="865" t="str">
        <f>IF(ISNUMBER(SEARCH("vacant",$B2)),"Vacant","Filled")</f>
        <v>Filled</v>
      </c>
      <c r="AL2" s="865" t="str">
        <f>IF($M2="NZ","NZ","AU")</f>
        <v>NZ</v>
      </c>
      <c r="AM2" s="865">
        <f>COUNTIF($AJ$2:$AJ2,$AJ2)</f>
        <v>1</v>
      </c>
      <c r="AN2" s="865" t="str">
        <f>$AJ2&amp;"|"&amp;$AM2</f>
        <v>Z Retail|1</v>
      </c>
      <c r="AP2" s="865" t="str">
        <f>IF(TRIM($B2)="","",IF($AQ2=1,"Leadership",IFERROR(INDEX(Lists!$X:$X,MATCH(TRIM($K2),Lists!$W:$W,0)),IF(OR(TRIM($K2)="",LOWER(TRIM($K2))="na"),IF(TRIM($G2)="","Unassigned",TRIM($G2)),TRIM($K2)))))</f>
        <v>Z Retail Backend</v>
      </c>
      <c r="AQ2" s="865" t="b">
        <f>IF(TRIM($B2)="","",--OR(TRIM($K2)="Leadership",TRIM($J2)="Leadership"))</f>
        <v>0</v>
      </c>
      <c r="AR2" s="1136" t="str">
        <f>IF(TRIM($B2)="","",IF(IFERROR(INDEX(Lists!$AQ$2:$AQ$11,MATCH(ROW(),Lists!$AN$2:$AN$11,0)),"")&lt;&gt;"",IFERROR(INDEX(Lists!$AQ$2:$AQ$11,MATCH(ROW(),Lists!$AN$2:$AN$11,0)),""),IF(ISNUMBER(SEARCH("head of ",$C2)),"Head of Technology",IF(ISNUMBER(SEARCH("TDD BP",$C2)),"Business Partner",IF(OR(ISNUMBER(SEARCH("domain architect",$C2)),ISNUMBER(SEARCH("enterprise architect",$C2))),"Domain Architect",IF(ISNUMBER(SEARCH("delivery man",$C2)),"Delivery Manager",IF(OR(ISNUMBER(SEARCH("technology manager",$C2)),ISNUMBER(SEARCH("technology manger",$C2)),ISNUMBER(SEARCH("tech manager",$C2))),"Technology Manager","Squad")))))))</f>
        <v>Squad</v>
      </c>
      <c r="AS2" s="1136" t="str">
        <f>IF(TRIM($B2)="","",IFERROR(INDEX(Lists!$AA:$AA,MATCH($AP2,Lists!$Z:$Z,0)),$AP2))</f>
        <v>Z Retail Backend</v>
      </c>
      <c r="AT2" s="1136" t="str">
        <f>IF(TRIM($B2)="","",IF(IFERROR(INDEX(Lists!$AP$2:$AP$11,MATCH(ROW(),Lists!$AN$2:$AN$11,0)),"")&lt;&gt;"",IFERROR(INDEX(Lists!$AP$2:$AP$11,MATCH(ROW(),Lists!$AN$2:$AN$11,0)),""),IF(OR(LEFT($AJ2,3)="COE",$AJ2="EGI"),$AP2,IF($AR2&lt;&gt;"Squad",$AR2,$AP2))))</f>
        <v>Z Retail Backend</v>
      </c>
    </row>
    <row r="3" ht="18" customHeight="1" s="866">
      <c r="A3" s="1155" t="n">
        <v>110388</v>
      </c>
      <c r="B3" s="1156" t="inlineStr">
        <is>
          <t>Adrian Lueng</t>
        </is>
      </c>
      <c r="C3" s="1156" t="inlineStr">
        <is>
          <t>Quality Assurance</t>
        </is>
      </c>
      <c r="D3" s="1156" t="inlineStr">
        <is>
          <t>Vedran Jukic</t>
        </is>
      </c>
      <c r="E3" s="1156" t="inlineStr">
        <is>
          <t>Technology Manager, Retail</t>
        </is>
      </c>
      <c r="F3" s="1157" t="inlineStr">
        <is>
          <t>Ampol Retail &amp; Z</t>
        </is>
      </c>
      <c r="G3" s="1158" t="inlineStr">
        <is>
          <t>Ampol Retail</t>
        </is>
      </c>
      <c r="H3" s="1156" t="inlineStr">
        <is>
          <t>Ampol Retail, Technology</t>
        </is>
      </c>
      <c r="I3" s="1156" t="inlineStr">
        <is>
          <t>Retail</t>
        </is>
      </c>
      <c r="J3" s="1158" t="inlineStr">
        <is>
          <t>Network/QSR</t>
        </is>
      </c>
      <c r="K3" s="1156" t="inlineStr">
        <is>
          <t>Network &amp; QSR</t>
        </is>
      </c>
      <c r="L3" s="1158" t="n"/>
      <c r="M3" s="1159" t="inlineStr">
        <is>
          <t>Australia</t>
        </is>
      </c>
      <c r="N3" s="1160" t="inlineStr">
        <is>
          <t>CIA</t>
        </is>
      </c>
      <c r="O3" s="1160" t="n">
        <v>1</v>
      </c>
      <c r="P3" s="1160" t="n"/>
      <c r="Q3" s="1160" t="inlineStr">
        <is>
          <t>Permanent - Full Time</t>
        </is>
      </c>
      <c r="R3" s="1162" t="n"/>
      <c r="S3" s="1162" t="n"/>
      <c r="T3" s="1163" t="n">
        <v>120030</v>
      </c>
      <c r="U3" s="1164" t="n">
        <v>120030</v>
      </c>
      <c r="V3" s="1166" t="n">
        <v>0.1</v>
      </c>
      <c r="W3" s="1170" t="n">
        <v>0.055</v>
      </c>
      <c r="X3" s="1170" t="n">
        <v>0.12</v>
      </c>
      <c r="Y3" s="1171" t="n"/>
      <c r="Z3" s="1170" t="n">
        <v>0.04</v>
      </c>
      <c r="AA3" s="1168">
        <f>IF(TRIM($B3)="","",IF(N($AU3)&gt;0,$AU3,IF(N($S3)&gt;0,$S3*Lists!$AG$15*(1+N($Z3)),N($U3)*(1+N($V3)+N($W3)+N($X3)+N($Z3))+N($Y3))))</f>
        <v>157839.45</v>
      </c>
      <c r="AH3" s="1908" t="n">
        <v>374</v>
      </c>
      <c r="AJ3" s="865" t="str">
        <f>IF(TRIM($B3)="","",IF(IFERROR(INDEX(Lists!$AO$2:$AO$11,MATCH(ROW(),Lists!$AN$2:$AN$11,0)),"")&lt;&gt;"",IFERROR(INDEX(Lists!$AO$2:$AO$11,MATCH(ROW(),Lists!$AN$2:$AN$11,0)),""),IFERROR(INDEX(Lists!$U:$U,MATCH(TRIM($I3),Lists!$T:$T,0)),TRIM($I3))))</f>
        <v>Ampol Retail</v>
      </c>
      <c r="AK3" s="865" t="str">
        <f>IF(ISNUMBER(SEARCH("vacant",$B3)),"Vacant","Filled")</f>
        <v>Filled</v>
      </c>
      <c r="AL3" s="865" t="str">
        <f>IF($M3="NZ","NZ","AU")</f>
        <v>AU</v>
      </c>
      <c r="AM3" s="865">
        <f>COUNTIF($AJ$2:$AJ3,$AJ3)</f>
        <v>1</v>
      </c>
      <c r="AN3" s="865" t="str">
        <f>$AJ3&amp;"|"&amp;$AM3</f>
        <v>Ampol Retail|1</v>
      </c>
      <c r="AP3" s="865" t="str">
        <f>IF(TRIM($B3)="","",IF($AQ3=1,"Leadership",IFERROR(INDEX(Lists!$X:$X,MATCH(TRIM($K3),Lists!$W:$W,0)),IF(OR(TRIM($K3)="",LOWER(TRIM($K3))="na"),IF(TRIM($G3)="","Unassigned",TRIM($G3)),TRIM($K3)))))</f>
        <v>Network &amp; QSR</v>
      </c>
      <c r="AQ3" s="865" t="b">
        <f>IF(TRIM($B3)="","",--OR(TRIM($K3)="Leadership",TRIM($J3)="Leadership"))</f>
        <v>0</v>
      </c>
      <c r="AR3" s="1136" t="str">
        <f>IF(TRIM($B3)="","",IF(IFERROR(INDEX(Lists!$AQ$2:$AQ$11,MATCH(ROW(),Lists!$AN$2:$AN$11,0)),"")&lt;&gt;"",IFERROR(INDEX(Lists!$AQ$2:$AQ$11,MATCH(ROW(),Lists!$AN$2:$AN$11,0)),""),IF(ISNUMBER(SEARCH("head of ",$C3)),"Head of Technology",IF(ISNUMBER(SEARCH("TDD BP",$C3)),"Business Partner",IF(OR(ISNUMBER(SEARCH("domain architect",$C3)),ISNUMBER(SEARCH("enterprise architect",$C3))),"Domain Architect",IF(ISNUMBER(SEARCH("delivery man",$C3)),"Delivery Manager",IF(OR(ISNUMBER(SEARCH("technology manager",$C3)),ISNUMBER(SEARCH("technology manger",$C3)),ISNUMBER(SEARCH("tech manager",$C3))),"Technology Manager","Squad")))))))</f>
        <v>Squad</v>
      </c>
      <c r="AS3" s="1136" t="str">
        <f>IF(TRIM($B3)="","",IFERROR(INDEX(Lists!$AA:$AA,MATCH($AP3,Lists!$Z:$Z,0)),$AP3))</f>
        <v>Network &amp; QSR</v>
      </c>
      <c r="AT3" s="1136" t="str">
        <f>IF(TRIM($B3)="","",IF(IFERROR(INDEX(Lists!$AP$2:$AP$11,MATCH(ROW(),Lists!$AN$2:$AN$11,0)),"")&lt;&gt;"",IFERROR(INDEX(Lists!$AP$2:$AP$11,MATCH(ROW(),Lists!$AN$2:$AN$11,0)),""),IF(OR(LEFT($AJ3,3)="COE",$AJ3="EGI"),$AP3,IF($AR3&lt;&gt;"Squad",$AR3,$AP3))))</f>
        <v>Network &amp; QSR</v>
      </c>
    </row>
    <row r="4" ht="18" customHeight="1" s="866">
      <c r="A4" s="1155" t="inlineStr">
        <is>
          <t>C</t>
        </is>
      </c>
      <c r="B4" s="1156" t="inlineStr">
        <is>
          <t>Alex Prakhiy</t>
        </is>
      </c>
      <c r="C4" s="1156" t="inlineStr">
        <is>
          <t>Business Analyst</t>
        </is>
      </c>
      <c r="D4" s="1156" t="inlineStr">
        <is>
          <t>Vanessa Allen</t>
        </is>
      </c>
      <c r="E4" s="1156" t="inlineStr">
        <is>
          <t>Delivery Manager, Ampol Retail</t>
        </is>
      </c>
      <c r="F4" s="1157" t="inlineStr">
        <is>
          <t>Ampol Retail &amp; Z</t>
        </is>
      </c>
      <c r="G4" s="1158" t="inlineStr">
        <is>
          <t>Ampol Retail</t>
        </is>
      </c>
      <c r="H4" s="1156" t="inlineStr">
        <is>
          <t>Ampol Retail, Delivery</t>
        </is>
      </c>
      <c r="I4" s="1156" t="inlineStr">
        <is>
          <t>Ampol Retail</t>
        </is>
      </c>
      <c r="J4" s="1158" t="inlineStr">
        <is>
          <t>EGI</t>
        </is>
      </c>
      <c r="K4" s="1156" t="inlineStr">
        <is>
          <t>EGI Retail</t>
        </is>
      </c>
      <c r="L4" s="1158" t="n"/>
      <c r="M4" s="1159" t="inlineStr">
        <is>
          <t>Australia</t>
        </is>
      </c>
      <c r="N4" s="1162" t="inlineStr">
        <is>
          <t>NA</t>
        </is>
      </c>
      <c r="O4" s="1160" t="n">
        <v>1</v>
      </c>
      <c r="P4" s="1162" t="n"/>
      <c r="Q4" s="1162" t="inlineStr">
        <is>
          <t>cxc</t>
        </is>
      </c>
      <c r="R4" s="1172" t="inlineStr">
        <is>
          <t>Daily</t>
        </is>
      </c>
      <c r="S4" s="1162" t="n">
        <v>1000</v>
      </c>
      <c r="T4" s="1163" t="n">
        <v>0</v>
      </c>
      <c r="U4" s="1163" t="n"/>
      <c r="V4" s="1158" t="n"/>
      <c r="W4" s="1158" t="n"/>
      <c r="X4" s="1158" t="n"/>
      <c r="Y4" s="1158" t="n"/>
      <c r="Z4" s="1158" t="n"/>
      <c r="AA4" s="1173">
        <f>IF(TRIM($B4)="","",IF(N($AU4)&gt;0,$AU4,IF(N($S4)&gt;0,$S4*Lists!$AG$15*(1+N($Z4)),N($U4)*(1+N($V4)+N($W4)+N($X4)+N($Z4))+N($Y4))))</f>
        <v>222000</v>
      </c>
      <c r="AH4" s="1908" t="n">
        <v>374</v>
      </c>
      <c r="AJ4" s="865" t="str">
        <f>IF(TRIM($B4)="","",IF(IFERROR(INDEX(Lists!$AO$2:$AO$11,MATCH(ROW(),Lists!$AN$2:$AN$11,0)),"")&lt;&gt;"",IFERROR(INDEX(Lists!$AO$2:$AO$11,MATCH(ROW(),Lists!$AN$2:$AN$11,0)),""),IFERROR(INDEX(Lists!$U:$U,MATCH(TRIM($I4),Lists!$T:$T,0)),TRIM($I4))))</f>
        <v>Ampol Retail</v>
      </c>
      <c r="AK4" s="865" t="str">
        <f>IF(ISNUMBER(SEARCH("vacant",$B4)),"Vacant","Filled")</f>
        <v>Filled</v>
      </c>
      <c r="AL4" s="865" t="str">
        <f>IF($M4="NZ","NZ","AU")</f>
        <v>AU</v>
      </c>
      <c r="AM4" s="865">
        <f>COUNTIF($AJ$2:$AJ4,$AJ4)</f>
        <v>2</v>
      </c>
      <c r="AN4" s="865" t="str">
        <f>$AJ4&amp;"|"&amp;$AM4</f>
        <v>Ampol Retail|2</v>
      </c>
      <c r="AP4" s="865" t="str">
        <f>IF(TRIM($B4)="","",IF($AQ4=1,"Leadership",IFERROR(INDEX(Lists!$X:$X,MATCH(TRIM($K4),Lists!$W:$W,0)),IF(OR(TRIM($K4)="",LOWER(TRIM($K4))="na"),IF(TRIM($G4)="","Unassigned",TRIM($G4)),TRIM($K4)))))</f>
        <v>EGI Retail</v>
      </c>
      <c r="AQ4" s="865" t="b">
        <f>IF(TRIM($B4)="","",--OR(TRIM($K4)="Leadership",TRIM($J4)="Leadership"))</f>
        <v>0</v>
      </c>
      <c r="AR4" s="1136" t="str">
        <f>IF(TRIM($B4)="","",IF(IFERROR(INDEX(Lists!$AQ$2:$AQ$11,MATCH(ROW(),Lists!$AN$2:$AN$11,0)),"")&lt;&gt;"",IFERROR(INDEX(Lists!$AQ$2:$AQ$11,MATCH(ROW(),Lists!$AN$2:$AN$11,0)),""),IF(ISNUMBER(SEARCH("head of ",$C4)),"Head of Technology",IF(ISNUMBER(SEARCH("TDD BP",$C4)),"Business Partner",IF(OR(ISNUMBER(SEARCH("domain architect",$C4)),ISNUMBER(SEARCH("enterprise architect",$C4))),"Domain Architect",IF(ISNUMBER(SEARCH("delivery man",$C4)),"Delivery Manager",IF(OR(ISNUMBER(SEARCH("technology manager",$C4)),ISNUMBER(SEARCH("technology manger",$C4)),ISNUMBER(SEARCH("tech manager",$C4))),"Technology Manager","Squad")))))))</f>
        <v>Squad</v>
      </c>
      <c r="AS4" s="1136" t="str">
        <f>IF(TRIM($B4)="","",IFERROR(INDEX(Lists!$AA:$AA,MATCH($AP4,Lists!$Z:$Z,0)),$AP4))</f>
        <v>EGI Retail</v>
      </c>
      <c r="AT4" s="1136" t="str">
        <f>IF(TRIM($B4)="","",IF(IFERROR(INDEX(Lists!$AP$2:$AP$11,MATCH(ROW(),Lists!$AN$2:$AN$11,0)),"")&lt;&gt;"",IFERROR(INDEX(Lists!$AP$2:$AP$11,MATCH(ROW(),Lists!$AN$2:$AN$11,0)),""),IF(OR(LEFT($AJ4,3)="COE",$AJ4="EGI"),$AP4,IF($AR4&lt;&gt;"Squad",$AR4,$AP4))))</f>
        <v>EGI Retail</v>
      </c>
    </row>
    <row r="5" ht="18" customHeight="1" s="866">
      <c r="A5" s="1155" t="n">
        <v>99999101643</v>
      </c>
      <c r="B5" s="1156" t="inlineStr">
        <is>
          <t>Alex Sutherland</t>
        </is>
      </c>
      <c r="C5" s="1156" t="inlineStr">
        <is>
          <t>Site Systems Analyst</t>
        </is>
      </c>
      <c r="D5" s="1156" t="inlineStr">
        <is>
          <t>Callan McLaughlin</t>
        </is>
      </c>
      <c r="E5" s="1156" t="inlineStr">
        <is>
          <t>Technology Manager,  Site Systems</t>
        </is>
      </c>
      <c r="F5" s="1157" t="inlineStr">
        <is>
          <t>Ampol Retail &amp; Z</t>
        </is>
      </c>
      <c r="G5" s="1158" t="inlineStr">
        <is>
          <t>Z &amp; Group Retail</t>
        </is>
      </c>
      <c r="H5" s="1156" t="inlineStr">
        <is>
          <t>Z &amp; Group Retail, Site Systems</t>
        </is>
      </c>
      <c r="I5" s="1156" t="inlineStr">
        <is>
          <t>Z</t>
        </is>
      </c>
      <c r="J5" s="1158" t="inlineStr">
        <is>
          <t>Z Customer</t>
        </is>
      </c>
      <c r="K5" s="1156" t="inlineStr">
        <is>
          <t>Site Systems</t>
        </is>
      </c>
      <c r="L5" s="1158" t="n"/>
      <c r="M5" s="1159" t="inlineStr">
        <is>
          <t>NZ</t>
        </is>
      </c>
      <c r="N5" s="1160" t="inlineStr">
        <is>
          <t>CDB</t>
        </is>
      </c>
      <c r="O5" s="1161" t="n">
        <v>1</v>
      </c>
      <c r="P5" s="1160" t="n"/>
      <c r="Q5" s="1161" t="inlineStr">
        <is>
          <t>Permanent - Full Time</t>
        </is>
      </c>
      <c r="R5" s="1162" t="n"/>
      <c r="S5" s="1162" t="n"/>
      <c r="T5" s="1163" t="n">
        <v>86540</v>
      </c>
      <c r="U5" s="1164" t="n">
        <v>79616.8</v>
      </c>
      <c r="V5" s="1165" t="n">
        <v>0.1</v>
      </c>
      <c r="W5" s="1161" t="n"/>
      <c r="X5" s="1166" t="n">
        <v>0.05</v>
      </c>
      <c r="Y5" s="1907" t="n">
        <v>2910</v>
      </c>
      <c r="Z5" s="1166" t="n">
        <v>0.03</v>
      </c>
      <c r="AA5" s="1168">
        <f>IF(TRIM($B5)="","",IF(N($AU5)&gt;0,$AU5,IF(N($S5)&gt;0,$S5*Lists!$AG$15*(1+N($Z5)),N($U5)*(1+N($V5)+N($W5)+N($X5)+N($Z5))+N($Y5))))</f>
        <v>96857.824</v>
      </c>
      <c r="AH5" s="1908" t="n"/>
      <c r="AJ5" s="865" t="str">
        <f>IF(TRIM($B5)="","",IF(IFERROR(INDEX(Lists!$AO$2:$AO$11,MATCH(ROW(),Lists!$AN$2:$AN$11,0)),"")&lt;&gt;"",IFERROR(INDEX(Lists!$AO$2:$AO$11,MATCH(ROW(),Lists!$AN$2:$AN$11,0)),""),IFERROR(INDEX(Lists!$U:$U,MATCH(TRIM($I5),Lists!$T:$T,0)),TRIM($I5))))</f>
        <v>Z Retail</v>
      </c>
      <c r="AK5" s="865" t="str">
        <f>IF(ISNUMBER(SEARCH("vacant",$B5)),"Vacant","Filled")</f>
        <v>Filled</v>
      </c>
      <c r="AL5" s="865" t="str">
        <f>IF($M5="NZ","NZ","AU")</f>
        <v>NZ</v>
      </c>
      <c r="AM5" s="865">
        <f>COUNTIF($AJ$2:$AJ5,$AJ5)</f>
        <v>2</v>
      </c>
      <c r="AN5" s="865" t="str">
        <f>$AJ5&amp;"|"&amp;$AM5</f>
        <v>Z Retail|2</v>
      </c>
      <c r="AP5" s="865" t="str">
        <f>IF(TRIM($B5)="","",IF($AQ5=1,"Leadership",IFERROR(INDEX(Lists!$X:$X,MATCH(TRIM($K5),Lists!$W:$W,0)),IF(OR(TRIM($K5)="",LOWER(TRIM($K5))="na"),IF(TRIM($G5)="","Unassigned",TRIM($G5)),TRIM($K5)))))</f>
        <v>Site Systems</v>
      </c>
      <c r="AQ5" s="865" t="b">
        <f>IF(TRIM($B5)="","",--OR(TRIM($K5)="Leadership",TRIM($J5)="Leadership"))</f>
        <v>0</v>
      </c>
      <c r="AR5" s="1136" t="str">
        <f>IF(TRIM($B5)="","",IF(IFERROR(INDEX(Lists!$AQ$2:$AQ$11,MATCH(ROW(),Lists!$AN$2:$AN$11,0)),"")&lt;&gt;"",IFERROR(INDEX(Lists!$AQ$2:$AQ$11,MATCH(ROW(),Lists!$AN$2:$AN$11,0)),""),IF(ISNUMBER(SEARCH("head of ",$C5)),"Head of Technology",IF(ISNUMBER(SEARCH("TDD BP",$C5)),"Business Partner",IF(OR(ISNUMBER(SEARCH("domain architect",$C5)),ISNUMBER(SEARCH("enterprise architect",$C5))),"Domain Architect",IF(ISNUMBER(SEARCH("delivery man",$C5)),"Delivery Manager",IF(OR(ISNUMBER(SEARCH("technology manager",$C5)),ISNUMBER(SEARCH("technology manger",$C5)),ISNUMBER(SEARCH("tech manager",$C5))),"Technology Manager","Squad")))))))</f>
        <v>Squad</v>
      </c>
      <c r="AS5" s="1136" t="str">
        <f>IF(TRIM($B5)="","",IFERROR(INDEX(Lists!$AA:$AA,MATCH($AP5,Lists!$Z:$Z,0)),$AP5))</f>
        <v>Site Systems</v>
      </c>
      <c r="AT5" s="1136" t="str">
        <f>IF(TRIM($B5)="","",IF(IFERROR(INDEX(Lists!$AP$2:$AP$11,MATCH(ROW(),Lists!$AN$2:$AN$11,0)),"")&lt;&gt;"",IFERROR(INDEX(Lists!$AP$2:$AP$11,MATCH(ROW(),Lists!$AN$2:$AN$11,0)),""),IF(OR(LEFT($AJ5,3)="COE",$AJ5="EGI"),$AP5,IF($AR5&lt;&gt;"Squad",$AR5,$AP5))))</f>
        <v>Site Systems</v>
      </c>
    </row>
    <row r="6" ht="18" customHeight="1" s="866">
      <c r="A6" s="1155" t="n">
        <v>99999101548</v>
      </c>
      <c r="B6" s="1156" t="inlineStr">
        <is>
          <t>Allana Arbuckle</t>
        </is>
      </c>
      <c r="C6" s="1156" t="inlineStr">
        <is>
          <t>Business Analyst</t>
        </is>
      </c>
      <c r="D6" s="1158" t="inlineStr">
        <is>
          <t>Vacant</t>
        </is>
      </c>
      <c r="E6" s="1156" t="inlineStr">
        <is>
          <t>Delivery Manager, Z and Retail Data</t>
        </is>
      </c>
      <c r="F6" s="1157" t="inlineStr">
        <is>
          <t>Ampol Retail &amp; Z</t>
        </is>
      </c>
      <c r="G6" s="1158" t="inlineStr">
        <is>
          <t>Z &amp; Group Retail</t>
        </is>
      </c>
      <c r="H6" s="1156" t="inlineStr">
        <is>
          <t>Z &amp; Group Retail, Delivery</t>
        </is>
      </c>
      <c r="I6" s="1156" t="inlineStr">
        <is>
          <t>Z</t>
        </is>
      </c>
      <c r="J6" s="1156" t="inlineStr">
        <is>
          <t>Z Customer</t>
        </is>
      </c>
      <c r="K6" s="1156" t="inlineStr">
        <is>
          <t xml:space="preserve">Z Retail Backend </t>
        </is>
      </c>
      <c r="L6" s="1158" t="n"/>
      <c r="M6" s="1159" t="inlineStr">
        <is>
          <t>NZ</t>
        </is>
      </c>
      <c r="N6" s="1160" t="inlineStr">
        <is>
          <t>CDB</t>
        </is>
      </c>
      <c r="O6" s="1161" t="n">
        <v>1</v>
      </c>
      <c r="P6" s="1160" t="n"/>
      <c r="Q6" s="1161" t="inlineStr">
        <is>
          <t>Permanent - Full Time</t>
        </is>
      </c>
      <c r="R6" s="1162" t="n"/>
      <c r="S6" s="1162" t="n"/>
      <c r="T6" s="1163" t="n">
        <v>100900</v>
      </c>
      <c r="U6" s="1164" t="n">
        <v>92828</v>
      </c>
      <c r="V6" s="1165" t="n">
        <v>0.1</v>
      </c>
      <c r="W6" s="1161" t="n"/>
      <c r="X6" s="1166" t="n">
        <v>0.05</v>
      </c>
      <c r="Y6" s="1907" t="n">
        <v>2910</v>
      </c>
      <c r="Z6" s="1166" t="n">
        <v>0.03</v>
      </c>
      <c r="AA6" s="1168">
        <f>IF(TRIM($B6)="","",IF(N($AU6)&gt;0,$AU6,IF(N($S6)&gt;0,$S6*Lists!$AG$15*(1+N($Z6)),N($U6)*(1+N($V6)+N($W6)+N($X6)+N($Z6))+N($Y6))))</f>
        <v>112447.04</v>
      </c>
      <c r="AH6" s="1908" t="n"/>
      <c r="AJ6" s="865" t="str">
        <f>IF(TRIM($B6)="","",IF(IFERROR(INDEX(Lists!$AO$2:$AO$11,MATCH(ROW(),Lists!$AN$2:$AN$11,0)),"")&lt;&gt;"",IFERROR(INDEX(Lists!$AO$2:$AO$11,MATCH(ROW(),Lists!$AN$2:$AN$11,0)),""),IFERROR(INDEX(Lists!$U:$U,MATCH(TRIM($I6),Lists!$T:$T,0)),TRIM($I6))))</f>
        <v>Z Retail</v>
      </c>
      <c r="AK6" s="865" t="str">
        <f>IF(ISNUMBER(SEARCH("vacant",$B6)),"Vacant","Filled")</f>
        <v>Filled</v>
      </c>
      <c r="AL6" s="865" t="str">
        <f>IF($M6="NZ","NZ","AU")</f>
        <v>NZ</v>
      </c>
      <c r="AM6" s="865">
        <f>COUNTIF($AJ$2:$AJ6,$AJ6)</f>
        <v>3</v>
      </c>
      <c r="AN6" s="865" t="str">
        <f>$AJ6&amp;"|"&amp;$AM6</f>
        <v>Z Retail|3</v>
      </c>
      <c r="AP6" s="865" t="str">
        <f>IF(TRIM($B6)="","",IF($AQ6=1,"Leadership",IFERROR(INDEX(Lists!$X:$X,MATCH(TRIM($K6),Lists!$W:$W,0)),IF(OR(TRIM($K6)="",LOWER(TRIM($K6))="na"),IF(TRIM($G6)="","Unassigned",TRIM($G6)),TRIM($K6)))))</f>
        <v>Z Retail Backend</v>
      </c>
      <c r="AQ6" s="865" t="b">
        <f>IF(TRIM($B6)="","",--OR(TRIM($K6)="Leadership",TRIM($J6)="Leadership"))</f>
        <v>0</v>
      </c>
      <c r="AR6" s="1136" t="str">
        <f>IF(TRIM($B6)="","",IF(IFERROR(INDEX(Lists!$AQ$2:$AQ$11,MATCH(ROW(),Lists!$AN$2:$AN$11,0)),"")&lt;&gt;"",IFERROR(INDEX(Lists!$AQ$2:$AQ$11,MATCH(ROW(),Lists!$AN$2:$AN$11,0)),""),IF(ISNUMBER(SEARCH("head of ",$C6)),"Head of Technology",IF(ISNUMBER(SEARCH("TDD BP",$C6)),"Business Partner",IF(OR(ISNUMBER(SEARCH("domain architect",$C6)),ISNUMBER(SEARCH("enterprise architect",$C6))),"Domain Architect",IF(ISNUMBER(SEARCH("delivery man",$C6)),"Delivery Manager",IF(OR(ISNUMBER(SEARCH("technology manager",$C6)),ISNUMBER(SEARCH("technology manger",$C6)),ISNUMBER(SEARCH("tech manager",$C6))),"Technology Manager","Squad")))))))</f>
        <v>Squad</v>
      </c>
      <c r="AS6" s="1136" t="str">
        <f>IF(TRIM($B6)="","",IFERROR(INDEX(Lists!$AA:$AA,MATCH($AP6,Lists!$Z:$Z,0)),$AP6))</f>
        <v>Z Retail Backend</v>
      </c>
      <c r="AT6" s="1136" t="str">
        <f>IF(TRIM($B6)="","",IF(IFERROR(INDEX(Lists!$AP$2:$AP$11,MATCH(ROW(),Lists!$AN$2:$AN$11,0)),"")&lt;&gt;"",IFERROR(INDEX(Lists!$AP$2:$AP$11,MATCH(ROW(),Lists!$AN$2:$AN$11,0)),""),IF(OR(LEFT($AJ6,3)="COE",$AJ6="EGI"),$AP6,IF($AR6&lt;&gt;"Squad",$AR6,$AP6))))</f>
        <v>Z Retail Backend</v>
      </c>
    </row>
    <row r="7" ht="18" customHeight="1" s="866">
      <c r="A7" s="1155" t="n">
        <v>4534</v>
      </c>
      <c r="B7" s="1156" t="inlineStr">
        <is>
          <t>Andrew Whitford</t>
        </is>
      </c>
      <c r="C7" s="1156" t="inlineStr">
        <is>
          <t>Field Systems Operations Lead - WA</t>
        </is>
      </c>
      <c r="D7" s="1156" t="inlineStr">
        <is>
          <t>Ephriam Adan</t>
        </is>
      </c>
      <c r="E7" s="1156" t="inlineStr">
        <is>
          <t>Manager, AU Retail Operations</t>
        </is>
      </c>
      <c r="F7" s="1157" t="inlineStr">
        <is>
          <t>Ampol Retail &amp; Z</t>
        </is>
      </c>
      <c r="G7" s="1158" t="inlineStr">
        <is>
          <t>Ampol Retail</t>
        </is>
      </c>
      <c r="H7" s="1156" t="inlineStr">
        <is>
          <t>Ampol Retail, Technology</t>
        </is>
      </c>
      <c r="I7" s="1156" t="inlineStr">
        <is>
          <t>Retail</t>
        </is>
      </c>
      <c r="J7" s="1158" t="inlineStr">
        <is>
          <t>Store Operations</t>
        </is>
      </c>
      <c r="K7" s="1156" t="inlineStr">
        <is>
          <t>Store Operations</t>
        </is>
      </c>
      <c r="L7" s="1158" t="n"/>
      <c r="M7" s="1159" t="inlineStr">
        <is>
          <t>Australia</t>
        </is>
      </c>
      <c r="N7" s="1162" t="inlineStr">
        <is>
          <t>CIA</t>
        </is>
      </c>
      <c r="O7" s="1162" t="n">
        <v>1</v>
      </c>
      <c r="P7" s="1162" t="n"/>
      <c r="Q7" s="1162" t="inlineStr">
        <is>
          <t>Permanent - Full Time</t>
        </is>
      </c>
      <c r="R7" s="1162" t="n"/>
      <c r="S7" s="1162" t="n"/>
      <c r="T7" s="1163" t="n">
        <v>124740</v>
      </c>
      <c r="U7" s="1164" t="n">
        <v>124740</v>
      </c>
      <c r="V7" s="1166" t="n">
        <v>0.1</v>
      </c>
      <c r="W7" s="1170" t="n">
        <v>0.055</v>
      </c>
      <c r="X7" s="1170" t="n">
        <v>0.12</v>
      </c>
      <c r="Y7" s="1171" t="n"/>
      <c r="Z7" s="1170" t="n">
        <v>0.04</v>
      </c>
      <c r="AA7" s="1168">
        <f>IF(TRIM($B7)="","",IF(N($AU7)&gt;0,$AU7,IF(N($S7)&gt;0,$S7*Lists!$AG$15*(1+N($Z7)),N($U7)*(1+N($V7)+N($W7)+N($X7)+N($Z7))+N($Y7))))</f>
        <v>164033.1</v>
      </c>
      <c r="AJ7" s="865" t="str">
        <f>IF(TRIM($B7)="","",IF(IFERROR(INDEX(Lists!$AO$2:$AO$11,MATCH(ROW(),Lists!$AN$2:$AN$11,0)),"")&lt;&gt;"",IFERROR(INDEX(Lists!$AO$2:$AO$11,MATCH(ROW(),Lists!$AN$2:$AN$11,0)),""),IFERROR(INDEX(Lists!$U:$U,MATCH(TRIM($I7),Lists!$T:$T,0)),TRIM($I7))))</f>
        <v>Ampol Retail</v>
      </c>
      <c r="AK7" s="865" t="str">
        <f>IF(ISNUMBER(SEARCH("vacant",$B7)),"Vacant","Filled")</f>
        <v>Filled</v>
      </c>
      <c r="AL7" s="865" t="str">
        <f>IF($M7="NZ","NZ","AU")</f>
        <v>AU</v>
      </c>
      <c r="AM7" s="865">
        <f>COUNTIF($AJ$2:$AJ7,$AJ7)</f>
        <v>3</v>
      </c>
      <c r="AN7" s="865" t="str">
        <f>$AJ7&amp;"|"&amp;$AM7</f>
        <v>Ampol Retail|3</v>
      </c>
      <c r="AP7" s="865" t="str">
        <f>IF(TRIM($B7)="","",IF($AQ7=1,"Leadership",IFERROR(INDEX(Lists!$X:$X,MATCH(TRIM($K7),Lists!$W:$W,0)),IF(OR(TRIM($K7)="",LOWER(TRIM($K7))="na"),IF(TRIM($G7)="","Unassigned",TRIM($G7)),TRIM($K7)))))</f>
        <v>Store Operations</v>
      </c>
      <c r="AQ7" s="865" t="b">
        <f>IF(TRIM($B7)="","",--OR(TRIM($K7)="Leadership",TRIM($J7)="Leadership"))</f>
        <v>0</v>
      </c>
      <c r="AR7" s="1136" t="str">
        <f>IF(TRIM($B7)="","",IF(IFERROR(INDEX(Lists!$AQ$2:$AQ$11,MATCH(ROW(),Lists!$AN$2:$AN$11,0)),"")&lt;&gt;"",IFERROR(INDEX(Lists!$AQ$2:$AQ$11,MATCH(ROW(),Lists!$AN$2:$AN$11,0)),""),IF(ISNUMBER(SEARCH("head of ",$C7)),"Head of Technology",IF(ISNUMBER(SEARCH("TDD BP",$C7)),"Business Partner",IF(OR(ISNUMBER(SEARCH("domain architect",$C7)),ISNUMBER(SEARCH("enterprise architect",$C7))),"Domain Architect",IF(ISNUMBER(SEARCH("delivery man",$C7)),"Delivery Manager",IF(OR(ISNUMBER(SEARCH("technology manager",$C7)),ISNUMBER(SEARCH("technology manger",$C7)),ISNUMBER(SEARCH("tech manager",$C7))),"Technology Manager","Squad")))))))</f>
        <v>Squad</v>
      </c>
      <c r="AS7" s="1136" t="str">
        <f>IF(TRIM($B7)="","",IFERROR(INDEX(Lists!$AA:$AA,MATCH($AP7,Lists!$Z:$Z,0)),$AP7))</f>
        <v>Store Operations</v>
      </c>
      <c r="AT7" s="1136" t="str">
        <f>IF(TRIM($B7)="","",IF(IFERROR(INDEX(Lists!$AP$2:$AP$11,MATCH(ROW(),Lists!$AN$2:$AN$11,0)),"")&lt;&gt;"",IFERROR(INDEX(Lists!$AP$2:$AP$11,MATCH(ROW(),Lists!$AN$2:$AN$11,0)),""),IF(OR(LEFT($AJ7,3)="COE",$AJ7="EGI"),$AP7,IF($AR7&lt;&gt;"Squad",$AR7,$AP7))))</f>
        <v>Store Operations</v>
      </c>
    </row>
    <row r="8" ht="18" customHeight="1" s="866">
      <c r="A8" s="1155" t="n">
        <v>111451</v>
      </c>
      <c r="B8" s="1156" t="inlineStr">
        <is>
          <t>Aniket Banerji</t>
        </is>
      </c>
      <c r="C8" s="1156" t="inlineStr">
        <is>
          <t>Deployment Lead</t>
        </is>
      </c>
      <c r="D8" s="1156" t="inlineStr">
        <is>
          <t>Matthew Patane</t>
        </is>
      </c>
      <c r="E8" s="1156" t="inlineStr">
        <is>
          <t>Release &amp; Deployment Manager</t>
        </is>
      </c>
      <c r="F8" s="1157" t="inlineStr">
        <is>
          <t>Ampol Retail &amp; Z</t>
        </is>
      </c>
      <c r="G8" s="1158" t="inlineStr">
        <is>
          <t>Ampol Retail</t>
        </is>
      </c>
      <c r="H8" s="1156" t="inlineStr">
        <is>
          <t>Ampol Retail, Technology</t>
        </is>
      </c>
      <c r="I8" s="1156" t="inlineStr">
        <is>
          <t>Retail</t>
        </is>
      </c>
      <c r="J8" s="1158" t="inlineStr">
        <is>
          <t>Store Operations</t>
        </is>
      </c>
      <c r="K8" s="1156" t="inlineStr">
        <is>
          <t>Deployment</t>
        </is>
      </c>
      <c r="L8" s="1158" t="n"/>
      <c r="M8" s="1159" t="inlineStr">
        <is>
          <t>Australia</t>
        </is>
      </c>
      <c r="N8" s="1160" t="inlineStr">
        <is>
          <t>CIB</t>
        </is>
      </c>
      <c r="O8" s="1160" t="n">
        <v>1</v>
      </c>
      <c r="P8" s="1160" t="n"/>
      <c r="Q8" s="1160" t="inlineStr">
        <is>
          <t>Temporary - Full Time</t>
        </is>
      </c>
      <c r="R8" s="1162" t="n"/>
      <c r="S8" s="1162" t="n"/>
      <c r="T8" s="1163" t="n">
        <v>150000</v>
      </c>
      <c r="U8" s="1164" t="n">
        <v>150000</v>
      </c>
      <c r="V8" s="1166" t="n">
        <v>0.12</v>
      </c>
      <c r="W8" s="1170" t="n">
        <v>0.055</v>
      </c>
      <c r="X8" s="1170" t="n">
        <v>0.12</v>
      </c>
      <c r="Y8" s="1171" t="n"/>
      <c r="Z8" s="1170" t="n">
        <v>0.04</v>
      </c>
      <c r="AA8" s="1168">
        <f>IF(TRIM($B8)="","",IF(N($AU8)&gt;0,$AU8,IF(N($S8)&gt;0,$S8*Lists!$AG$15*(1+N($Z8)),N($U8)*(1+N($V8)+N($W8)+N($X8)+N($Z8))+N($Y8))))</f>
        <v>200250</v>
      </c>
      <c r="AJ8" s="865" t="str">
        <f>IF(TRIM($B8)="","",IF(IFERROR(INDEX(Lists!$AO$2:$AO$11,MATCH(ROW(),Lists!$AN$2:$AN$11,0)),"")&lt;&gt;"",IFERROR(INDEX(Lists!$AO$2:$AO$11,MATCH(ROW(),Lists!$AN$2:$AN$11,0)),""),IFERROR(INDEX(Lists!$U:$U,MATCH(TRIM($I8),Lists!$T:$T,0)),TRIM($I8))))</f>
        <v>Ampol Retail</v>
      </c>
      <c r="AK8" s="865" t="str">
        <f>IF(ISNUMBER(SEARCH("vacant",$B8)),"Vacant","Filled")</f>
        <v>Filled</v>
      </c>
      <c r="AL8" s="865" t="str">
        <f>IF($M8="NZ","NZ","AU")</f>
        <v>AU</v>
      </c>
      <c r="AM8" s="865">
        <f>COUNTIF($AJ$2:$AJ8,$AJ8)</f>
        <v>4</v>
      </c>
      <c r="AN8" s="865" t="str">
        <f>$AJ8&amp;"|"&amp;$AM8</f>
        <v>Ampol Retail|4</v>
      </c>
      <c r="AP8" s="865" t="str">
        <f>IF(TRIM($B8)="","",IF($AQ8=1,"Leadership",IFERROR(INDEX(Lists!$X:$X,MATCH(TRIM($K8),Lists!$W:$W,0)),IF(OR(TRIM($K8)="",LOWER(TRIM($K8))="na"),IF(TRIM($G8)="","Unassigned",TRIM($G8)),TRIM($K8)))))</f>
        <v>Deployment</v>
      </c>
      <c r="AQ8" s="865" t="b">
        <f>IF(TRIM($B8)="","",--OR(TRIM($K8)="Leadership",TRIM($J8)="Leadership"))</f>
        <v>0</v>
      </c>
      <c r="AR8" s="1136" t="str">
        <f>IF(TRIM($B8)="","",IF(IFERROR(INDEX(Lists!$AQ$2:$AQ$11,MATCH(ROW(),Lists!$AN$2:$AN$11,0)),"")&lt;&gt;"",IFERROR(INDEX(Lists!$AQ$2:$AQ$11,MATCH(ROW(),Lists!$AN$2:$AN$11,0)),""),IF(ISNUMBER(SEARCH("head of ",$C8)),"Head of Technology",IF(ISNUMBER(SEARCH("TDD BP",$C8)),"Business Partner",IF(OR(ISNUMBER(SEARCH("domain architect",$C8)),ISNUMBER(SEARCH("enterprise architect",$C8))),"Domain Architect",IF(ISNUMBER(SEARCH("delivery man",$C8)),"Delivery Manager",IF(OR(ISNUMBER(SEARCH("technology manager",$C8)),ISNUMBER(SEARCH("technology manger",$C8)),ISNUMBER(SEARCH("tech manager",$C8))),"Technology Manager","Squad")))))))</f>
        <v>Squad</v>
      </c>
      <c r="AS8" s="1136" t="str">
        <f>IF(TRIM($B8)="","",IFERROR(INDEX(Lists!$AA:$AA,MATCH($AP8,Lists!$Z:$Z,0)),$AP8))</f>
        <v>Deployment</v>
      </c>
      <c r="AT8" s="1136" t="str">
        <f>IF(TRIM($B8)="","",IF(IFERROR(INDEX(Lists!$AP$2:$AP$11,MATCH(ROW(),Lists!$AN$2:$AN$11,0)),"")&lt;&gt;"",IFERROR(INDEX(Lists!$AP$2:$AP$11,MATCH(ROW(),Lists!$AN$2:$AN$11,0)),""),IF(OR(LEFT($AJ8,3)="COE",$AJ8="EGI"),$AP8,IF($AR8&lt;&gt;"Squad",$AR8,$AP8))))</f>
        <v>Deployment</v>
      </c>
    </row>
    <row r="9" ht="18" customHeight="1" s="866">
      <c r="A9" s="1155" t="n">
        <v>99999101214</v>
      </c>
      <c r="B9" s="1156" t="inlineStr">
        <is>
          <t>Anna Koot</t>
        </is>
      </c>
      <c r="C9" s="1156" t="inlineStr">
        <is>
          <t>Senior Business Analyst</t>
        </is>
      </c>
      <c r="D9" s="1158" t="inlineStr">
        <is>
          <t>Vacant</t>
        </is>
      </c>
      <c r="E9" s="1156" t="inlineStr">
        <is>
          <t>Delivery Manager, Z and Retail Data</t>
        </is>
      </c>
      <c r="F9" s="1157" t="inlineStr">
        <is>
          <t>Ampol Retail &amp; Z</t>
        </is>
      </c>
      <c r="G9" s="1158" t="inlineStr">
        <is>
          <t>Z &amp; Group Retail</t>
        </is>
      </c>
      <c r="H9" s="1156" t="inlineStr">
        <is>
          <t>Z &amp; Group Retail, Delivery</t>
        </is>
      </c>
      <c r="I9" s="1156" t="inlineStr">
        <is>
          <t>Z</t>
        </is>
      </c>
      <c r="J9" s="1158" t="inlineStr">
        <is>
          <t>Z Supply</t>
        </is>
      </c>
      <c r="K9" s="1156" t="inlineStr">
        <is>
          <t>Z Supply</t>
        </is>
      </c>
      <c r="L9" s="1158" t="n"/>
      <c r="M9" s="1159" t="inlineStr">
        <is>
          <t>NZ</t>
        </is>
      </c>
      <c r="N9" s="1160" t="inlineStr">
        <is>
          <t>CIA</t>
        </is>
      </c>
      <c r="O9" s="1161" t="n">
        <v>1</v>
      </c>
      <c r="P9" s="1160" t="n"/>
      <c r="Q9" s="1161" t="inlineStr">
        <is>
          <t>Permanent - Full Time</t>
        </is>
      </c>
      <c r="R9" s="1162" t="n"/>
      <c r="S9" s="1162" t="n"/>
      <c r="T9" s="1163" t="n">
        <v>133320</v>
      </c>
      <c r="U9" s="1164" t="n">
        <v>122654.4</v>
      </c>
      <c r="V9" s="1165" t="n">
        <v>0.15</v>
      </c>
      <c r="W9" s="1161" t="n"/>
      <c r="X9" s="1166" t="n">
        <v>0.05</v>
      </c>
      <c r="Y9" s="1907" t="n">
        <v>2910</v>
      </c>
      <c r="Z9" s="1166" t="n">
        <v>0.03</v>
      </c>
      <c r="AA9" s="1168">
        <f>IF(TRIM($B9)="","",IF(N($AU9)&gt;0,$AU9,IF(N($S9)&gt;0,$S9*Lists!$AG$15*(1+N($Z9)),N($U9)*(1+N($V9)+N($W9)+N($X9)+N($Z9))+N($Y9))))</f>
        <v>153774.912</v>
      </c>
      <c r="AJ9" s="865" t="str">
        <f>IF(TRIM($B9)="","",IF(IFERROR(INDEX(Lists!$AO$2:$AO$11,MATCH(ROW(),Lists!$AN$2:$AN$11,0)),"")&lt;&gt;"",IFERROR(INDEX(Lists!$AO$2:$AO$11,MATCH(ROW(),Lists!$AN$2:$AN$11,0)),""),IFERROR(INDEX(Lists!$U:$U,MATCH(TRIM($I9),Lists!$T:$T,0)),TRIM($I9))))</f>
        <v>Z Retail</v>
      </c>
      <c r="AK9" s="865" t="str">
        <f>IF(ISNUMBER(SEARCH("vacant",$B9)),"Vacant","Filled")</f>
        <v>Filled</v>
      </c>
      <c r="AL9" s="865" t="str">
        <f>IF($M9="NZ","NZ","AU")</f>
        <v>NZ</v>
      </c>
      <c r="AM9" s="865">
        <f>COUNTIF($AJ$2:$AJ9,$AJ9)</f>
        <v>4</v>
      </c>
      <c r="AN9" s="865" t="str">
        <f>$AJ9&amp;"|"&amp;$AM9</f>
        <v>Z Retail|4</v>
      </c>
      <c r="AP9" s="865" t="str">
        <f>IF(TRIM($B9)="","",IF($AQ9=1,"Leadership",IFERROR(INDEX(Lists!$X:$X,MATCH(TRIM($K9),Lists!$W:$W,0)),IF(OR(TRIM($K9)="",LOWER(TRIM($K9))="na"),IF(TRIM($G9)="","Unassigned",TRIM($G9)),TRIM($K9)))))</f>
        <v>Z Supply</v>
      </c>
      <c r="AQ9" s="865" t="b">
        <f>IF(TRIM($B9)="","",--OR(TRIM($K9)="Leadership",TRIM($J9)="Leadership"))</f>
        <v>0</v>
      </c>
      <c r="AR9" s="1136" t="str">
        <f>IF(TRIM($B9)="","",IF(IFERROR(INDEX(Lists!$AQ$2:$AQ$11,MATCH(ROW(),Lists!$AN$2:$AN$11,0)),"")&lt;&gt;"",IFERROR(INDEX(Lists!$AQ$2:$AQ$11,MATCH(ROW(),Lists!$AN$2:$AN$11,0)),""),IF(ISNUMBER(SEARCH("head of ",$C9)),"Head of Technology",IF(ISNUMBER(SEARCH("TDD BP",$C9)),"Business Partner",IF(OR(ISNUMBER(SEARCH("domain architect",$C9)),ISNUMBER(SEARCH("enterprise architect",$C9))),"Domain Architect",IF(ISNUMBER(SEARCH("delivery man",$C9)),"Delivery Manager",IF(OR(ISNUMBER(SEARCH("technology manager",$C9)),ISNUMBER(SEARCH("technology manger",$C9)),ISNUMBER(SEARCH("tech manager",$C9))),"Technology Manager","Squad")))))))</f>
        <v>Squad</v>
      </c>
      <c r="AS9" s="1136" t="str">
        <f>IF(TRIM($B9)="","",IFERROR(INDEX(Lists!$AA:$AA,MATCH($AP9,Lists!$Z:$Z,0)),$AP9))</f>
        <v>Z Supply</v>
      </c>
      <c r="AT9" s="1136" t="str">
        <f>IF(TRIM($B9)="","",IF(IFERROR(INDEX(Lists!$AP$2:$AP$11,MATCH(ROW(),Lists!$AN$2:$AN$11,0)),"")&lt;&gt;"",IFERROR(INDEX(Lists!$AP$2:$AP$11,MATCH(ROW(),Lists!$AN$2:$AN$11,0)),""),IF(OR(LEFT($AJ9,3)="COE",$AJ9="EGI"),$AP9,IF($AR9&lt;&gt;"Squad",$AR9,$AP9))))</f>
        <v>Z Supply</v>
      </c>
    </row>
    <row r="10" ht="18" customHeight="1" s="866">
      <c r="A10" s="1155" t="n">
        <v>9999970029518</v>
      </c>
      <c r="B10" s="1156" t="inlineStr">
        <is>
          <t>Anne Pretorius</t>
        </is>
      </c>
      <c r="C10" s="1156" t="inlineStr">
        <is>
          <t>Lead Business Analyst</t>
        </is>
      </c>
      <c r="D10" s="1158" t="inlineStr">
        <is>
          <t>Vacant</t>
        </is>
      </c>
      <c r="E10" s="1156" t="inlineStr">
        <is>
          <t>Delivery Manager, Z and Retail Data</t>
        </is>
      </c>
      <c r="F10" s="1157" t="inlineStr">
        <is>
          <t>Ampol Retail &amp; Z</t>
        </is>
      </c>
      <c r="G10" s="1158" t="inlineStr">
        <is>
          <t>Z &amp; Group Retail</t>
        </is>
      </c>
      <c r="H10" s="1156" t="inlineStr">
        <is>
          <t>Z &amp; Group Retail, Delivery</t>
        </is>
      </c>
      <c r="I10" s="1156" t="inlineStr">
        <is>
          <t>Ampol Retail</t>
        </is>
      </c>
      <c r="J10" s="1158" t="inlineStr">
        <is>
          <t>EGI</t>
        </is>
      </c>
      <c r="K10" s="1156" t="inlineStr">
        <is>
          <t>EGI Retail</t>
        </is>
      </c>
      <c r="L10" s="1158" t="n"/>
      <c r="M10" s="1159" t="inlineStr">
        <is>
          <t>NZ</t>
        </is>
      </c>
      <c r="N10" s="1160" t="inlineStr">
        <is>
          <t>CIC</t>
        </is>
      </c>
      <c r="O10" s="1161" t="n">
        <v>0.8</v>
      </c>
      <c r="P10" s="1160" t="n"/>
      <c r="Q10" s="1161" t="inlineStr">
        <is>
          <t>Permanent - Part Time</t>
        </is>
      </c>
      <c r="R10" s="1162" t="n"/>
      <c r="S10" s="1162" t="n"/>
      <c r="T10" s="1163" t="n">
        <v>170290</v>
      </c>
      <c r="U10" s="1164" t="n">
        <v>156666.8</v>
      </c>
      <c r="V10" s="1165" t="n">
        <v>0.15</v>
      </c>
      <c r="W10" s="1161" t="n"/>
      <c r="X10" s="1166" t="n">
        <v>0.05</v>
      </c>
      <c r="Y10" s="1907" t="n">
        <v>2910</v>
      </c>
      <c r="Z10" s="1166" t="n">
        <v>0.03</v>
      </c>
      <c r="AA10" s="1168">
        <f>IF(TRIM($B10)="","",IF(N($AU10)&gt;0,$AU10,IF(N($S10)&gt;0,$S10*Lists!$AG$15*(1+N($Z10)),N($U10)*(1+N($V10)+N($W10)+N($X10)+N($Z10))+N($Y10))))</f>
        <v>195610.164</v>
      </c>
      <c r="AJ10" s="865" t="str">
        <f>IF(TRIM($B10)="","",IF(IFERROR(INDEX(Lists!$AO$2:$AO$11,MATCH(ROW(),Lists!$AN$2:$AN$11,0)),"")&lt;&gt;"",IFERROR(INDEX(Lists!$AO$2:$AO$11,MATCH(ROW(),Lists!$AN$2:$AN$11,0)),""),IFERROR(INDEX(Lists!$U:$U,MATCH(TRIM($I10),Lists!$T:$T,0)),TRIM($I10))))</f>
        <v>Ampol Retail</v>
      </c>
      <c r="AK10" s="865" t="str">
        <f>IF(ISNUMBER(SEARCH("vacant",$B10)),"Vacant","Filled")</f>
        <v>Filled</v>
      </c>
      <c r="AL10" s="865" t="str">
        <f>IF($M10="NZ","NZ","AU")</f>
        <v>NZ</v>
      </c>
      <c r="AM10" s="865">
        <f>COUNTIF($AJ$2:$AJ10,$AJ10)</f>
        <v>5</v>
      </c>
      <c r="AN10" s="865" t="str">
        <f>$AJ10&amp;"|"&amp;$AM10</f>
        <v>Ampol Retail|5</v>
      </c>
      <c r="AP10" s="865" t="str">
        <f>IF(TRIM($B10)="","",IF($AQ10=1,"Leadership",IFERROR(INDEX(Lists!$X:$X,MATCH(TRIM($K10),Lists!$W:$W,0)),IF(OR(TRIM($K10)="",LOWER(TRIM($K10))="na"),IF(TRIM($G10)="","Unassigned",TRIM($G10)),TRIM($K10)))))</f>
        <v>EGI Retail</v>
      </c>
      <c r="AQ10" s="865" t="b">
        <f>IF(TRIM($B10)="","",--OR(TRIM($K10)="Leadership",TRIM($J10)="Leadership"))</f>
        <v>0</v>
      </c>
      <c r="AR10" s="1136" t="str">
        <f>IF(TRIM($B10)="","",IF(IFERROR(INDEX(Lists!$AQ$2:$AQ$11,MATCH(ROW(),Lists!$AN$2:$AN$11,0)),"")&lt;&gt;"",IFERROR(INDEX(Lists!$AQ$2:$AQ$11,MATCH(ROW(),Lists!$AN$2:$AN$11,0)),""),IF(ISNUMBER(SEARCH("head of ",$C10)),"Head of Technology",IF(ISNUMBER(SEARCH("TDD BP",$C10)),"Business Partner",IF(OR(ISNUMBER(SEARCH("domain architect",$C10)),ISNUMBER(SEARCH("enterprise architect",$C10))),"Domain Architect",IF(ISNUMBER(SEARCH("delivery man",$C10)),"Delivery Manager",IF(OR(ISNUMBER(SEARCH("technology manager",$C10)),ISNUMBER(SEARCH("technology manger",$C10)),ISNUMBER(SEARCH("tech manager",$C10))),"Technology Manager","Squad")))))))</f>
        <v>Squad</v>
      </c>
      <c r="AS10" s="1136" t="str">
        <f>IF(TRIM($B10)="","",IFERROR(INDEX(Lists!$AA:$AA,MATCH($AP10,Lists!$Z:$Z,0)),$AP10))</f>
        <v>EGI Retail</v>
      </c>
      <c r="AT10" s="1136" t="str">
        <f>IF(TRIM($B10)="","",IF(IFERROR(INDEX(Lists!$AP$2:$AP$11,MATCH(ROW(),Lists!$AN$2:$AN$11,0)),"")&lt;&gt;"",IFERROR(INDEX(Lists!$AP$2:$AP$11,MATCH(ROW(),Lists!$AN$2:$AN$11,0)),""),IF(OR(LEFT($AJ10,3)="COE",$AJ10="EGI"),$AP10,IF($AR10&lt;&gt;"Squad",$AR10,$AP10))))</f>
        <v>EGI Retail</v>
      </c>
    </row>
    <row r="11" ht="18" customHeight="1" s="866">
      <c r="A11" s="1155" t="n">
        <v>110197</v>
      </c>
      <c r="B11" s="1156" t="inlineStr">
        <is>
          <t>Anthony Dumbrell</t>
        </is>
      </c>
      <c r="C11" s="1156" t="inlineStr">
        <is>
          <t>Technology &amp; Lab Specialist Stores</t>
        </is>
      </c>
      <c r="D11" s="1156" t="inlineStr">
        <is>
          <t>Vedran Jukic</t>
        </is>
      </c>
      <c r="E11" s="1156" t="inlineStr">
        <is>
          <t>Technology Manager, Retail</t>
        </is>
      </c>
      <c r="F11" s="1157" t="inlineStr">
        <is>
          <t>Ampol Retail &amp; Z</t>
        </is>
      </c>
      <c r="G11" s="1158" t="inlineStr">
        <is>
          <t>Ampol Retail</t>
        </is>
      </c>
      <c r="H11" s="1156" t="inlineStr">
        <is>
          <t>Ampol Retail, Technology</t>
        </is>
      </c>
      <c r="I11" s="1156" t="inlineStr">
        <is>
          <t>Retail</t>
        </is>
      </c>
      <c r="J11" s="1158" t="inlineStr">
        <is>
          <t>Store Operations</t>
        </is>
      </c>
      <c r="K11" s="1156" t="inlineStr">
        <is>
          <t>Deployment</t>
        </is>
      </c>
      <c r="L11" s="1158" t="n"/>
      <c r="M11" s="1159" t="inlineStr">
        <is>
          <t>Australia</t>
        </is>
      </c>
      <c r="N11" s="1160" t="inlineStr">
        <is>
          <t>CIB</t>
        </is>
      </c>
      <c r="O11" s="1160" t="n">
        <v>1</v>
      </c>
      <c r="P11" s="1160" t="n"/>
      <c r="Q11" s="1160" t="inlineStr">
        <is>
          <t>Permanent - Full Time</t>
        </is>
      </c>
      <c r="R11" s="1162" t="n"/>
      <c r="S11" s="1162" t="n"/>
      <c r="T11" s="1163" t="n">
        <v>154360</v>
      </c>
      <c r="U11" s="1164" t="n">
        <v>154360</v>
      </c>
      <c r="V11" s="1166" t="n">
        <v>0.12</v>
      </c>
      <c r="W11" s="1170" t="n">
        <v>0.055</v>
      </c>
      <c r="X11" s="1170" t="n">
        <v>0.12</v>
      </c>
      <c r="Y11" s="1171" t="n"/>
      <c r="Z11" s="1170" t="n">
        <v>0.04</v>
      </c>
      <c r="AA11" s="1168">
        <f>IF(TRIM($B11)="","",IF(N($AU11)&gt;0,$AU11,IF(N($S11)&gt;0,$S11*Lists!$AG$15*(1+N($Z11)),N($U11)*(1+N($V11)+N($W11)+N($X11)+N($Z11))+N($Y11))))</f>
        <v>206070.6</v>
      </c>
      <c r="AJ11" s="865" t="str">
        <f>IF(TRIM($B11)="","",IF(IFERROR(INDEX(Lists!$AO$2:$AO$11,MATCH(ROW(),Lists!$AN$2:$AN$11,0)),"")&lt;&gt;"",IFERROR(INDEX(Lists!$AO$2:$AO$11,MATCH(ROW(),Lists!$AN$2:$AN$11,0)),""),IFERROR(INDEX(Lists!$U:$U,MATCH(TRIM($I11),Lists!$T:$T,0)),TRIM($I11))))</f>
        <v>Ampol Retail</v>
      </c>
      <c r="AK11" s="865" t="str">
        <f>IF(ISNUMBER(SEARCH("vacant",$B11)),"Vacant","Filled")</f>
        <v>Filled</v>
      </c>
      <c r="AL11" s="865" t="str">
        <f>IF($M11="NZ","NZ","AU")</f>
        <v>AU</v>
      </c>
      <c r="AM11" s="865">
        <f>COUNTIF($AJ$2:$AJ11,$AJ11)</f>
        <v>6</v>
      </c>
      <c r="AN11" s="865" t="str">
        <f>$AJ11&amp;"|"&amp;$AM11</f>
        <v>Ampol Retail|6</v>
      </c>
      <c r="AP11" s="865" t="str">
        <f>IF(TRIM($B11)="","",IF($AQ11=1,"Leadership",IFERROR(INDEX(Lists!$X:$X,MATCH(TRIM($K11),Lists!$W:$W,0)),IF(OR(TRIM($K11)="",LOWER(TRIM($K11))="na"),IF(TRIM($G11)="","Unassigned",TRIM($G11)),TRIM($K11)))))</f>
        <v>Deployment</v>
      </c>
      <c r="AQ11" s="865" t="b">
        <f>IF(TRIM($B11)="","",--OR(TRIM($K11)="Leadership",TRIM($J11)="Leadership"))</f>
        <v>0</v>
      </c>
      <c r="AR11" s="1136" t="str">
        <f>IF(TRIM($B11)="","",IF(IFERROR(INDEX(Lists!$AQ$2:$AQ$11,MATCH(ROW(),Lists!$AN$2:$AN$11,0)),"")&lt;&gt;"",IFERROR(INDEX(Lists!$AQ$2:$AQ$11,MATCH(ROW(),Lists!$AN$2:$AN$11,0)),""),IF(ISNUMBER(SEARCH("head of ",$C11)),"Head of Technology",IF(ISNUMBER(SEARCH("TDD BP",$C11)),"Business Partner",IF(OR(ISNUMBER(SEARCH("domain architect",$C11)),ISNUMBER(SEARCH("enterprise architect",$C11))),"Domain Architect",IF(ISNUMBER(SEARCH("delivery man",$C11)),"Delivery Manager",IF(OR(ISNUMBER(SEARCH("technology manager",$C11)),ISNUMBER(SEARCH("technology manger",$C11)),ISNUMBER(SEARCH("tech manager",$C11))),"Technology Manager","Squad")))))))</f>
        <v>Squad</v>
      </c>
      <c r="AS11" s="1136" t="str">
        <f>IF(TRIM($B11)="","",IFERROR(INDEX(Lists!$AA:$AA,MATCH($AP11,Lists!$Z:$Z,0)),$AP11))</f>
        <v>Deployment</v>
      </c>
      <c r="AT11" s="1136" t="str">
        <f>IF(TRIM($B11)="","",IF(IFERROR(INDEX(Lists!$AP$2:$AP$11,MATCH(ROW(),Lists!$AN$2:$AN$11,0)),"")&lt;&gt;"",IFERROR(INDEX(Lists!$AP$2:$AP$11,MATCH(ROW(),Lists!$AN$2:$AN$11,0)),""),IF(OR(LEFT($AJ11,3)="COE",$AJ11="EGI"),$AP11,IF($AR11&lt;&gt;"Squad",$AR11,$AP11))))</f>
        <v>Deployment</v>
      </c>
    </row>
    <row r="12" ht="18" customHeight="1" s="866">
      <c r="A12" s="1155" t="n">
        <v>99999101647</v>
      </c>
      <c r="B12" s="1156" t="inlineStr">
        <is>
          <t>Ash Muthumala</t>
        </is>
      </c>
      <c r="C12" s="1156" t="inlineStr">
        <is>
          <t>Senior QA Analyst</t>
        </is>
      </c>
      <c r="D12" s="1158" t="inlineStr">
        <is>
          <t>Vacant</t>
        </is>
      </c>
      <c r="E12" s="1156" t="inlineStr">
        <is>
          <t>Technology Manager, Data</t>
        </is>
      </c>
      <c r="F12" s="1157" t="inlineStr">
        <is>
          <t>Ampol Retail &amp; Z</t>
        </is>
      </c>
      <c r="G12" s="1158" t="inlineStr">
        <is>
          <t>Z &amp; Group Retail</t>
        </is>
      </c>
      <c r="H12" s="1156" t="inlineStr">
        <is>
          <t>Z &amp; Group Retail, Data</t>
        </is>
      </c>
      <c r="I12" s="1156" t="inlineStr">
        <is>
          <t>Z</t>
        </is>
      </c>
      <c r="J12" s="1158" t="inlineStr">
        <is>
          <t>Z Customer &amp; Z Supply</t>
        </is>
      </c>
      <c r="K12" s="1156" t="inlineStr">
        <is>
          <t>Data - NZ</t>
        </is>
      </c>
      <c r="L12" s="1158" t="n"/>
      <c r="M12" s="1159" t="inlineStr">
        <is>
          <t>NZ</t>
        </is>
      </c>
      <c r="N12" s="1160" t="inlineStr">
        <is>
          <t>CIA</t>
        </is>
      </c>
      <c r="O12" s="1161" t="n">
        <v>1</v>
      </c>
      <c r="P12" s="1160" t="n"/>
      <c r="Q12" s="1161" t="inlineStr">
        <is>
          <t>Permanent - Full Time</t>
        </is>
      </c>
      <c r="R12" s="1162" t="n"/>
      <c r="S12" s="1162" t="n"/>
      <c r="T12" s="1163" t="n">
        <v>121830</v>
      </c>
      <c r="U12" s="1164" t="n">
        <v>112083.6</v>
      </c>
      <c r="V12" s="1165" t="n">
        <v>0.15</v>
      </c>
      <c r="W12" s="1161" t="n"/>
      <c r="X12" s="1166" t="n">
        <v>0.05</v>
      </c>
      <c r="Y12" s="1907" t="n">
        <v>2910</v>
      </c>
      <c r="Z12" s="1166" t="n">
        <v>0.03</v>
      </c>
      <c r="AA12" s="1168">
        <f>IF(TRIM($B12)="","",IF(N($AU12)&gt;0,$AU12,IF(N($S12)&gt;0,$S12*Lists!$AG$15*(1+N($Z12)),N($U12)*(1+N($V12)+N($W12)+N($X12)+N($Z12))+N($Y12))))</f>
        <v>140772.828</v>
      </c>
      <c r="AJ12" s="865" t="str">
        <f>IF(TRIM($B12)="","",IF(IFERROR(INDEX(Lists!$AO$2:$AO$11,MATCH(ROW(),Lists!$AN$2:$AN$11,0)),"")&lt;&gt;"",IFERROR(INDEX(Lists!$AO$2:$AO$11,MATCH(ROW(),Lists!$AN$2:$AN$11,0)),""),IFERROR(INDEX(Lists!$U:$U,MATCH(TRIM($I12),Lists!$T:$T,0)),TRIM($I12))))</f>
        <v>Z Retail</v>
      </c>
      <c r="AK12" s="865" t="str">
        <f>IF(ISNUMBER(SEARCH("vacant",$B12)),"Vacant","Filled")</f>
        <v>Filled</v>
      </c>
      <c r="AL12" s="865" t="str">
        <f>IF($M12="NZ","NZ","AU")</f>
        <v>NZ</v>
      </c>
      <c r="AM12" s="865">
        <f>COUNTIF($AJ$2:$AJ12,$AJ12)</f>
        <v>5</v>
      </c>
      <c r="AN12" s="865" t="str">
        <f>$AJ12&amp;"|"&amp;$AM12</f>
        <v>Z Retail|5</v>
      </c>
      <c r="AP12" s="865" t="str">
        <f>IF(TRIM($B12)="","",IF($AQ12=1,"Leadership",IFERROR(INDEX(Lists!$X:$X,MATCH(TRIM($K12),Lists!$W:$W,0)),IF(OR(TRIM($K12)="",LOWER(TRIM($K12))="na"),IF(TRIM($G12)="","Unassigned",TRIM($G12)),TRIM($K12)))))</f>
        <v>Data NZ</v>
      </c>
      <c r="AQ12" s="865" t="b">
        <f>IF(TRIM($B12)="","",--OR(TRIM($K12)="Leadership",TRIM($J12)="Leadership"))</f>
        <v>0</v>
      </c>
      <c r="AR12" s="1136" t="str">
        <f>IF(TRIM($B12)="","",IF(IFERROR(INDEX(Lists!$AQ$2:$AQ$11,MATCH(ROW(),Lists!$AN$2:$AN$11,0)),"")&lt;&gt;"",IFERROR(INDEX(Lists!$AQ$2:$AQ$11,MATCH(ROW(),Lists!$AN$2:$AN$11,0)),""),IF(ISNUMBER(SEARCH("head of ",$C12)),"Head of Technology",IF(ISNUMBER(SEARCH("TDD BP",$C12)),"Business Partner",IF(OR(ISNUMBER(SEARCH("domain architect",$C12)),ISNUMBER(SEARCH("enterprise architect",$C12))),"Domain Architect",IF(ISNUMBER(SEARCH("delivery man",$C12)),"Delivery Manager",IF(OR(ISNUMBER(SEARCH("technology manager",$C12)),ISNUMBER(SEARCH("technology manger",$C12)),ISNUMBER(SEARCH("tech manager",$C12))),"Technology Manager","Squad")))))))</f>
        <v>Squad</v>
      </c>
      <c r="AS12" s="1136" t="str">
        <f>IF(TRIM($B12)="","",IFERROR(INDEX(Lists!$AA:$AA,MATCH($AP12,Lists!$Z:$Z,0)),$AP12))</f>
        <v>Data NZ</v>
      </c>
      <c r="AT12" s="1136" t="str">
        <f>IF(TRIM($B12)="","",IF(IFERROR(INDEX(Lists!$AP$2:$AP$11,MATCH(ROW(),Lists!$AN$2:$AN$11,0)),"")&lt;&gt;"",IFERROR(INDEX(Lists!$AP$2:$AP$11,MATCH(ROW(),Lists!$AN$2:$AN$11,0)),""),IF(OR(LEFT($AJ12,3)="COE",$AJ12="EGI"),$AP12,IF($AR12&lt;&gt;"Squad",$AR12,$AP12))))</f>
        <v>Data NZ</v>
      </c>
    </row>
    <row r="13" ht="18" customHeight="1" s="866">
      <c r="A13" s="1155" t="n">
        <v>97784</v>
      </c>
      <c r="B13" s="1156" t="inlineStr">
        <is>
          <t>Balaji Murugan</t>
        </is>
      </c>
      <c r="C13" s="1156" t="inlineStr">
        <is>
          <t>Delivery Lead</t>
        </is>
      </c>
      <c r="D13" s="1156" t="inlineStr">
        <is>
          <t>Vanessa Allen</t>
        </is>
      </c>
      <c r="E13" s="1156" t="inlineStr">
        <is>
          <t>Delivery Manager, Ampol Retail</t>
        </is>
      </c>
      <c r="F13" s="1157" t="inlineStr">
        <is>
          <t>Ampol Retail &amp; Z</t>
        </is>
      </c>
      <c r="G13" s="1158" t="inlineStr">
        <is>
          <t>Ampol Retail</t>
        </is>
      </c>
      <c r="H13" s="1156" t="inlineStr">
        <is>
          <t>Ampol Retail, Delivery</t>
        </is>
      </c>
      <c r="I13" s="1156" t="inlineStr">
        <is>
          <t>Retail</t>
        </is>
      </c>
      <c r="J13" s="1158" t="inlineStr">
        <is>
          <t>AMPOS</t>
        </is>
      </c>
      <c r="K13" s="1156" t="inlineStr">
        <is>
          <t>AmPos</t>
        </is>
      </c>
      <c r="L13" s="1158" t="n"/>
      <c r="M13" s="1159" t="inlineStr">
        <is>
          <t>Australia</t>
        </is>
      </c>
      <c r="N13" s="1160" t="inlineStr">
        <is>
          <t>CIC</t>
        </is>
      </c>
      <c r="O13" s="1160" t="n">
        <v>1</v>
      </c>
      <c r="P13" s="1160" t="n"/>
      <c r="Q13" s="1160" t="inlineStr">
        <is>
          <t>Permanent - Full Time</t>
        </is>
      </c>
      <c r="R13" s="1162" t="n"/>
      <c r="S13" s="1162" t="n"/>
      <c r="T13" s="1163" t="n">
        <v>178018</v>
      </c>
      <c r="U13" s="1164" t="n">
        <v>178018</v>
      </c>
      <c r="V13" s="1166" t="n">
        <v>0.12</v>
      </c>
      <c r="W13" s="1170" t="n">
        <v>0.055</v>
      </c>
      <c r="X13" s="1170" t="n">
        <v>0.12</v>
      </c>
      <c r="Y13" s="1171" t="n"/>
      <c r="Z13" s="1170" t="n">
        <v>0.04</v>
      </c>
      <c r="AA13" s="1168">
        <f>IF(TRIM($B13)="","",IF(N($AU13)&gt;0,$AU13,IF(N($S13)&gt;0,$S13*Lists!$AG$15*(1+N($Z13)),N($U13)*(1+N($V13)+N($W13)+N($X13)+N($Z13))+N($Y13))))</f>
        <v>237654.03</v>
      </c>
      <c r="AJ13" s="865" t="str">
        <f>IF(TRIM($B13)="","",IF(IFERROR(INDEX(Lists!$AO$2:$AO$11,MATCH(ROW(),Lists!$AN$2:$AN$11,0)),"")&lt;&gt;"",IFERROR(INDEX(Lists!$AO$2:$AO$11,MATCH(ROW(),Lists!$AN$2:$AN$11,0)),""),IFERROR(INDEX(Lists!$U:$U,MATCH(TRIM($I13),Lists!$T:$T,0)),TRIM($I13))))</f>
        <v>Ampol Retail</v>
      </c>
      <c r="AK13" s="865" t="str">
        <f>IF(ISNUMBER(SEARCH("vacant",$B13)),"Vacant","Filled")</f>
        <v>Filled</v>
      </c>
      <c r="AL13" s="865" t="str">
        <f>IF($M13="NZ","NZ","AU")</f>
        <v>AU</v>
      </c>
      <c r="AM13" s="865">
        <f>COUNTIF($AJ$2:$AJ13,$AJ13)</f>
        <v>7</v>
      </c>
      <c r="AN13" s="865" t="str">
        <f>$AJ13&amp;"|"&amp;$AM13</f>
        <v>Ampol Retail|7</v>
      </c>
      <c r="AP13" s="865" t="str">
        <f>IF(TRIM($B13)="","",IF($AQ13=1,"Leadership",IFERROR(INDEX(Lists!$X:$X,MATCH(TRIM($K13),Lists!$W:$W,0)),IF(OR(TRIM($K13)="",LOWER(TRIM($K13))="na"),IF(TRIM($G13)="","Unassigned",TRIM($G13)),TRIM($K13)))))</f>
        <v>AmPOS</v>
      </c>
      <c r="AQ13" s="865" t="b">
        <f>IF(TRIM($B13)="","",--OR(TRIM($K13)="Leadership",TRIM($J13)="Leadership"))</f>
        <v>0</v>
      </c>
      <c r="AR13" s="1136" t="str">
        <f>IF(TRIM($B13)="","",IF(IFERROR(INDEX(Lists!$AQ$2:$AQ$11,MATCH(ROW(),Lists!$AN$2:$AN$11,0)),"")&lt;&gt;"",IFERROR(INDEX(Lists!$AQ$2:$AQ$11,MATCH(ROW(),Lists!$AN$2:$AN$11,0)),""),IF(ISNUMBER(SEARCH("head of ",$C13)),"Head of Technology",IF(ISNUMBER(SEARCH("TDD BP",$C13)),"Business Partner",IF(OR(ISNUMBER(SEARCH("domain architect",$C13)),ISNUMBER(SEARCH("enterprise architect",$C13))),"Domain Architect",IF(ISNUMBER(SEARCH("delivery man",$C13)),"Delivery Manager",IF(OR(ISNUMBER(SEARCH("technology manager",$C13)),ISNUMBER(SEARCH("technology manger",$C13)),ISNUMBER(SEARCH("tech manager",$C13))),"Technology Manager","Squad")))))))</f>
        <v>Squad</v>
      </c>
      <c r="AS13" s="1136" t="str">
        <f>IF(TRIM($B13)="","",IFERROR(INDEX(Lists!$AA:$AA,MATCH($AP13,Lists!$Z:$Z,0)),$AP13))</f>
        <v>AmPOS</v>
      </c>
      <c r="AT13" s="1136" t="str">
        <f>IF(TRIM($B13)="","",IF(IFERROR(INDEX(Lists!$AP$2:$AP$11,MATCH(ROW(),Lists!$AN$2:$AN$11,0)),"")&lt;&gt;"",IFERROR(INDEX(Lists!$AP$2:$AP$11,MATCH(ROW(),Lists!$AN$2:$AN$11,0)),""),IF(OR(LEFT($AJ13,3)="COE",$AJ13="EGI"),$AP13,IF($AR13&lt;&gt;"Squad",$AR13,$AP13))))</f>
        <v>AmPOS</v>
      </c>
    </row>
    <row r="14" ht="18" customHeight="1" s="866">
      <c r="A14" s="1155" t="n">
        <v>97847</v>
      </c>
      <c r="B14" s="1156" t="inlineStr">
        <is>
          <t>Beenu Murali</t>
        </is>
      </c>
      <c r="C14" s="1156" t="inlineStr">
        <is>
          <t>Quality Assurance</t>
        </is>
      </c>
      <c r="D14" s="1158" t="inlineStr">
        <is>
          <t>Vacant</t>
        </is>
      </c>
      <c r="E14" s="1156" t="inlineStr">
        <is>
          <t>Lead Quality Assurance</t>
        </is>
      </c>
      <c r="F14" s="1157" t="inlineStr">
        <is>
          <t>Ampol Retail &amp; Z</t>
        </is>
      </c>
      <c r="G14" s="1158" t="inlineStr">
        <is>
          <t>Ampol Retail</t>
        </is>
      </c>
      <c r="H14" s="1156" t="inlineStr">
        <is>
          <t>Ampol Retail, Store Platforms</t>
        </is>
      </c>
      <c r="I14" s="1156" t="inlineStr">
        <is>
          <t>Retail</t>
        </is>
      </c>
      <c r="J14" s="1158" t="inlineStr">
        <is>
          <t>Store Operations</t>
        </is>
      </c>
      <c r="K14" s="1156" t="inlineStr">
        <is>
          <t>Payments</t>
        </is>
      </c>
      <c r="L14" s="1158" t="n"/>
      <c r="M14" s="1159" t="inlineStr">
        <is>
          <t>Australia</t>
        </is>
      </c>
      <c r="N14" s="1160" t="inlineStr">
        <is>
          <t>CDC</t>
        </is>
      </c>
      <c r="O14" s="1160" t="n">
        <v>1</v>
      </c>
      <c r="P14" s="1160" t="n"/>
      <c r="Q14" s="1160" t="inlineStr">
        <is>
          <t>Permanent - Full Time</t>
        </is>
      </c>
      <c r="R14" s="1162" t="n"/>
      <c r="S14" s="1162" t="n"/>
      <c r="T14" s="1163" t="n">
        <v>111090</v>
      </c>
      <c r="U14" s="1164" t="n">
        <v>111090</v>
      </c>
      <c r="V14" s="1166" t="n">
        <v>0.1</v>
      </c>
      <c r="W14" s="1170" t="n">
        <v>0.055</v>
      </c>
      <c r="X14" s="1170" t="n">
        <v>0.12</v>
      </c>
      <c r="Y14" s="1171" t="n"/>
      <c r="Z14" s="1170" t="n">
        <v>0.04</v>
      </c>
      <c r="AA14" s="1168">
        <f>IF(TRIM($B14)="","",IF(N($AU14)&gt;0,$AU14,IF(N($S14)&gt;0,$S14*Lists!$AG$15*(1+N($Z14)),N($U14)*(1+N($V14)+N($W14)+N($X14)+N($Z14))+N($Y14))))</f>
        <v>146083.35</v>
      </c>
      <c r="AJ14" s="865" t="str">
        <f>IF(TRIM($B14)="","",IF(IFERROR(INDEX(Lists!$AO$2:$AO$11,MATCH(ROW(),Lists!$AN$2:$AN$11,0)),"")&lt;&gt;"",IFERROR(INDEX(Lists!$AO$2:$AO$11,MATCH(ROW(),Lists!$AN$2:$AN$11,0)),""),IFERROR(INDEX(Lists!$U:$U,MATCH(TRIM($I14),Lists!$T:$T,0)),TRIM($I14))))</f>
        <v>Ampol Retail</v>
      </c>
      <c r="AK14" s="865" t="str">
        <f>IF(ISNUMBER(SEARCH("vacant",$B14)),"Vacant","Filled")</f>
        <v>Filled</v>
      </c>
      <c r="AL14" s="865" t="str">
        <f>IF($M14="NZ","NZ","AU")</f>
        <v>AU</v>
      </c>
      <c r="AM14" s="865">
        <f>COUNTIF($AJ$2:$AJ14,$AJ14)</f>
        <v>8</v>
      </c>
      <c r="AN14" s="865" t="str">
        <f>$AJ14&amp;"|"&amp;$AM14</f>
        <v>Ampol Retail|8</v>
      </c>
      <c r="AP14" s="865" t="str">
        <f>IF(TRIM($B14)="","",IF($AQ14=1,"Leadership",IFERROR(INDEX(Lists!$X:$X,MATCH(TRIM($K14),Lists!$W:$W,0)),IF(OR(TRIM($K14)="",LOWER(TRIM($K14))="na"),IF(TRIM($G14)="","Unassigned",TRIM($G14)),TRIM($K14)))))</f>
        <v>Payments</v>
      </c>
      <c r="AQ14" s="865" t="b">
        <f>IF(TRIM($B14)="","",--OR(TRIM($K14)="Leadership",TRIM($J14)="Leadership"))</f>
        <v>0</v>
      </c>
      <c r="AR14" s="1136" t="str">
        <f>IF(TRIM($B14)="","",IF(IFERROR(INDEX(Lists!$AQ$2:$AQ$11,MATCH(ROW(),Lists!$AN$2:$AN$11,0)),"")&lt;&gt;"",IFERROR(INDEX(Lists!$AQ$2:$AQ$11,MATCH(ROW(),Lists!$AN$2:$AN$11,0)),""),IF(ISNUMBER(SEARCH("head of ",$C14)),"Head of Technology",IF(ISNUMBER(SEARCH("TDD BP",$C14)),"Business Partner",IF(OR(ISNUMBER(SEARCH("domain architect",$C14)),ISNUMBER(SEARCH("enterprise architect",$C14))),"Domain Architect",IF(ISNUMBER(SEARCH("delivery man",$C14)),"Delivery Manager",IF(OR(ISNUMBER(SEARCH("technology manager",$C14)),ISNUMBER(SEARCH("technology manger",$C14)),ISNUMBER(SEARCH("tech manager",$C14))),"Technology Manager","Squad")))))))</f>
        <v>Squad</v>
      </c>
      <c r="AS14" s="1136" t="str">
        <f>IF(TRIM($B14)="","",IFERROR(INDEX(Lists!$AA:$AA,MATCH($AP14,Lists!$Z:$Z,0)),$AP14))</f>
        <v>Payments</v>
      </c>
      <c r="AT14" s="1136" t="str">
        <f>IF(TRIM($B14)="","",IF(IFERROR(INDEX(Lists!$AP$2:$AP$11,MATCH(ROW(),Lists!$AN$2:$AN$11,0)),"")&lt;&gt;"",IFERROR(INDEX(Lists!$AP$2:$AP$11,MATCH(ROW(),Lists!$AN$2:$AN$11,0)),""),IF(OR(LEFT($AJ14,3)="COE",$AJ14="EGI"),$AP14,IF($AR14&lt;&gt;"Squad",$AR14,$AP14))))</f>
        <v>Payments</v>
      </c>
    </row>
    <row r="15" ht="18" customHeight="1" s="866">
      <c r="A15" s="1155" t="n">
        <v>99999101333</v>
      </c>
      <c r="B15" s="1156" t="inlineStr">
        <is>
          <t>Benjamin Sheffield</t>
        </is>
      </c>
      <c r="C15" s="1156" t="inlineStr">
        <is>
          <t>Lead Engineer - Software</t>
        </is>
      </c>
      <c r="D15" s="1156" t="inlineStr">
        <is>
          <t>Vacant</t>
        </is>
      </c>
      <c r="E15" s="1156" t="inlineStr">
        <is>
          <t>Technology Manager, Engineering</t>
        </is>
      </c>
      <c r="F15" s="1157" t="inlineStr">
        <is>
          <t>Ampol Retail &amp; Z</t>
        </is>
      </c>
      <c r="G15" s="1158" t="inlineStr">
        <is>
          <t>Z &amp; Group Retail</t>
        </is>
      </c>
      <c r="H15" s="1156" t="inlineStr">
        <is>
          <t>Z &amp; Group Retail, Engineering</t>
        </is>
      </c>
      <c r="I15" s="1156" t="inlineStr">
        <is>
          <t>Z</t>
        </is>
      </c>
      <c r="J15" s="1158" t="inlineStr">
        <is>
          <t>Z Supply</t>
        </is>
      </c>
      <c r="K15" s="1156" t="inlineStr">
        <is>
          <t>Z Supply</t>
        </is>
      </c>
      <c r="L15" s="1158" t="n"/>
      <c r="M15" s="1159" t="inlineStr">
        <is>
          <t>NZ</t>
        </is>
      </c>
      <c r="N15" s="1160" t="inlineStr">
        <is>
          <t>CIC</t>
        </is>
      </c>
      <c r="O15" s="1161" t="n">
        <v>1</v>
      </c>
      <c r="P15" s="1160" t="n"/>
      <c r="Q15" s="1161" t="inlineStr">
        <is>
          <t>Permanent - Full Time</t>
        </is>
      </c>
      <c r="R15" s="1162" t="n"/>
      <c r="S15" s="1162" t="n"/>
      <c r="T15" s="1163" t="n">
        <v>160250</v>
      </c>
      <c r="U15" s="1164" t="n">
        <v>147430</v>
      </c>
      <c r="V15" s="1165" t="n">
        <v>0.15</v>
      </c>
      <c r="W15" s="1161" t="n"/>
      <c r="X15" s="1166" t="n">
        <v>0.05</v>
      </c>
      <c r="Y15" s="1907" t="n">
        <v>2910</v>
      </c>
      <c r="Z15" s="1166" t="n">
        <v>0.03</v>
      </c>
      <c r="AA15" s="1168">
        <f>IF(TRIM($B15)="","",IF(N($AU15)&gt;0,$AU15,IF(N($S15)&gt;0,$S15*Lists!$AG$15*(1+N($Z15)),N($U15)*(1+N($V15)+N($W15)+N($X15)+N($Z15))+N($Y15))))</f>
        <v>184248.9</v>
      </c>
      <c r="AJ15" s="865" t="str">
        <f>IF(TRIM($B15)="","",IF(IFERROR(INDEX(Lists!$AO$2:$AO$11,MATCH(ROW(),Lists!$AN$2:$AN$11,0)),"")&lt;&gt;"",IFERROR(INDEX(Lists!$AO$2:$AO$11,MATCH(ROW(),Lists!$AN$2:$AN$11,0)),""),IFERROR(INDEX(Lists!$U:$U,MATCH(TRIM($I15),Lists!$T:$T,0)),TRIM($I15))))</f>
        <v>Z Retail</v>
      </c>
      <c r="AK15" s="865" t="str">
        <f>IF(ISNUMBER(SEARCH("vacant",$B15)),"Vacant","Filled")</f>
        <v>Filled</v>
      </c>
      <c r="AL15" s="865" t="str">
        <f>IF($M15="NZ","NZ","AU")</f>
        <v>NZ</v>
      </c>
      <c r="AM15" s="865">
        <f>COUNTIF($AJ$2:$AJ15,$AJ15)</f>
        <v>6</v>
      </c>
      <c r="AN15" s="865" t="str">
        <f>$AJ15&amp;"|"&amp;$AM15</f>
        <v>Z Retail|6</v>
      </c>
      <c r="AP15" s="865" t="str">
        <f>IF(TRIM($B15)="","",IF($AQ15=1,"Leadership",IFERROR(INDEX(Lists!$X:$X,MATCH(TRIM($K15),Lists!$W:$W,0)),IF(OR(TRIM($K15)="",LOWER(TRIM($K15))="na"),IF(TRIM($G15)="","Unassigned",TRIM($G15)),TRIM($K15)))))</f>
        <v>Z Supply</v>
      </c>
      <c r="AQ15" s="865" t="b">
        <f>IF(TRIM($B15)="","",--OR(TRIM($K15)="Leadership",TRIM($J15)="Leadership"))</f>
        <v>0</v>
      </c>
      <c r="AR15" s="1136" t="str">
        <f>IF(TRIM($B15)="","",IF(IFERROR(INDEX(Lists!$AQ$2:$AQ$11,MATCH(ROW(),Lists!$AN$2:$AN$11,0)),"")&lt;&gt;"",IFERROR(INDEX(Lists!$AQ$2:$AQ$11,MATCH(ROW(),Lists!$AN$2:$AN$11,0)),""),IF(ISNUMBER(SEARCH("head of ",$C15)),"Head of Technology",IF(ISNUMBER(SEARCH("TDD BP",$C15)),"Business Partner",IF(OR(ISNUMBER(SEARCH("domain architect",$C15)),ISNUMBER(SEARCH("enterprise architect",$C15))),"Domain Architect",IF(ISNUMBER(SEARCH("delivery man",$C15)),"Delivery Manager",IF(OR(ISNUMBER(SEARCH("technology manager",$C15)),ISNUMBER(SEARCH("technology manger",$C15)),ISNUMBER(SEARCH("tech manager",$C15))),"Technology Manager","Squad")))))))</f>
        <v>Squad</v>
      </c>
      <c r="AS15" s="1136" t="str">
        <f>IF(TRIM($B15)="","",IFERROR(INDEX(Lists!$AA:$AA,MATCH($AP15,Lists!$Z:$Z,0)),$AP15))</f>
        <v>Z Supply</v>
      </c>
      <c r="AT15" s="1136" t="str">
        <f>IF(TRIM($B15)="","",IF(IFERROR(INDEX(Lists!$AP$2:$AP$11,MATCH(ROW(),Lists!$AN$2:$AN$11,0)),"")&lt;&gt;"",IFERROR(INDEX(Lists!$AP$2:$AP$11,MATCH(ROW(),Lists!$AN$2:$AN$11,0)),""),IF(OR(LEFT($AJ15,3)="COE",$AJ15="EGI"),$AP15,IF($AR15&lt;&gt;"Squad",$AR15,$AP15))))</f>
        <v>Z Supply</v>
      </c>
    </row>
    <row r="16" ht="18" customHeight="1" s="866">
      <c r="A16" s="1155" t="n">
        <v>99999101553</v>
      </c>
      <c r="B16" s="1156" t="inlineStr">
        <is>
          <t>Bradley Cunningham</t>
        </is>
      </c>
      <c r="C16" s="1156" t="inlineStr">
        <is>
          <t>Site Systems Analyst</t>
        </is>
      </c>
      <c r="D16" s="1156" t="inlineStr">
        <is>
          <t>Callan McLaughlin</t>
        </is>
      </c>
      <c r="E16" s="1156" t="inlineStr">
        <is>
          <t>Technology Manager,  Site Systems</t>
        </is>
      </c>
      <c r="F16" s="1157" t="inlineStr">
        <is>
          <t>Ampol Retail &amp; Z</t>
        </is>
      </c>
      <c r="G16" s="1158" t="inlineStr">
        <is>
          <t>Z &amp; Group Retail</t>
        </is>
      </c>
      <c r="H16" s="1156" t="inlineStr">
        <is>
          <t>Z &amp; Group Retail, Site Systems</t>
        </is>
      </c>
      <c r="I16" s="1156" t="inlineStr">
        <is>
          <t>Z</t>
        </is>
      </c>
      <c r="J16" s="1158" t="inlineStr">
        <is>
          <t>Z Customer</t>
        </is>
      </c>
      <c r="K16" s="1156" t="inlineStr">
        <is>
          <t>Site Systems</t>
        </is>
      </c>
      <c r="L16" s="1158" t="n"/>
      <c r="M16" s="1159" t="inlineStr">
        <is>
          <t>NZ</t>
        </is>
      </c>
      <c r="N16" s="1160" t="inlineStr">
        <is>
          <t>CDC</t>
        </is>
      </c>
      <c r="O16" s="1161" t="n">
        <v>1</v>
      </c>
      <c r="P16" s="1160" t="n"/>
      <c r="Q16" s="1161" t="inlineStr">
        <is>
          <t>Permanent - Full Time</t>
        </is>
      </c>
      <c r="R16" s="1162" t="n"/>
      <c r="S16" s="1162" t="n"/>
      <c r="T16" s="1163" t="n">
        <v>96110</v>
      </c>
      <c r="U16" s="1164" t="n">
        <v>88421.2</v>
      </c>
      <c r="V16" s="1165" t="n">
        <v>0.1</v>
      </c>
      <c r="W16" s="1161" t="n"/>
      <c r="X16" s="1166" t="n">
        <v>0.05</v>
      </c>
      <c r="Y16" s="1907" t="n">
        <v>2910</v>
      </c>
      <c r="Z16" s="1166" t="n">
        <v>0.03</v>
      </c>
      <c r="AA16" s="1168">
        <f>IF(TRIM($B16)="","",IF(N($AU16)&gt;0,$AU16,IF(N($S16)&gt;0,$S16*Lists!$AG$15*(1+N($Z16)),N($U16)*(1+N($V16)+N($W16)+N($X16)+N($Z16))+N($Y16))))</f>
        <v>107247.016</v>
      </c>
      <c r="AJ16" s="865" t="str">
        <f>IF(TRIM($B16)="","",IF(IFERROR(INDEX(Lists!$AO$2:$AO$11,MATCH(ROW(),Lists!$AN$2:$AN$11,0)),"")&lt;&gt;"",IFERROR(INDEX(Lists!$AO$2:$AO$11,MATCH(ROW(),Lists!$AN$2:$AN$11,0)),""),IFERROR(INDEX(Lists!$U:$U,MATCH(TRIM($I16),Lists!$T:$T,0)),TRIM($I16))))</f>
        <v>Z Retail</v>
      </c>
      <c r="AK16" s="865" t="str">
        <f>IF(ISNUMBER(SEARCH("vacant",$B16)),"Vacant","Filled")</f>
        <v>Filled</v>
      </c>
      <c r="AL16" s="865" t="str">
        <f>IF($M16="NZ","NZ","AU")</f>
        <v>NZ</v>
      </c>
      <c r="AM16" s="865">
        <f>COUNTIF($AJ$2:$AJ16,$AJ16)</f>
        <v>7</v>
      </c>
      <c r="AN16" s="865" t="str">
        <f>$AJ16&amp;"|"&amp;$AM16</f>
        <v>Z Retail|7</v>
      </c>
      <c r="AP16" s="865" t="str">
        <f>IF(TRIM($B16)="","",IF($AQ16=1,"Leadership",IFERROR(INDEX(Lists!$X:$X,MATCH(TRIM($K16),Lists!$W:$W,0)),IF(OR(TRIM($K16)="",LOWER(TRIM($K16))="na"),IF(TRIM($G16)="","Unassigned",TRIM($G16)),TRIM($K16)))))</f>
        <v>Site Systems</v>
      </c>
      <c r="AQ16" s="865" t="b">
        <f>IF(TRIM($B16)="","",--OR(TRIM($K16)="Leadership",TRIM($J16)="Leadership"))</f>
        <v>0</v>
      </c>
      <c r="AR16" s="1136" t="str">
        <f>IF(TRIM($B16)="","",IF(IFERROR(INDEX(Lists!$AQ$2:$AQ$11,MATCH(ROW(),Lists!$AN$2:$AN$11,0)),"")&lt;&gt;"",IFERROR(INDEX(Lists!$AQ$2:$AQ$11,MATCH(ROW(),Lists!$AN$2:$AN$11,0)),""),IF(ISNUMBER(SEARCH("head of ",$C16)),"Head of Technology",IF(ISNUMBER(SEARCH("TDD BP",$C16)),"Business Partner",IF(OR(ISNUMBER(SEARCH("domain architect",$C16)),ISNUMBER(SEARCH("enterprise architect",$C16))),"Domain Architect",IF(ISNUMBER(SEARCH("delivery man",$C16)),"Delivery Manager",IF(OR(ISNUMBER(SEARCH("technology manager",$C16)),ISNUMBER(SEARCH("technology manger",$C16)),ISNUMBER(SEARCH("tech manager",$C16))),"Technology Manager","Squad")))))))</f>
        <v>Squad</v>
      </c>
      <c r="AS16" s="1136" t="str">
        <f>IF(TRIM($B16)="","",IFERROR(INDEX(Lists!$AA:$AA,MATCH($AP16,Lists!$Z:$Z,0)),$AP16))</f>
        <v>Site Systems</v>
      </c>
      <c r="AT16" s="1136" t="str">
        <f>IF(TRIM($B16)="","",IF(IFERROR(INDEX(Lists!$AP$2:$AP$11,MATCH(ROW(),Lists!$AN$2:$AN$11,0)),"")&lt;&gt;"",IFERROR(INDEX(Lists!$AP$2:$AP$11,MATCH(ROW(),Lists!$AN$2:$AN$11,0)),""),IF(OR(LEFT($AJ16,3)="COE",$AJ16="EGI"),$AP16,IF($AR16&lt;&gt;"Squad",$AR16,$AP16))))</f>
        <v>Site Systems</v>
      </c>
    </row>
    <row r="17" ht="18" customHeight="1" s="866">
      <c r="A17" s="1155" t="n">
        <v>99999101959</v>
      </c>
      <c r="B17" s="1156" t="inlineStr">
        <is>
          <t>Brian Lai</t>
        </is>
      </c>
      <c r="C17" s="1156" t="inlineStr">
        <is>
          <t>Engineer - Data</t>
        </is>
      </c>
      <c r="D17" s="1158" t="inlineStr">
        <is>
          <t>Vacant</t>
        </is>
      </c>
      <c r="E17" s="1156" t="inlineStr">
        <is>
          <t>Technology Manager, Data</t>
        </is>
      </c>
      <c r="F17" s="1157" t="inlineStr">
        <is>
          <t>Ampol Retail &amp; Z</t>
        </is>
      </c>
      <c r="G17" s="1158" t="inlineStr">
        <is>
          <t>Z &amp; Group Retail</t>
        </is>
      </c>
      <c r="H17" s="1156" t="inlineStr">
        <is>
          <t>Z &amp; Group Retail, Data</t>
        </is>
      </c>
      <c r="I17" s="1156" t="inlineStr">
        <is>
          <t>Z</t>
        </is>
      </c>
      <c r="J17" s="1158" t="inlineStr">
        <is>
          <t>Z Customer &amp; Z Supply</t>
        </is>
      </c>
      <c r="K17" s="1156" t="inlineStr">
        <is>
          <t>Data - NZ</t>
        </is>
      </c>
      <c r="L17" s="1158" t="n"/>
      <c r="M17" s="1159" t="inlineStr">
        <is>
          <t>NZ</t>
        </is>
      </c>
      <c r="N17" s="1160" t="inlineStr">
        <is>
          <t>CIA</t>
        </is>
      </c>
      <c r="O17" s="1161" t="n">
        <v>1</v>
      </c>
      <c r="P17" s="1160" t="n"/>
      <c r="Q17" s="1161" t="inlineStr">
        <is>
          <t>Permanent - Full Time</t>
        </is>
      </c>
      <c r="R17" s="1162" t="n"/>
      <c r="S17" s="1162" t="n"/>
      <c r="T17" s="1162" t="n">
        <v>135000</v>
      </c>
      <c r="U17" s="1174" t="n">
        <v>124200</v>
      </c>
      <c r="V17" s="1165" t="n">
        <v>0.15</v>
      </c>
      <c r="W17" s="1161" t="n"/>
      <c r="X17" s="1166" t="n">
        <v>0.05</v>
      </c>
      <c r="Y17" s="1907" t="n">
        <v>2910</v>
      </c>
      <c r="Z17" s="1166" t="n">
        <v>0.03</v>
      </c>
      <c r="AA17" s="1168">
        <f>IF(TRIM($B17)="","",IF(N($AU17)&gt;0,$AU17,IF(N($S17)&gt;0,$S17*Lists!$AG$15*(1+N($Z17)),N($U17)*(1+N($V17)+N($W17)+N($X17)+N($Z17))+N($Y17))))</f>
        <v>155676</v>
      </c>
      <c r="AJ17" s="865" t="str">
        <f>IF(TRIM($B17)="","",IF(IFERROR(INDEX(Lists!$AO$2:$AO$11,MATCH(ROW(),Lists!$AN$2:$AN$11,0)),"")&lt;&gt;"",IFERROR(INDEX(Lists!$AO$2:$AO$11,MATCH(ROW(),Lists!$AN$2:$AN$11,0)),""),IFERROR(INDEX(Lists!$U:$U,MATCH(TRIM($I17),Lists!$T:$T,0)),TRIM($I17))))</f>
        <v>Z Retail</v>
      </c>
      <c r="AK17" s="865" t="str">
        <f>IF(ISNUMBER(SEARCH("vacant",$B17)),"Vacant","Filled")</f>
        <v>Filled</v>
      </c>
      <c r="AL17" s="865" t="str">
        <f>IF($M17="NZ","NZ","AU")</f>
        <v>NZ</v>
      </c>
      <c r="AM17" s="865">
        <f>COUNTIF($AJ$2:$AJ17,$AJ17)</f>
        <v>8</v>
      </c>
      <c r="AN17" s="865" t="str">
        <f>$AJ17&amp;"|"&amp;$AM17</f>
        <v>Z Retail|8</v>
      </c>
      <c r="AP17" s="865" t="str">
        <f>IF(TRIM($B17)="","",IF($AQ17=1,"Leadership",IFERROR(INDEX(Lists!$X:$X,MATCH(TRIM($K17),Lists!$W:$W,0)),IF(OR(TRIM($K17)="",LOWER(TRIM($K17))="na"),IF(TRIM($G17)="","Unassigned",TRIM($G17)),TRIM($K17)))))</f>
        <v>Data NZ</v>
      </c>
      <c r="AQ17" s="865" t="b">
        <f>IF(TRIM($B17)="","",--OR(TRIM($K17)="Leadership",TRIM($J17)="Leadership"))</f>
        <v>0</v>
      </c>
      <c r="AR17" s="1136" t="str">
        <f>IF(TRIM($B17)="","",IF(IFERROR(INDEX(Lists!$AQ$2:$AQ$11,MATCH(ROW(),Lists!$AN$2:$AN$11,0)),"")&lt;&gt;"",IFERROR(INDEX(Lists!$AQ$2:$AQ$11,MATCH(ROW(),Lists!$AN$2:$AN$11,0)),""),IF(ISNUMBER(SEARCH("head of ",$C17)),"Head of Technology",IF(ISNUMBER(SEARCH("TDD BP",$C17)),"Business Partner",IF(OR(ISNUMBER(SEARCH("domain architect",$C17)),ISNUMBER(SEARCH("enterprise architect",$C17))),"Domain Architect",IF(ISNUMBER(SEARCH("delivery man",$C17)),"Delivery Manager",IF(OR(ISNUMBER(SEARCH("technology manager",$C17)),ISNUMBER(SEARCH("technology manger",$C17)),ISNUMBER(SEARCH("tech manager",$C17))),"Technology Manager","Squad")))))))</f>
        <v>Squad</v>
      </c>
      <c r="AS17" s="1136" t="str">
        <f>IF(TRIM($B17)="","",IFERROR(INDEX(Lists!$AA:$AA,MATCH($AP17,Lists!$Z:$Z,0)),$AP17))</f>
        <v>Data NZ</v>
      </c>
      <c r="AT17" s="1136" t="str">
        <f>IF(TRIM($B17)="","",IF(IFERROR(INDEX(Lists!$AP$2:$AP$11,MATCH(ROW(),Lists!$AN$2:$AN$11,0)),"")&lt;&gt;"",IFERROR(INDEX(Lists!$AP$2:$AP$11,MATCH(ROW(),Lists!$AN$2:$AN$11,0)),""),IF(OR(LEFT($AJ17,3)="COE",$AJ17="EGI"),$AP17,IF($AR17&lt;&gt;"Squad",$AR17,$AP17))))</f>
        <v>Data NZ</v>
      </c>
    </row>
    <row r="18" ht="18" customHeight="1" s="866">
      <c r="A18" s="1175" t="n">
        <v>99999100418</v>
      </c>
      <c r="B18" s="1176" t="inlineStr">
        <is>
          <t>Callan McLaughlin</t>
        </is>
      </c>
      <c r="C18" s="1177" t="inlineStr">
        <is>
          <t>Technology Manager, Site Systems</t>
        </is>
      </c>
      <c r="D18" s="1177" t="inlineStr">
        <is>
          <t>vacant</t>
        </is>
      </c>
      <c r="E18" s="1177" t="inlineStr">
        <is>
          <t>Head of Technology, Z and Group Retail Platforms</t>
        </is>
      </c>
      <c r="F18" s="1178" t="inlineStr">
        <is>
          <t>Ampol Retail &amp; Z</t>
        </is>
      </c>
      <c r="G18" s="1177" t="inlineStr">
        <is>
          <t>Z &amp; Group Retail</t>
        </is>
      </c>
      <c r="H18" s="1179" t="inlineStr">
        <is>
          <t>Z &amp; Group Retail, Site Systems</t>
        </is>
      </c>
      <c r="I18" s="1179" t="inlineStr">
        <is>
          <t>Z</t>
        </is>
      </c>
      <c r="J18" s="1177" t="inlineStr">
        <is>
          <t>Z Customer &amp; Z Supply</t>
        </is>
      </c>
      <c r="K18" s="1180" t="inlineStr">
        <is>
          <t>Leadership</t>
        </is>
      </c>
      <c r="L18" s="1177" t="n"/>
      <c r="M18" s="1181" t="inlineStr">
        <is>
          <t>NZ</t>
        </is>
      </c>
      <c r="N18" s="1182" t="inlineStr">
        <is>
          <t>CSB</t>
        </is>
      </c>
      <c r="O18" s="1161" t="n">
        <v>1</v>
      </c>
      <c r="P18" s="1160" t="n"/>
      <c r="Q18" s="1161" t="inlineStr">
        <is>
          <t>Permanent - Full Time</t>
        </is>
      </c>
      <c r="R18" s="1162" t="n"/>
      <c r="S18" s="1162" t="n"/>
      <c r="T18" s="1162" t="n">
        <v>183480</v>
      </c>
      <c r="U18" s="1174" t="n">
        <v>168801.6</v>
      </c>
      <c r="V18" s="1165" t="n">
        <v>0.15</v>
      </c>
      <c r="W18" s="1161" t="n"/>
      <c r="X18" s="1166" t="n">
        <v>0.05</v>
      </c>
      <c r="Y18" s="1907" t="n">
        <v>2910</v>
      </c>
      <c r="Z18" s="1166" t="n">
        <v>0.03</v>
      </c>
      <c r="AA18" s="1168">
        <f>IF(TRIM($B18)="","",IF(N($AU18)&gt;0,$AU18,IF(N($S18)&gt;0,$S18*Lists!$AG$15*(1+N($Z18)),N($U18)*(1+N($V18)+N($W18)+N($X18)+N($Z18))+N($Y18))))</f>
        <v>210535.968</v>
      </c>
      <c r="AJ18" s="865" t="str">
        <f>IF(TRIM($B18)="","",IF(IFERROR(INDEX(Lists!$AO$2:$AO$11,MATCH(ROW(),Lists!$AN$2:$AN$11,0)),"")&lt;&gt;"",IFERROR(INDEX(Lists!$AO$2:$AO$11,MATCH(ROW(),Lists!$AN$2:$AN$11,0)),""),IFERROR(INDEX(Lists!$U:$U,MATCH(TRIM($I18),Lists!$T:$T,0)),TRIM($I18))))</f>
        <v>Z Retail</v>
      </c>
      <c r="AK18" s="865" t="str">
        <f>IF(ISNUMBER(SEARCH("vacant",$B18)),"Vacant","Filled")</f>
        <v>Filled</v>
      </c>
      <c r="AL18" s="865" t="str">
        <f>IF($M18="NZ","NZ","AU")</f>
        <v>NZ</v>
      </c>
      <c r="AM18" s="865">
        <f>COUNTIF($AJ$2:$AJ18,$AJ18)</f>
        <v>9</v>
      </c>
      <c r="AN18" s="865" t="str">
        <f>$AJ18&amp;"|"&amp;$AM18</f>
        <v>Z Retail|9</v>
      </c>
      <c r="AP18" s="1136" t="str">
        <f>IF(TRIM($B18)="","",IF($AQ18=1,"Leadership",IFERROR(INDEX(Lists!$X:$X,MATCH(TRIM($K18),Lists!$W:$W,0)),IF(OR(TRIM($K18)="",LOWER(TRIM($K18))="na"),IF(TRIM($G18)="","Unassigned",TRIM($G18)),TRIM($K18)))))</f>
        <v>Leadership</v>
      </c>
      <c r="AQ18" s="865" t="b">
        <f>IF(TRIM($B18)="","",--OR(TRIM($K18)="Leadership",TRIM($J18)="Leadership"))</f>
        <v>1</v>
      </c>
      <c r="AR18" s="1136" t="str">
        <f>IF(TRIM($B18)="","",IF(IFERROR(INDEX(Lists!$AQ$2:$AQ$11,MATCH(ROW(),Lists!$AN$2:$AN$11,0)),"")&lt;&gt;"",IFERROR(INDEX(Lists!$AQ$2:$AQ$11,MATCH(ROW(),Lists!$AN$2:$AN$11,0)),""),IF(ISNUMBER(SEARCH("head of ",$C18)),"Head of Technology",IF(ISNUMBER(SEARCH("TDD BP",$C18)),"Business Partner",IF(OR(ISNUMBER(SEARCH("domain architect",$C18)),ISNUMBER(SEARCH("enterprise architect",$C18))),"Domain Architect",IF(ISNUMBER(SEARCH("delivery man",$C18)),"Delivery Manager",IF(OR(ISNUMBER(SEARCH("technology manager",$C18)),ISNUMBER(SEARCH("technology manger",$C18)),ISNUMBER(SEARCH("tech manager",$C18))),"Technology Manager","Squad")))))))</f>
        <v>Technology Manager</v>
      </c>
      <c r="AS18" s="1136" t="str">
        <f>IF(TRIM($B18)="","",IFERROR(INDEX(Lists!$AA:$AA,MATCH($AP18,Lists!$Z:$Z,0)),$AP18))</f>
        <v>Leadership</v>
      </c>
      <c r="AT18" s="1136" t="str">
        <f>IF(TRIM($B18)="","",IF(IFERROR(INDEX(Lists!$AP$2:$AP$11,MATCH(ROW(),Lists!$AN$2:$AN$11,0)),"")&lt;&gt;"",IFERROR(INDEX(Lists!$AP$2:$AP$11,MATCH(ROW(),Lists!$AN$2:$AN$11,0)),""),IF(OR(LEFT($AJ18,3)="COE",$AJ18="EGI"),$AP18,IF($AR18&lt;&gt;"Squad",$AR18,$AP18))))</f>
        <v>Technology Manager</v>
      </c>
    </row>
    <row r="19" ht="18" customHeight="1" s="866">
      <c r="A19" s="1155" t="n">
        <v>99999100975</v>
      </c>
      <c r="B19" s="1156" t="inlineStr">
        <is>
          <t>Chris Mitchell</t>
        </is>
      </c>
      <c r="C19" s="1156" t="inlineStr">
        <is>
          <t>Deployment Lead</t>
        </is>
      </c>
      <c r="D19" s="1156" t="inlineStr">
        <is>
          <t>Callan McLaughlin</t>
        </is>
      </c>
      <c r="E19" s="1156" t="inlineStr">
        <is>
          <t>Technology Manager,  Site Systems</t>
        </is>
      </c>
      <c r="F19" s="1157" t="inlineStr">
        <is>
          <t>Ampol Retail &amp; Z</t>
        </is>
      </c>
      <c r="G19" s="1158" t="inlineStr">
        <is>
          <t>Z &amp; Group Retail</t>
        </is>
      </c>
      <c r="H19" s="1156" t="inlineStr">
        <is>
          <t>Z &amp; Group Retail, Site Systems</t>
        </is>
      </c>
      <c r="I19" s="1156" t="inlineStr">
        <is>
          <t>Z</t>
        </is>
      </c>
      <c r="J19" s="1158" t="inlineStr">
        <is>
          <t>Z Customer</t>
        </is>
      </c>
      <c r="K19" s="1156" t="inlineStr">
        <is>
          <t>Site Systems</t>
        </is>
      </c>
      <c r="L19" s="1158" t="n"/>
      <c r="M19" s="1183" t="inlineStr">
        <is>
          <t>NZ</t>
        </is>
      </c>
      <c r="N19" s="1160" t="inlineStr">
        <is>
          <t>CIA</t>
        </is>
      </c>
      <c r="O19" s="1161" t="n">
        <v>1</v>
      </c>
      <c r="P19" s="1160" t="n"/>
      <c r="Q19" s="1161" t="inlineStr">
        <is>
          <t>Permanent - Full Time</t>
        </is>
      </c>
      <c r="R19" s="1162" t="n"/>
      <c r="S19" s="1162" t="n"/>
      <c r="T19" s="1162" t="n">
        <v>118000</v>
      </c>
      <c r="U19" s="1174" t="n">
        <v>108560</v>
      </c>
      <c r="V19" s="1165" t="n">
        <v>0.15</v>
      </c>
      <c r="W19" s="1161" t="n"/>
      <c r="X19" s="1166" t="n">
        <v>0.05</v>
      </c>
      <c r="Y19" s="1907" t="n">
        <v>2910</v>
      </c>
      <c r="Z19" s="1166" t="n">
        <v>0.03</v>
      </c>
      <c r="AA19" s="1168">
        <f>IF(TRIM($B19)="","",IF(N($AU19)&gt;0,$AU19,IF(N($S19)&gt;0,$S19*Lists!$AG$15*(1+N($Z19)),N($U19)*(1+N($V19)+N($W19)+N($X19)+N($Z19))+N($Y19))))</f>
        <v>136438.8</v>
      </c>
      <c r="AJ19" s="865" t="str">
        <f>IF(TRIM($B19)="","",IF(IFERROR(INDEX(Lists!$AO$2:$AO$11,MATCH(ROW(),Lists!$AN$2:$AN$11,0)),"")&lt;&gt;"",IFERROR(INDEX(Lists!$AO$2:$AO$11,MATCH(ROW(),Lists!$AN$2:$AN$11,0)),""),IFERROR(INDEX(Lists!$U:$U,MATCH(TRIM($I19),Lists!$T:$T,0)),TRIM($I19))))</f>
        <v>Z Retail</v>
      </c>
      <c r="AK19" s="865" t="str">
        <f>IF(ISNUMBER(SEARCH("vacant",$B19)),"Vacant","Filled")</f>
        <v>Filled</v>
      </c>
      <c r="AL19" s="865" t="str">
        <f>IF($M19="NZ","NZ","AU")</f>
        <v>NZ</v>
      </c>
      <c r="AM19" s="865">
        <f>COUNTIF($AJ$2:$AJ19,$AJ19)</f>
        <v>10</v>
      </c>
      <c r="AN19" s="865" t="str">
        <f>$AJ19&amp;"|"&amp;$AM19</f>
        <v>Z Retail|10</v>
      </c>
      <c r="AP19" s="865" t="str">
        <f>IF(TRIM($B19)="","",IF($AQ19=1,"Leadership",IFERROR(INDEX(Lists!$X:$X,MATCH(TRIM($K19),Lists!$W:$W,0)),IF(OR(TRIM($K19)="",LOWER(TRIM($K19))="na"),IF(TRIM($G19)="","Unassigned",TRIM($G19)),TRIM($K19)))))</f>
        <v>Site Systems</v>
      </c>
      <c r="AQ19" s="865" t="b">
        <f>IF(TRIM($B19)="","",--OR(TRIM($K19)="Leadership",TRIM($J19)="Leadership"))</f>
        <v>0</v>
      </c>
      <c r="AR19" s="1136" t="str">
        <f>IF(TRIM($B19)="","",IF(IFERROR(INDEX(Lists!$AQ$2:$AQ$11,MATCH(ROW(),Lists!$AN$2:$AN$11,0)),"")&lt;&gt;"",IFERROR(INDEX(Lists!$AQ$2:$AQ$11,MATCH(ROW(),Lists!$AN$2:$AN$11,0)),""),IF(ISNUMBER(SEARCH("head of ",$C19)),"Head of Technology",IF(ISNUMBER(SEARCH("TDD BP",$C19)),"Business Partner",IF(OR(ISNUMBER(SEARCH("domain architect",$C19)),ISNUMBER(SEARCH("enterprise architect",$C19))),"Domain Architect",IF(ISNUMBER(SEARCH("delivery man",$C19)),"Delivery Manager",IF(OR(ISNUMBER(SEARCH("technology manager",$C19)),ISNUMBER(SEARCH("technology manger",$C19)),ISNUMBER(SEARCH("tech manager",$C19))),"Technology Manager","Squad")))))))</f>
        <v>Squad</v>
      </c>
      <c r="AS19" s="1136" t="str">
        <f>IF(TRIM($B19)="","",IFERROR(INDEX(Lists!$AA:$AA,MATCH($AP19,Lists!$Z:$Z,0)),$AP19))</f>
        <v>Site Systems</v>
      </c>
      <c r="AT19" s="1136" t="str">
        <f>IF(TRIM($B19)="","",IF(IFERROR(INDEX(Lists!$AP$2:$AP$11,MATCH(ROW(),Lists!$AN$2:$AN$11,0)),"")&lt;&gt;"",IFERROR(INDEX(Lists!$AP$2:$AP$11,MATCH(ROW(),Lists!$AN$2:$AN$11,0)),""),IF(OR(LEFT($AJ19,3)="COE",$AJ19="EGI"),$AP19,IF($AR19&lt;&gt;"Squad",$AR19,$AP19))))</f>
        <v>Site Systems</v>
      </c>
    </row>
    <row r="20" ht="18" customHeight="1" s="866">
      <c r="A20" s="1155" t="n">
        <v>99999101233</v>
      </c>
      <c r="B20" s="1156" t="inlineStr">
        <is>
          <t>Chris Wilson</t>
        </is>
      </c>
      <c r="C20" s="1156" t="inlineStr">
        <is>
          <t>Solution Architect</t>
        </is>
      </c>
      <c r="D20" s="1156" t="inlineStr">
        <is>
          <t>Callan McLaughlin</t>
        </is>
      </c>
      <c r="E20" s="1156" t="inlineStr">
        <is>
          <t>Technology Manager,  Site Systems</t>
        </is>
      </c>
      <c r="F20" s="1157" t="inlineStr">
        <is>
          <t>Ampol Retail &amp; Z</t>
        </is>
      </c>
      <c r="G20" s="1158" t="inlineStr">
        <is>
          <t>Z &amp; Group Retail</t>
        </is>
      </c>
      <c r="H20" s="1156" t="inlineStr">
        <is>
          <t>Z &amp; Group Retail, Site Systems</t>
        </is>
      </c>
      <c r="I20" s="1156" t="inlineStr">
        <is>
          <t>Z</t>
        </is>
      </c>
      <c r="J20" s="1158" t="inlineStr">
        <is>
          <t>Z Customer</t>
        </is>
      </c>
      <c r="K20" s="1156" t="inlineStr">
        <is>
          <t>Site Systems</t>
        </is>
      </c>
      <c r="L20" s="1158" t="n"/>
      <c r="M20" s="1183" t="inlineStr">
        <is>
          <t>NZ</t>
        </is>
      </c>
      <c r="N20" s="1160" t="inlineStr">
        <is>
          <t>CIC</t>
        </is>
      </c>
      <c r="O20" s="1161" t="n">
        <v>1</v>
      </c>
      <c r="P20" s="1160" t="n"/>
      <c r="Q20" s="1161" t="inlineStr">
        <is>
          <t>Permanent - Full Time</t>
        </is>
      </c>
      <c r="R20" s="1162" t="n"/>
      <c r="S20" s="1162" t="n"/>
      <c r="T20" s="1162" t="n">
        <v>161990</v>
      </c>
      <c r="U20" s="1174" t="n">
        <v>149030.8</v>
      </c>
      <c r="V20" s="1165" t="n">
        <v>0.15</v>
      </c>
      <c r="W20" s="1161" t="n"/>
      <c r="X20" s="1166" t="n">
        <v>0.05</v>
      </c>
      <c r="Y20" s="1907" t="n">
        <v>2910</v>
      </c>
      <c r="Z20" s="1166" t="n">
        <v>0.03</v>
      </c>
      <c r="AA20" s="1168">
        <f>IF(TRIM($B20)="","",IF(N($AU20)&gt;0,$AU20,IF(N($S20)&gt;0,$S20*Lists!$AG$15*(1+N($Z20)),N($U20)*(1+N($V20)+N($W20)+N($X20)+N($Z20))+N($Y20))))</f>
        <v>186217.884</v>
      </c>
      <c r="AJ20" s="865" t="str">
        <f>IF(TRIM($B20)="","",IF(IFERROR(INDEX(Lists!$AO$2:$AO$11,MATCH(ROW(),Lists!$AN$2:$AN$11,0)),"")&lt;&gt;"",IFERROR(INDEX(Lists!$AO$2:$AO$11,MATCH(ROW(),Lists!$AN$2:$AN$11,0)),""),IFERROR(INDEX(Lists!$U:$U,MATCH(TRIM($I20),Lists!$T:$T,0)),TRIM($I20))))</f>
        <v>Z Retail</v>
      </c>
      <c r="AK20" s="865" t="str">
        <f>IF(ISNUMBER(SEARCH("vacant",$B20)),"Vacant","Filled")</f>
        <v>Filled</v>
      </c>
      <c r="AL20" s="865" t="str">
        <f>IF($M20="NZ","NZ","AU")</f>
        <v>NZ</v>
      </c>
      <c r="AM20" s="865">
        <f>COUNTIF($AJ$2:$AJ20,$AJ20)</f>
        <v>11</v>
      </c>
      <c r="AN20" s="865" t="str">
        <f>$AJ20&amp;"|"&amp;$AM20</f>
        <v>Z Retail|11</v>
      </c>
      <c r="AP20" s="865" t="str">
        <f>IF(TRIM($B20)="","",IF($AQ20=1,"Leadership",IFERROR(INDEX(Lists!$X:$X,MATCH(TRIM($K20),Lists!$W:$W,0)),IF(OR(TRIM($K20)="",LOWER(TRIM($K20))="na"),IF(TRIM($G20)="","Unassigned",TRIM($G20)),TRIM($K20)))))</f>
        <v>Site Systems</v>
      </c>
      <c r="AQ20" s="865" t="b">
        <f>IF(TRIM($B20)="","",--OR(TRIM($K20)="Leadership",TRIM($J20)="Leadership"))</f>
        <v>0</v>
      </c>
      <c r="AR20" s="1136" t="str">
        <f>IF(TRIM($B20)="","",IF(IFERROR(INDEX(Lists!$AQ$2:$AQ$11,MATCH(ROW(),Lists!$AN$2:$AN$11,0)),"")&lt;&gt;"",IFERROR(INDEX(Lists!$AQ$2:$AQ$11,MATCH(ROW(),Lists!$AN$2:$AN$11,0)),""),IF(ISNUMBER(SEARCH("head of ",$C20)),"Head of Technology",IF(ISNUMBER(SEARCH("TDD BP",$C20)),"Business Partner",IF(OR(ISNUMBER(SEARCH("domain architect",$C20)),ISNUMBER(SEARCH("enterprise architect",$C20))),"Domain Architect",IF(ISNUMBER(SEARCH("delivery man",$C20)),"Delivery Manager",IF(OR(ISNUMBER(SEARCH("technology manager",$C20)),ISNUMBER(SEARCH("technology manger",$C20)),ISNUMBER(SEARCH("tech manager",$C20))),"Technology Manager","Squad")))))))</f>
        <v>Squad</v>
      </c>
      <c r="AS20" s="1136" t="str">
        <f>IF(TRIM($B20)="","",IFERROR(INDEX(Lists!$AA:$AA,MATCH($AP20,Lists!$Z:$Z,0)),$AP20))</f>
        <v>Site Systems</v>
      </c>
      <c r="AT20" s="1136" t="str">
        <f>IF(TRIM($B20)="","",IF(IFERROR(INDEX(Lists!$AP$2:$AP$11,MATCH(ROW(),Lists!$AN$2:$AN$11,0)),"")&lt;&gt;"",IFERROR(INDEX(Lists!$AP$2:$AP$11,MATCH(ROW(),Lists!$AN$2:$AN$11,0)),""),IF(OR(LEFT($AJ20,3)="COE",$AJ20="EGI"),$AP20,IF($AR20&lt;&gt;"Squad",$AR20,$AP20))))</f>
        <v>Site Systems</v>
      </c>
    </row>
    <row r="21" ht="18" customHeight="1" s="866">
      <c r="A21" s="1155" t="n">
        <v>99999102141</v>
      </c>
      <c r="B21" s="1156" t="inlineStr">
        <is>
          <t>Christian Guo</t>
        </is>
      </c>
      <c r="C21" s="1156" t="inlineStr">
        <is>
          <t>Solution Architect</t>
        </is>
      </c>
      <c r="D21" s="1156" t="inlineStr">
        <is>
          <t>Callan McLaughlin</t>
        </is>
      </c>
      <c r="E21" s="1156" t="inlineStr">
        <is>
          <t>Technology Manager,  Site Systems</t>
        </is>
      </c>
      <c r="F21" s="1157" t="inlineStr">
        <is>
          <t>Ampol Retail &amp; Z</t>
        </is>
      </c>
      <c r="G21" s="1158" t="inlineStr">
        <is>
          <t>Z &amp; Group Retail</t>
        </is>
      </c>
      <c r="H21" s="1156" t="inlineStr">
        <is>
          <t>Z &amp; Group Retail, Site Systems</t>
        </is>
      </c>
      <c r="I21" s="1156" t="inlineStr">
        <is>
          <t>Z</t>
        </is>
      </c>
      <c r="J21" s="1156" t="inlineStr">
        <is>
          <t>Z Customer</t>
        </is>
      </c>
      <c r="K21" s="1156" t="inlineStr">
        <is>
          <t xml:space="preserve">Z Retail Backend </t>
        </is>
      </c>
      <c r="L21" s="1158" t="n"/>
      <c r="M21" s="1183" t="inlineStr">
        <is>
          <t>NZ</t>
        </is>
      </c>
      <c r="N21" s="1160" t="inlineStr">
        <is>
          <t>CIC</t>
        </is>
      </c>
      <c r="O21" s="1161" t="n">
        <v>1</v>
      </c>
      <c r="P21" s="1160" t="n"/>
      <c r="Q21" s="1161" t="inlineStr">
        <is>
          <t>Permanent - Full Time</t>
        </is>
      </c>
      <c r="R21" s="1162" t="n"/>
      <c r="S21" s="1162" t="n"/>
      <c r="T21" s="1162" t="n">
        <v>180000</v>
      </c>
      <c r="U21" s="1174" t="n">
        <v>165600</v>
      </c>
      <c r="V21" s="1165" t="n">
        <v>0.15</v>
      </c>
      <c r="W21" s="1161" t="n"/>
      <c r="X21" s="1166" t="n">
        <v>0.05</v>
      </c>
      <c r="Y21" s="1907" t="n">
        <v>2910</v>
      </c>
      <c r="Z21" s="1166" t="n">
        <v>0.03</v>
      </c>
      <c r="AA21" s="1168">
        <f>IF(TRIM($B21)="","",IF(N($AU21)&gt;0,$AU21,IF(N($S21)&gt;0,$S21*Lists!$AG$15*(1+N($Z21)),N($U21)*(1+N($V21)+N($W21)+N($X21)+N($Z21))+N($Y21))))</f>
        <v>206598</v>
      </c>
      <c r="AJ21" s="865" t="str">
        <f>IF(TRIM($B21)="","",IF(IFERROR(INDEX(Lists!$AO$2:$AO$11,MATCH(ROW(),Lists!$AN$2:$AN$11,0)),"")&lt;&gt;"",IFERROR(INDEX(Lists!$AO$2:$AO$11,MATCH(ROW(),Lists!$AN$2:$AN$11,0)),""),IFERROR(INDEX(Lists!$U:$U,MATCH(TRIM($I21),Lists!$T:$T,0)),TRIM($I21))))</f>
        <v>Z Retail</v>
      </c>
      <c r="AK21" s="865" t="str">
        <f>IF(ISNUMBER(SEARCH("vacant",$B21)),"Vacant","Filled")</f>
        <v>Filled</v>
      </c>
      <c r="AL21" s="865" t="str">
        <f>IF($M21="NZ","NZ","AU")</f>
        <v>NZ</v>
      </c>
      <c r="AM21" s="865">
        <f>COUNTIF($AJ$2:$AJ21,$AJ21)</f>
        <v>12</v>
      </c>
      <c r="AN21" s="865" t="str">
        <f>$AJ21&amp;"|"&amp;$AM21</f>
        <v>Z Retail|12</v>
      </c>
      <c r="AP21" s="865" t="str">
        <f>IF(TRIM($B21)="","",IF($AQ21=1,"Leadership",IFERROR(INDEX(Lists!$X:$X,MATCH(TRIM($K21),Lists!$W:$W,0)),IF(OR(TRIM($K21)="",LOWER(TRIM($K21))="na"),IF(TRIM($G21)="","Unassigned",TRIM($G21)),TRIM($K21)))))</f>
        <v>Z Retail Backend</v>
      </c>
      <c r="AQ21" s="865" t="b">
        <f>IF(TRIM($B21)="","",--OR(TRIM($K21)="Leadership",TRIM($J21)="Leadership"))</f>
        <v>0</v>
      </c>
      <c r="AR21" s="1136" t="str">
        <f>IF(TRIM($B21)="","",IF(IFERROR(INDEX(Lists!$AQ$2:$AQ$11,MATCH(ROW(),Lists!$AN$2:$AN$11,0)),"")&lt;&gt;"",IFERROR(INDEX(Lists!$AQ$2:$AQ$11,MATCH(ROW(),Lists!$AN$2:$AN$11,0)),""),IF(ISNUMBER(SEARCH("head of ",$C21)),"Head of Technology",IF(ISNUMBER(SEARCH("TDD BP",$C21)),"Business Partner",IF(OR(ISNUMBER(SEARCH("domain architect",$C21)),ISNUMBER(SEARCH("enterprise architect",$C21))),"Domain Architect",IF(ISNUMBER(SEARCH("delivery man",$C21)),"Delivery Manager",IF(OR(ISNUMBER(SEARCH("technology manager",$C21)),ISNUMBER(SEARCH("technology manger",$C21)),ISNUMBER(SEARCH("tech manager",$C21))),"Technology Manager","Squad")))))))</f>
        <v>Squad</v>
      </c>
      <c r="AS21" s="1136" t="str">
        <f>IF(TRIM($B21)="","",IFERROR(INDEX(Lists!$AA:$AA,MATCH($AP21,Lists!$Z:$Z,0)),$AP21))</f>
        <v>Z Retail Backend</v>
      </c>
      <c r="AT21" s="1136" t="str">
        <f>IF(TRIM($B21)="","",IF(IFERROR(INDEX(Lists!$AP$2:$AP$11,MATCH(ROW(),Lists!$AN$2:$AN$11,0)),"")&lt;&gt;"",IFERROR(INDEX(Lists!$AP$2:$AP$11,MATCH(ROW(),Lists!$AN$2:$AN$11,0)),""),IF(OR(LEFT($AJ21,3)="COE",$AJ21="EGI"),$AP21,IF($AR21&lt;&gt;"Squad",$AR21,$AP21))))</f>
        <v>Z Retail Backend</v>
      </c>
    </row>
    <row r="22" ht="18" customHeight="1" s="866">
      <c r="A22" s="1155" t="n">
        <v>95128</v>
      </c>
      <c r="B22" s="1156" t="inlineStr">
        <is>
          <t>Deepak Kubendran</t>
        </is>
      </c>
      <c r="C22" s="1156" t="inlineStr">
        <is>
          <t>Project Manager - Deployments</t>
        </is>
      </c>
      <c r="D22" s="1156" t="inlineStr">
        <is>
          <t>Matthew Patane</t>
        </is>
      </c>
      <c r="E22" s="1156" t="inlineStr">
        <is>
          <t>Release &amp; Deployment Manager</t>
        </is>
      </c>
      <c r="F22" s="1157" t="inlineStr">
        <is>
          <t>Ampol Retail &amp; Z</t>
        </is>
      </c>
      <c r="G22" s="1158" t="inlineStr">
        <is>
          <t>Ampol Retail</t>
        </is>
      </c>
      <c r="H22" s="1156" t="inlineStr">
        <is>
          <t>Ampol Retail, Technology</t>
        </is>
      </c>
      <c r="I22" s="1156" t="inlineStr">
        <is>
          <t>Retail</t>
        </is>
      </c>
      <c r="J22" s="1158" t="inlineStr">
        <is>
          <t>Store Operations</t>
        </is>
      </c>
      <c r="K22" s="1156" t="inlineStr">
        <is>
          <t>Deployment</t>
        </is>
      </c>
      <c r="L22" s="1158" t="n"/>
      <c r="M22" s="1183" t="inlineStr">
        <is>
          <t>Australia</t>
        </is>
      </c>
      <c r="N22" s="1160" t="inlineStr">
        <is>
          <t>CIB</t>
        </is>
      </c>
      <c r="O22" s="1160" t="n">
        <v>1</v>
      </c>
      <c r="P22" s="1160" t="n"/>
      <c r="Q22" s="1160" t="inlineStr">
        <is>
          <t>Permanent - Full Time</t>
        </is>
      </c>
      <c r="R22" s="1162" t="n"/>
      <c r="S22" s="1162" t="n"/>
      <c r="T22" s="1162" t="n">
        <v>153920</v>
      </c>
      <c r="U22" s="1174" t="n">
        <v>153920</v>
      </c>
      <c r="V22" s="1166" t="n">
        <v>0.12</v>
      </c>
      <c r="W22" s="1170" t="n">
        <v>0.055</v>
      </c>
      <c r="X22" s="1170" t="n">
        <v>0.12</v>
      </c>
      <c r="Y22" s="1171" t="n"/>
      <c r="Z22" s="1170" t="n">
        <v>0.04</v>
      </c>
      <c r="AA22" s="1168">
        <f>IF(TRIM($B22)="","",IF(N($AU22)&gt;0,$AU22,IF(N($S22)&gt;0,$S22*Lists!$AG$15*(1+N($Z22)),N($U22)*(1+N($V22)+N($W22)+N($X22)+N($Z22))+N($Y22))))</f>
        <v>205483.2</v>
      </c>
      <c r="AJ22" s="865" t="str">
        <f>IF(TRIM($B22)="","",IF(IFERROR(INDEX(Lists!$AO$2:$AO$11,MATCH(ROW(),Lists!$AN$2:$AN$11,0)),"")&lt;&gt;"",IFERROR(INDEX(Lists!$AO$2:$AO$11,MATCH(ROW(),Lists!$AN$2:$AN$11,0)),""),IFERROR(INDEX(Lists!$U:$U,MATCH(TRIM($I22),Lists!$T:$T,0)),TRIM($I22))))</f>
        <v>Ampol Retail</v>
      </c>
      <c r="AK22" s="865" t="str">
        <f>IF(ISNUMBER(SEARCH("vacant",$B22)),"Vacant","Filled")</f>
        <v>Filled</v>
      </c>
      <c r="AL22" s="865" t="str">
        <f>IF($M22="NZ","NZ","AU")</f>
        <v>AU</v>
      </c>
      <c r="AM22" s="865">
        <f>COUNTIF($AJ$2:$AJ22,$AJ22)</f>
        <v>9</v>
      </c>
      <c r="AN22" s="865" t="str">
        <f>$AJ22&amp;"|"&amp;$AM22</f>
        <v>Ampol Retail|9</v>
      </c>
      <c r="AP22" s="865" t="str">
        <f>IF(TRIM($B22)="","",IF($AQ22=1,"Leadership",IFERROR(INDEX(Lists!$X:$X,MATCH(TRIM($K22),Lists!$W:$W,0)),IF(OR(TRIM($K22)="",LOWER(TRIM($K22))="na"),IF(TRIM($G22)="","Unassigned",TRIM($G22)),TRIM($K22)))))</f>
        <v>Deployment</v>
      </c>
      <c r="AQ22" s="865" t="b">
        <f>IF(TRIM($B22)="","",--OR(TRIM($K22)="Leadership",TRIM($J22)="Leadership"))</f>
        <v>0</v>
      </c>
      <c r="AR22" s="1136" t="str">
        <f>IF(TRIM($B22)="","",IF(IFERROR(INDEX(Lists!$AQ$2:$AQ$11,MATCH(ROW(),Lists!$AN$2:$AN$11,0)),"")&lt;&gt;"",IFERROR(INDEX(Lists!$AQ$2:$AQ$11,MATCH(ROW(),Lists!$AN$2:$AN$11,0)),""),IF(ISNUMBER(SEARCH("head of ",$C22)),"Head of Technology",IF(ISNUMBER(SEARCH("TDD BP",$C22)),"Business Partner",IF(OR(ISNUMBER(SEARCH("domain architect",$C22)),ISNUMBER(SEARCH("enterprise architect",$C22))),"Domain Architect",IF(ISNUMBER(SEARCH("delivery man",$C22)),"Delivery Manager",IF(OR(ISNUMBER(SEARCH("technology manager",$C22)),ISNUMBER(SEARCH("technology manger",$C22)),ISNUMBER(SEARCH("tech manager",$C22))),"Technology Manager","Squad")))))))</f>
        <v>Squad</v>
      </c>
      <c r="AS22" s="1136" t="str">
        <f>IF(TRIM($B22)="","",IFERROR(INDEX(Lists!$AA:$AA,MATCH($AP22,Lists!$Z:$Z,0)),$AP22))</f>
        <v>Deployment</v>
      </c>
      <c r="AT22" s="1136" t="str">
        <f>IF(TRIM($B22)="","",IF(IFERROR(INDEX(Lists!$AP$2:$AP$11,MATCH(ROW(),Lists!$AN$2:$AN$11,0)),"")&lt;&gt;"",IFERROR(INDEX(Lists!$AP$2:$AP$11,MATCH(ROW(),Lists!$AN$2:$AN$11,0)),""),IF(OR(LEFT($AJ22,3)="COE",$AJ22="EGI"),$AP22,IF($AR22&lt;&gt;"Squad",$AR22,$AP22))))</f>
        <v>Deployment</v>
      </c>
    </row>
    <row r="23" ht="18" customHeight="1" s="866">
      <c r="A23" s="1155" t="inlineStr">
        <is>
          <t>?</t>
        </is>
      </c>
      <c r="B23" s="1156" t="inlineStr">
        <is>
          <t>Emma Natoli</t>
        </is>
      </c>
      <c r="C23" s="1156" t="inlineStr">
        <is>
          <t>Technology Manager, Engineering</t>
        </is>
      </c>
      <c r="D23" s="1158" t="inlineStr">
        <is>
          <t>Vacant</t>
        </is>
      </c>
      <c r="E23" s="1156" t="inlineStr">
        <is>
          <t>Head of Technology, Z and Group Retail Platforms</t>
        </is>
      </c>
      <c r="F23" s="1157" t="inlineStr">
        <is>
          <t>Ampol Retail &amp; Z</t>
        </is>
      </c>
      <c r="G23" s="1158" t="inlineStr">
        <is>
          <t>Z &amp; Group Retail</t>
        </is>
      </c>
      <c r="H23" s="1158" t="inlineStr">
        <is>
          <t>Z &amp; Group Retail, Engineering</t>
        </is>
      </c>
      <c r="I23" s="1156" t="inlineStr">
        <is>
          <t>Z</t>
        </is>
      </c>
      <c r="J23" s="1156" t="inlineStr">
        <is>
          <t>Leadership</t>
        </is>
      </c>
      <c r="K23" s="1158" t="inlineStr">
        <is>
          <t>Leadership</t>
        </is>
      </c>
      <c r="L23" s="1158" t="n"/>
      <c r="M23" s="1183" t="inlineStr">
        <is>
          <t>Australia</t>
        </is>
      </c>
      <c r="N23" s="1160" t="inlineStr">
        <is>
          <t>CSB</t>
        </is>
      </c>
      <c r="O23" s="1160" t="n">
        <v>1</v>
      </c>
      <c r="P23" s="1162" t="n"/>
      <c r="Q23" s="1162" t="inlineStr">
        <is>
          <t>Permanent - Full Time</t>
        </is>
      </c>
      <c r="R23" s="1162" t="n"/>
      <c r="S23" s="1162" t="n"/>
      <c r="T23" s="1162" t="n">
        <v>177320</v>
      </c>
      <c r="U23" s="1174" t="n">
        <v>177320</v>
      </c>
      <c r="V23" s="1166" t="n">
        <v>0.12</v>
      </c>
      <c r="W23" s="1170" t="n">
        <v>0.055</v>
      </c>
      <c r="X23" s="1170" t="n">
        <v>0.12</v>
      </c>
      <c r="Y23" s="1171" t="n"/>
      <c r="Z23" s="1170" t="n">
        <v>0.04</v>
      </c>
      <c r="AA23" s="1168">
        <f>IF(TRIM($B23)="","",IF(N($AU23)&gt;0,$AU23,IF(N($S23)&gt;0,$S23*Lists!$AG$15*(1+N($Z23)),N($U23)*(1+N($V23)+N($W23)+N($X23)+N($Z23))+N($Y23))))</f>
        <v>236722.2</v>
      </c>
      <c r="AJ23" s="865" t="str">
        <f>IF(TRIM($B23)="","",IF(IFERROR(INDEX(Lists!$AO$2:$AO$11,MATCH(ROW(),Lists!$AN$2:$AN$11,0)),"")&lt;&gt;"",IFERROR(INDEX(Lists!$AO$2:$AO$11,MATCH(ROW(),Lists!$AN$2:$AN$11,0)),""),IFERROR(INDEX(Lists!$U:$U,MATCH(TRIM($I23),Lists!$T:$T,0)),TRIM($I23))))</f>
        <v>Z Retail</v>
      </c>
      <c r="AK23" s="865" t="str">
        <f>IF(ISNUMBER(SEARCH("vacant",$B23)),"Vacant","Filled")</f>
        <v>Filled</v>
      </c>
      <c r="AL23" s="865" t="str">
        <f>IF($M23="NZ","NZ","AU")</f>
        <v>AU</v>
      </c>
      <c r="AM23" s="865">
        <f>COUNTIF($AJ$2:$AJ23,$AJ23)</f>
        <v>13</v>
      </c>
      <c r="AN23" s="865" t="str">
        <f>$AJ23&amp;"|"&amp;$AM23</f>
        <v>Z Retail|13</v>
      </c>
      <c r="AP23" s="1136" t="str">
        <f>IF(TRIM($B23)="","",IF($AQ23=1,"Leadership",IFERROR(INDEX(Lists!$X:$X,MATCH(TRIM($K23),Lists!$W:$W,0)),IF(OR(TRIM($K23)="",LOWER(TRIM($K23))="na"),IF(TRIM($G23)="","Unassigned",TRIM($G23)),TRIM($K23)))))</f>
        <v>Leadership</v>
      </c>
      <c r="AQ23" s="865" t="b">
        <f>IF(TRIM($B23)="","",--OR(TRIM($K23)="Leadership",TRIM($J23)="Leadership"))</f>
        <v>1</v>
      </c>
      <c r="AR23" s="1136" t="str">
        <f>IF(TRIM($B23)="","",IF(IFERROR(INDEX(Lists!$AQ$2:$AQ$11,MATCH(ROW(),Lists!$AN$2:$AN$11,0)),"")&lt;&gt;"",IFERROR(INDEX(Lists!$AQ$2:$AQ$11,MATCH(ROW(),Lists!$AN$2:$AN$11,0)),""),IF(ISNUMBER(SEARCH("head of ",$C23)),"Head of Technology",IF(ISNUMBER(SEARCH("TDD BP",$C23)),"Business Partner",IF(OR(ISNUMBER(SEARCH("domain architect",$C23)),ISNUMBER(SEARCH("enterprise architect",$C23))),"Domain Architect",IF(ISNUMBER(SEARCH("delivery man",$C23)),"Delivery Manager",IF(OR(ISNUMBER(SEARCH("technology manager",$C23)),ISNUMBER(SEARCH("technology manger",$C23)),ISNUMBER(SEARCH("tech manager",$C23))),"Technology Manager","Squad")))))))</f>
        <v>Technology Manager</v>
      </c>
      <c r="AS23" s="1136" t="str">
        <f>IF(TRIM($B23)="","",IFERROR(INDEX(Lists!$AA:$AA,MATCH($AP23,Lists!$Z:$Z,0)),$AP23))</f>
        <v>Leadership</v>
      </c>
      <c r="AT23" s="1136" t="str">
        <f>IF(TRIM($B23)="","",IF(IFERROR(INDEX(Lists!$AP$2:$AP$11,MATCH(ROW(),Lists!$AN$2:$AN$11,0)),"")&lt;&gt;"",IFERROR(INDEX(Lists!$AP$2:$AP$11,MATCH(ROW(),Lists!$AN$2:$AN$11,0)),""),IF(OR(LEFT($AJ23,3)="COE",$AJ23="EGI"),$AP23,IF($AR23&lt;&gt;"Squad",$AR23,$AP23))))</f>
        <v>Technology Manager</v>
      </c>
    </row>
    <row r="24" ht="18" customHeight="1" s="866">
      <c r="A24" s="1184" t="n">
        <v>4259</v>
      </c>
      <c r="B24" s="1185" t="inlineStr">
        <is>
          <t>Ephraim Adan</t>
        </is>
      </c>
      <c r="C24" s="1185" t="inlineStr">
        <is>
          <t>Manager - AU Retail Operations</t>
        </is>
      </c>
      <c r="D24" s="1185" t="inlineStr">
        <is>
          <t>Vedran Jukic</t>
        </is>
      </c>
      <c r="E24" s="1185" t="inlineStr">
        <is>
          <t>Technology Manager, Retail</t>
        </is>
      </c>
      <c r="F24" s="1186" t="inlineStr">
        <is>
          <t>Ampol Retail &amp; Z</t>
        </is>
      </c>
      <c r="G24" s="1187" t="inlineStr">
        <is>
          <t>Ampol Retail</t>
        </is>
      </c>
      <c r="H24" s="1185" t="inlineStr">
        <is>
          <t>Ampol Retail, Technology</t>
        </is>
      </c>
      <c r="I24" s="1185" t="inlineStr">
        <is>
          <t>Retail</t>
        </is>
      </c>
      <c r="J24" s="1187" t="inlineStr">
        <is>
          <t>Store Operations</t>
        </is>
      </c>
      <c r="K24" s="1185" t="inlineStr">
        <is>
          <t>Store Operations</t>
        </is>
      </c>
      <c r="L24" s="1187" t="n"/>
      <c r="M24" s="1188" t="inlineStr">
        <is>
          <t>Australia</t>
        </is>
      </c>
      <c r="N24" s="1189" t="inlineStr">
        <is>
          <t>CIC</t>
        </is>
      </c>
      <c r="O24" s="1162" t="n">
        <v>1</v>
      </c>
      <c r="P24" s="1160" t="n"/>
      <c r="Q24" s="1161" t="inlineStr">
        <is>
          <t>Permanent - Full Time</t>
        </is>
      </c>
      <c r="R24" s="1162" t="n"/>
      <c r="S24" s="1162" t="n"/>
      <c r="T24" s="1162" t="n">
        <v>68900</v>
      </c>
      <c r="U24" s="1174" t="n">
        <v>63388</v>
      </c>
      <c r="V24" s="1165" t="n">
        <v>0.1</v>
      </c>
      <c r="W24" s="1161" t="n"/>
      <c r="X24" s="1166" t="n">
        <v>0.05</v>
      </c>
      <c r="Y24" s="1907" t="n">
        <v>2910</v>
      </c>
      <c r="Z24" s="1166" t="n">
        <v>0.03</v>
      </c>
      <c r="AA24" s="1168">
        <f>IF(TRIM($B24)="","",IF(N($AU24)&gt;0,$AU24,IF(N($S24)&gt;0,$S24*Lists!$AG$15*(1+N($Z24)),N($U24)*(1+N($V24)+N($W24)+N($X24)+N($Z24))+N($Y24))))</f>
        <v>77707.84</v>
      </c>
      <c r="AJ24" s="865" t="str">
        <f>IF(TRIM($B24)="","",IF(IFERROR(INDEX(Lists!$AO$2:$AO$11,MATCH(ROW(),Lists!$AN$2:$AN$11,0)),"")&lt;&gt;"",IFERROR(INDEX(Lists!$AO$2:$AO$11,MATCH(ROW(),Lists!$AN$2:$AN$11,0)),""),IFERROR(INDEX(Lists!$U:$U,MATCH(TRIM($I24),Lists!$T:$T,0)),TRIM($I24))))</f>
        <v>Ampol Retail</v>
      </c>
      <c r="AK24" s="865" t="str">
        <f>IF(ISNUMBER(SEARCH("vacant",$B24)),"Vacant","Filled")</f>
        <v>Filled</v>
      </c>
      <c r="AL24" s="865" t="str">
        <f>IF($M24="NZ","NZ","AU")</f>
        <v>AU</v>
      </c>
      <c r="AM24" s="865">
        <f>COUNTIF($AJ$2:$AJ24,$AJ24)</f>
        <v>10</v>
      </c>
      <c r="AN24" s="865" t="str">
        <f>$AJ24&amp;"|"&amp;$AM24</f>
        <v>Ampol Retail|10</v>
      </c>
      <c r="AP24" s="865" t="str">
        <f>IF(TRIM($B24)="","",IF($AQ24=1,"Leadership",IFERROR(INDEX(Lists!$X:$X,MATCH(TRIM($K24),Lists!$W:$W,0)),IF(OR(TRIM($K24)="",LOWER(TRIM($K24))="na"),IF(TRIM($G24)="","Unassigned",TRIM($G24)),TRIM($K24)))))</f>
        <v>Store Operations</v>
      </c>
      <c r="AQ24" s="865" t="b">
        <f>IF(TRIM($B24)="","",--OR(TRIM($K24)="Leadership",TRIM($J24)="Leadership"))</f>
        <v>0</v>
      </c>
      <c r="AR24" s="1136" t="str">
        <f>IF(TRIM($B24)="","",IF(IFERROR(INDEX(Lists!$AQ$2:$AQ$11,MATCH(ROW(),Lists!$AN$2:$AN$11,0)),"")&lt;&gt;"",IFERROR(INDEX(Lists!$AQ$2:$AQ$11,MATCH(ROW(),Lists!$AN$2:$AN$11,0)),""),IF(ISNUMBER(SEARCH("head of ",$C24)),"Head of Technology",IF(ISNUMBER(SEARCH("TDD BP",$C24)),"Business Partner",IF(OR(ISNUMBER(SEARCH("domain architect",$C24)),ISNUMBER(SEARCH("enterprise architect",$C24))),"Domain Architect",IF(ISNUMBER(SEARCH("delivery man",$C24)),"Delivery Manager",IF(OR(ISNUMBER(SEARCH("technology manager",$C24)),ISNUMBER(SEARCH("technology manger",$C24)),ISNUMBER(SEARCH("tech manager",$C24))),"Technology Manager","Squad")))))))</f>
        <v>Squad</v>
      </c>
      <c r="AS24" s="1136" t="str">
        <f>IF(TRIM($B24)="","",IFERROR(INDEX(Lists!$AA:$AA,MATCH($AP24,Lists!$Z:$Z,0)),$AP24))</f>
        <v>Store Operations</v>
      </c>
      <c r="AT24" s="1136" t="str">
        <f>IF(TRIM($B24)="","",IF(IFERROR(INDEX(Lists!$AP$2:$AP$11,MATCH(ROW(),Lists!$AN$2:$AN$11,0)),"")&lt;&gt;"",IFERROR(INDEX(Lists!$AP$2:$AP$11,MATCH(ROW(),Lists!$AN$2:$AN$11,0)),""),IF(OR(LEFT($AJ24,3)="COE",$AJ24="EGI"),$AP24,IF($AR24&lt;&gt;"Squad",$AR24,$AP24))))</f>
        <v>Store Operations</v>
      </c>
    </row>
    <row r="25" ht="18" customHeight="1" s="866">
      <c r="A25" s="1184" t="n">
        <v>99999102110</v>
      </c>
      <c r="B25" s="1185" t="inlineStr">
        <is>
          <t>Eugene Yeo</t>
        </is>
      </c>
      <c r="C25" s="1185" t="inlineStr">
        <is>
          <t>Engineer - DevOps</t>
        </is>
      </c>
      <c r="D25" s="1185" t="inlineStr">
        <is>
          <t>Vacant</t>
        </is>
      </c>
      <c r="E25" s="1185" t="inlineStr">
        <is>
          <t>Technology Manager, Engineering</t>
        </is>
      </c>
      <c r="F25" s="1186" t="inlineStr">
        <is>
          <t>Ampol Retail &amp; Z</t>
        </is>
      </c>
      <c r="G25" s="1187" t="inlineStr">
        <is>
          <t>Z &amp; Group Retail</t>
        </is>
      </c>
      <c r="H25" s="1185" t="inlineStr">
        <is>
          <t>Z &amp; Group Retail, Engineering</t>
        </is>
      </c>
      <c r="I25" s="1185" t="inlineStr">
        <is>
          <t>Z</t>
        </is>
      </c>
      <c r="J25" s="1187" t="inlineStr">
        <is>
          <t>Z Supply</t>
        </is>
      </c>
      <c r="K25" s="1185" t="inlineStr">
        <is>
          <t>Z Supply</t>
        </is>
      </c>
      <c r="L25" s="1187" t="n"/>
      <c r="M25" s="1183" t="inlineStr">
        <is>
          <t>NZ</t>
        </is>
      </c>
      <c r="N25" s="1160" t="inlineStr">
        <is>
          <t>CDA</t>
        </is>
      </c>
      <c r="O25" s="1161" t="n">
        <v>1</v>
      </c>
      <c r="P25" s="1160" t="n"/>
      <c r="Q25" s="1161" t="inlineStr">
        <is>
          <t>Permanent - Full Time</t>
        </is>
      </c>
      <c r="R25" s="1162" t="n"/>
      <c r="S25" s="1162" t="n"/>
      <c r="T25" s="1162" t="n">
        <v>105000</v>
      </c>
      <c r="U25" s="1174" t="n">
        <v>96600</v>
      </c>
      <c r="V25" s="1165" t="n">
        <v>0.1</v>
      </c>
      <c r="W25" s="1161" t="n"/>
      <c r="X25" s="1166" t="n">
        <v>0.05</v>
      </c>
      <c r="Y25" s="1907" t="n">
        <v>2910</v>
      </c>
      <c r="Z25" s="1166" t="n">
        <v>0.03</v>
      </c>
      <c r="AA25" s="1168">
        <f>IF(TRIM($B25)="","",IF(N($AU25)&gt;0,$AU25,IF(N($S25)&gt;0,$S25*Lists!$AG$15*(1+N($Z25)),N($U25)*(1+N($V25)+N($W25)+N($X25)+N($Z25))+N($Y25))))</f>
        <v>116898</v>
      </c>
      <c r="AJ25" s="865" t="str">
        <f>IF(TRIM($B25)="","",IF(IFERROR(INDEX(Lists!$AO$2:$AO$11,MATCH(ROW(),Lists!$AN$2:$AN$11,0)),"")&lt;&gt;"",IFERROR(INDEX(Lists!$AO$2:$AO$11,MATCH(ROW(),Lists!$AN$2:$AN$11,0)),""),IFERROR(INDEX(Lists!$U:$U,MATCH(TRIM($I25),Lists!$T:$T,0)),TRIM($I25))))</f>
        <v>Z Retail</v>
      </c>
      <c r="AK25" s="865" t="str">
        <f>IF(ISNUMBER(SEARCH("vacant",$B25)),"Vacant","Filled")</f>
        <v>Filled</v>
      </c>
      <c r="AL25" s="865" t="str">
        <f>IF($M25="NZ","NZ","AU")</f>
        <v>NZ</v>
      </c>
      <c r="AM25" s="865">
        <f>COUNTIF($AJ$2:$AJ25,$AJ25)</f>
        <v>14</v>
      </c>
      <c r="AN25" s="865" t="str">
        <f>$AJ25&amp;"|"&amp;$AM25</f>
        <v>Z Retail|14</v>
      </c>
      <c r="AP25" s="865" t="str">
        <f>IF(TRIM($B25)="","",IF($AQ25=1,"Leadership",IFERROR(INDEX(Lists!$X:$X,MATCH(TRIM($K25),Lists!$W:$W,0)),IF(OR(TRIM($K25)="",LOWER(TRIM($K25))="na"),IF(TRIM($G25)="","Unassigned",TRIM($G25)),TRIM($K25)))))</f>
        <v>Z Supply</v>
      </c>
      <c r="AQ25" s="865" t="b">
        <f>IF(TRIM($B25)="","",--OR(TRIM($K25)="Leadership",TRIM($J25)="Leadership"))</f>
        <v>0</v>
      </c>
      <c r="AR25" s="1136" t="str">
        <f>IF(TRIM($B25)="","",IF(IFERROR(INDEX(Lists!$AQ$2:$AQ$11,MATCH(ROW(),Lists!$AN$2:$AN$11,0)),"")&lt;&gt;"",IFERROR(INDEX(Lists!$AQ$2:$AQ$11,MATCH(ROW(),Lists!$AN$2:$AN$11,0)),""),IF(ISNUMBER(SEARCH("head of ",$C25)),"Head of Technology",IF(ISNUMBER(SEARCH("TDD BP",$C25)),"Business Partner",IF(OR(ISNUMBER(SEARCH("domain architect",$C25)),ISNUMBER(SEARCH("enterprise architect",$C25))),"Domain Architect",IF(ISNUMBER(SEARCH("delivery man",$C25)),"Delivery Manager",IF(OR(ISNUMBER(SEARCH("technology manager",$C25)),ISNUMBER(SEARCH("technology manger",$C25)),ISNUMBER(SEARCH("tech manager",$C25))),"Technology Manager","Squad")))))))</f>
        <v>Squad</v>
      </c>
      <c r="AS25" s="1136" t="str">
        <f>IF(TRIM($B25)="","",IFERROR(INDEX(Lists!$AA:$AA,MATCH($AP25,Lists!$Z:$Z,0)),$AP25))</f>
        <v>Z Supply</v>
      </c>
      <c r="AT25" s="1136" t="str">
        <f>IF(TRIM($B25)="","",IF(IFERROR(INDEX(Lists!$AP$2:$AP$11,MATCH(ROW(),Lists!$AN$2:$AN$11,0)),"")&lt;&gt;"",IFERROR(INDEX(Lists!$AP$2:$AP$11,MATCH(ROW(),Lists!$AN$2:$AN$11,0)),""),IF(OR(LEFT($AJ25,3)="COE",$AJ25="EGI"),$AP25,IF($AR25&lt;&gt;"Squad",$AR25,$AP25))))</f>
        <v>Z Supply</v>
      </c>
    </row>
    <row r="26" ht="18" customHeight="1" s="866">
      <c r="A26" s="1184" t="n">
        <v>99999102111</v>
      </c>
      <c r="B26" s="1185" t="inlineStr">
        <is>
          <t>Gayan Liyana Arachchige</t>
        </is>
      </c>
      <c r="C26" s="1185" t="inlineStr">
        <is>
          <t>Engineer - DevOps</t>
        </is>
      </c>
      <c r="D26" s="1185" t="inlineStr">
        <is>
          <t>Vacant</t>
        </is>
      </c>
      <c r="E26" s="1185" t="inlineStr">
        <is>
          <t>Technology Manager, Engineering</t>
        </is>
      </c>
      <c r="F26" s="1186" t="inlineStr">
        <is>
          <t>Ampol Retail &amp; Z</t>
        </is>
      </c>
      <c r="G26" s="1187" t="inlineStr">
        <is>
          <t>Z &amp; Group Retail</t>
        </is>
      </c>
      <c r="H26" s="1185" t="inlineStr">
        <is>
          <t>Z &amp; Group Retail, Engineering</t>
        </is>
      </c>
      <c r="I26" s="1185" t="inlineStr">
        <is>
          <t>Z</t>
        </is>
      </c>
      <c r="J26" s="1187" t="inlineStr">
        <is>
          <t>Z Supply</t>
        </is>
      </c>
      <c r="K26" s="1156" t="inlineStr">
        <is>
          <t>Z Supply</t>
        </is>
      </c>
      <c r="L26" s="1187" t="n"/>
      <c r="M26" s="1183" t="inlineStr">
        <is>
          <t>NZ</t>
        </is>
      </c>
      <c r="N26" s="1160" t="inlineStr">
        <is>
          <t>CDB</t>
        </is>
      </c>
      <c r="O26" s="1161" t="n">
        <v>1</v>
      </c>
      <c r="P26" s="1162" t="n"/>
      <c r="Q26" s="1162" t="inlineStr">
        <is>
          <t>Permanent - Full Time</t>
        </is>
      </c>
      <c r="R26" s="1162" t="n"/>
      <c r="S26" s="1162" t="n"/>
      <c r="T26" s="1162" t="n">
        <v>132710</v>
      </c>
      <c r="U26" s="1174" t="n">
        <v>132710</v>
      </c>
      <c r="V26" s="1166" t="n">
        <v>0.1</v>
      </c>
      <c r="W26" s="1170" t="n">
        <v>0.055</v>
      </c>
      <c r="X26" s="1170" t="n">
        <v>0.12</v>
      </c>
      <c r="Y26" s="1171" t="n"/>
      <c r="Z26" s="1170" t="n">
        <v>0.04</v>
      </c>
      <c r="AA26" s="1168">
        <f>IF(TRIM($B26)="","",IF(N($AU26)&gt;0,$AU26,IF(N($S26)&gt;0,$S26*Lists!$AG$15*(1+N($Z26)),N($U26)*(1+N($V26)+N($W26)+N($X26)+N($Z26))+N($Y26))))</f>
        <v>174513.65</v>
      </c>
      <c r="AJ26" s="865" t="str">
        <f>IF(TRIM($B26)="","",IF(IFERROR(INDEX(Lists!$AO$2:$AO$11,MATCH(ROW(),Lists!$AN$2:$AN$11,0)),"")&lt;&gt;"",IFERROR(INDEX(Lists!$AO$2:$AO$11,MATCH(ROW(),Lists!$AN$2:$AN$11,0)),""),IFERROR(INDEX(Lists!$U:$U,MATCH(TRIM($I26),Lists!$T:$T,0)),TRIM($I26))))</f>
        <v>Z Retail</v>
      </c>
      <c r="AK26" s="865" t="str">
        <f>IF(ISNUMBER(SEARCH("vacant",$B26)),"Vacant","Filled")</f>
        <v>Filled</v>
      </c>
      <c r="AL26" s="865" t="str">
        <f>IF($M26="NZ","NZ","AU")</f>
        <v>NZ</v>
      </c>
      <c r="AM26" s="865">
        <f>COUNTIF($AJ$2:$AJ26,$AJ26)</f>
        <v>15</v>
      </c>
      <c r="AN26" s="865" t="str">
        <f>$AJ26&amp;"|"&amp;$AM26</f>
        <v>Z Retail|15</v>
      </c>
      <c r="AP26" s="865" t="str">
        <f>IF(TRIM($B26)="","",IF($AQ26=1,"Leadership",IFERROR(INDEX(Lists!$X:$X,MATCH(TRIM($K26),Lists!$W:$W,0)),IF(OR(TRIM($K26)="",LOWER(TRIM($K26))="na"),IF(TRIM($G26)="","Unassigned",TRIM($G26)),TRIM($K26)))))</f>
        <v>Z Supply</v>
      </c>
      <c r="AQ26" s="865" t="b">
        <f>IF(TRIM($B26)="","",--OR(TRIM($K26)="Leadership",TRIM($J26)="Leadership"))</f>
        <v>0</v>
      </c>
      <c r="AR26" s="1136" t="str">
        <f>IF(TRIM($B26)="","",IF(IFERROR(INDEX(Lists!$AQ$2:$AQ$11,MATCH(ROW(),Lists!$AN$2:$AN$11,0)),"")&lt;&gt;"",IFERROR(INDEX(Lists!$AQ$2:$AQ$11,MATCH(ROW(),Lists!$AN$2:$AN$11,0)),""),IF(ISNUMBER(SEARCH("head of ",$C26)),"Head of Technology",IF(ISNUMBER(SEARCH("TDD BP",$C26)),"Business Partner",IF(OR(ISNUMBER(SEARCH("domain architect",$C26)),ISNUMBER(SEARCH("enterprise architect",$C26))),"Domain Architect",IF(ISNUMBER(SEARCH("delivery man",$C26)),"Delivery Manager",IF(OR(ISNUMBER(SEARCH("technology manager",$C26)),ISNUMBER(SEARCH("technology manger",$C26)),ISNUMBER(SEARCH("tech manager",$C26))),"Technology Manager","Squad")))))))</f>
        <v>Squad</v>
      </c>
      <c r="AS26" s="1136" t="str">
        <f>IF(TRIM($B26)="","",IFERROR(INDEX(Lists!$AA:$AA,MATCH($AP26,Lists!$Z:$Z,0)),$AP26))</f>
        <v>Z Supply</v>
      </c>
      <c r="AT26" s="1136" t="str">
        <f>IF(TRIM($B26)="","",IF(IFERROR(INDEX(Lists!$AP$2:$AP$11,MATCH(ROW(),Lists!$AN$2:$AN$11,0)),"")&lt;&gt;"",IFERROR(INDEX(Lists!$AP$2:$AP$11,MATCH(ROW(),Lists!$AN$2:$AN$11,0)),""),IF(OR(LEFT($AJ26,3)="COE",$AJ26="EGI"),$AP26,IF($AR26&lt;&gt;"Squad",$AR26,$AP26))))</f>
        <v>Z Supply</v>
      </c>
    </row>
    <row r="27" ht="18" customHeight="1" s="866">
      <c r="A27" s="1155" t="n">
        <v>8445</v>
      </c>
      <c r="B27" s="1156" t="inlineStr">
        <is>
          <t>Geoff Goddard</t>
        </is>
      </c>
      <c r="C27" s="1156" t="inlineStr">
        <is>
          <t>Field Systems Operations Lead - VIC</t>
        </is>
      </c>
      <c r="D27" s="1156" t="inlineStr">
        <is>
          <t>Ephraim Adan</t>
        </is>
      </c>
      <c r="E27" s="1156" t="inlineStr">
        <is>
          <t>Manager, AU Retail Operations</t>
        </is>
      </c>
      <c r="F27" s="1157" t="inlineStr">
        <is>
          <t>Ampol Retail &amp; Z</t>
        </is>
      </c>
      <c r="G27" s="1158" t="inlineStr">
        <is>
          <t>Ampol Retail</t>
        </is>
      </c>
      <c r="H27" s="1156" t="inlineStr">
        <is>
          <t>Ampol Retail, Technology</t>
        </is>
      </c>
      <c r="I27" s="1156" t="inlineStr">
        <is>
          <t>Retail</t>
        </is>
      </c>
      <c r="J27" s="1158" t="inlineStr">
        <is>
          <t>Store Operations</t>
        </is>
      </c>
      <c r="K27" s="1156" t="inlineStr">
        <is>
          <t>Store Operations</t>
        </is>
      </c>
      <c r="L27" s="1158" t="n"/>
      <c r="M27" s="1183" t="inlineStr">
        <is>
          <t>Australia</t>
        </is>
      </c>
      <c r="N27" s="1162" t="inlineStr">
        <is>
          <t>CIA</t>
        </is>
      </c>
      <c r="O27" s="1162" t="n">
        <v>1</v>
      </c>
      <c r="P27" s="1160" t="n"/>
      <c r="Q27" s="1160" t="inlineStr">
        <is>
          <t>Permanent - Full Time</t>
        </is>
      </c>
      <c r="R27" s="1162" t="n"/>
      <c r="S27" s="1162" t="n"/>
      <c r="T27" s="1162" t="n">
        <v>127270</v>
      </c>
      <c r="U27" s="1174" t="n">
        <v>127270</v>
      </c>
      <c r="V27" s="1166" t="n">
        <v>0.1</v>
      </c>
      <c r="W27" s="1170" t="n">
        <v>0.055</v>
      </c>
      <c r="X27" s="1170" t="n">
        <v>0.12</v>
      </c>
      <c r="Y27" s="1171" t="n"/>
      <c r="Z27" s="1170" t="n">
        <v>0.04</v>
      </c>
      <c r="AA27" s="1168">
        <f>IF(TRIM($B27)="","",IF(N($AU27)&gt;0,$AU27,IF(N($S27)&gt;0,$S27*Lists!$AG$15*(1+N($Z27)),N($U27)*(1+N($V27)+N($W27)+N($X27)+N($Z27))+N($Y27))))</f>
        <v>167360.05</v>
      </c>
      <c r="AJ27" s="865" t="str">
        <f>IF(TRIM($B27)="","",IF(IFERROR(INDEX(Lists!$AO$2:$AO$11,MATCH(ROW(),Lists!$AN$2:$AN$11,0)),"")&lt;&gt;"",IFERROR(INDEX(Lists!$AO$2:$AO$11,MATCH(ROW(),Lists!$AN$2:$AN$11,0)),""),IFERROR(INDEX(Lists!$U:$U,MATCH(TRIM($I27),Lists!$T:$T,0)),TRIM($I27))))</f>
        <v>Ampol Retail</v>
      </c>
      <c r="AK27" s="865" t="str">
        <f>IF(ISNUMBER(SEARCH("vacant",$B27)),"Vacant","Filled")</f>
        <v>Filled</v>
      </c>
      <c r="AL27" s="865" t="str">
        <f>IF($M27="NZ","NZ","AU")</f>
        <v>AU</v>
      </c>
      <c r="AM27" s="865">
        <f>COUNTIF($AJ$2:$AJ27,$AJ27)</f>
        <v>11</v>
      </c>
      <c r="AN27" s="865" t="str">
        <f>$AJ27&amp;"|"&amp;$AM27</f>
        <v>Ampol Retail|11</v>
      </c>
      <c r="AP27" s="865" t="str">
        <f>IF(TRIM($B27)="","",IF($AQ27=1,"Leadership",IFERROR(INDEX(Lists!$X:$X,MATCH(TRIM($K27),Lists!$W:$W,0)),IF(OR(TRIM($K27)="",LOWER(TRIM($K27))="na"),IF(TRIM($G27)="","Unassigned",TRIM($G27)),TRIM($K27)))))</f>
        <v>Store Operations</v>
      </c>
      <c r="AQ27" s="865" t="b">
        <f>IF(TRIM($B27)="","",--OR(TRIM($K27)="Leadership",TRIM($J27)="Leadership"))</f>
        <v>0</v>
      </c>
      <c r="AR27" s="1136" t="str">
        <f>IF(TRIM($B27)="","",IF(IFERROR(INDEX(Lists!$AQ$2:$AQ$11,MATCH(ROW(),Lists!$AN$2:$AN$11,0)),"")&lt;&gt;"",IFERROR(INDEX(Lists!$AQ$2:$AQ$11,MATCH(ROW(),Lists!$AN$2:$AN$11,0)),""),IF(ISNUMBER(SEARCH("head of ",$C27)),"Head of Technology",IF(ISNUMBER(SEARCH("TDD BP",$C27)),"Business Partner",IF(OR(ISNUMBER(SEARCH("domain architect",$C27)),ISNUMBER(SEARCH("enterprise architect",$C27))),"Domain Architect",IF(ISNUMBER(SEARCH("delivery man",$C27)),"Delivery Manager",IF(OR(ISNUMBER(SEARCH("technology manager",$C27)),ISNUMBER(SEARCH("technology manger",$C27)),ISNUMBER(SEARCH("tech manager",$C27))),"Technology Manager","Squad")))))))</f>
        <v>Squad</v>
      </c>
      <c r="AS27" s="1136" t="str">
        <f>IF(TRIM($B27)="","",IFERROR(INDEX(Lists!$AA:$AA,MATCH($AP27,Lists!$Z:$Z,0)),$AP27))</f>
        <v>Store Operations</v>
      </c>
      <c r="AT27" s="1136" t="str">
        <f>IF(TRIM($B27)="","",IF(IFERROR(INDEX(Lists!$AP$2:$AP$11,MATCH(ROW(),Lists!$AN$2:$AN$11,0)),"")&lt;&gt;"",IFERROR(INDEX(Lists!$AP$2:$AP$11,MATCH(ROW(),Lists!$AN$2:$AN$11,0)),""),IF(OR(LEFT($AJ27,3)="COE",$AJ27="EGI"),$AP27,IF($AR27&lt;&gt;"Squad",$AR27,$AP27))))</f>
        <v>Store Operations</v>
      </c>
    </row>
    <row r="28" ht="18" customHeight="1" s="866">
      <c r="A28" s="1155" t="n">
        <v>109974</v>
      </c>
      <c r="B28" s="1156" t="inlineStr">
        <is>
          <t>Gerald Aguas</t>
        </is>
      </c>
      <c r="C28" s="1156" t="inlineStr">
        <is>
          <t>Field Systems Operations Lead - NSW</t>
        </is>
      </c>
      <c r="D28" s="1156" t="inlineStr">
        <is>
          <t>Ephraim Adan</t>
        </is>
      </c>
      <c r="E28" s="1156" t="inlineStr">
        <is>
          <t>Manager, AU Retail Operations</t>
        </is>
      </c>
      <c r="F28" s="1157" t="inlineStr">
        <is>
          <t>Ampol Retail &amp; Z</t>
        </is>
      </c>
      <c r="G28" s="1158" t="inlineStr">
        <is>
          <t>Ampol Retail</t>
        </is>
      </c>
      <c r="H28" s="1156" t="inlineStr">
        <is>
          <t>Ampol Retail, Technology</t>
        </is>
      </c>
      <c r="I28" s="1156" t="inlineStr">
        <is>
          <t>Retail</t>
        </is>
      </c>
      <c r="J28" s="1158" t="inlineStr">
        <is>
          <t>Store Operations</t>
        </is>
      </c>
      <c r="K28" s="1156" t="inlineStr">
        <is>
          <t>Store Operations</t>
        </is>
      </c>
      <c r="L28" s="1158" t="n"/>
      <c r="M28" s="1190" t="inlineStr">
        <is>
          <t>Australia</t>
        </is>
      </c>
      <c r="N28" s="1191" t="inlineStr">
        <is>
          <t>CIA</t>
        </is>
      </c>
      <c r="O28" s="1160" t="n">
        <v>1</v>
      </c>
      <c r="P28" s="1160" t="n"/>
      <c r="Q28" s="1161" t="inlineStr">
        <is>
          <t>Permanent - Full Time</t>
        </is>
      </c>
      <c r="R28" s="1162" t="n"/>
      <c r="S28" s="1162" t="n"/>
      <c r="T28" s="1192" t="n">
        <v>165470</v>
      </c>
      <c r="U28" s="1193" t="n">
        <v>152232.4</v>
      </c>
      <c r="V28" s="1194" t="n">
        <v>0.15</v>
      </c>
      <c r="W28" s="1195" t="n"/>
      <c r="X28" s="1196" t="n">
        <v>0.05</v>
      </c>
      <c r="Y28" s="1909" t="n">
        <v>2910</v>
      </c>
      <c r="Z28" s="1196" t="n">
        <v>0.03</v>
      </c>
      <c r="AA28" s="1198">
        <f>IF(TRIM($B28)="","",IF(N($AU28)&gt;0,$AU28,IF(N($S28)&gt;0,$S28*Lists!$AG$15*(1+N($Z28)),N($U28)*(1+N($V28)+N($W28)+N($X28)+N($Z28))+N($Y28))))</f>
        <v>190155.852</v>
      </c>
      <c r="AJ28" s="865" t="str">
        <f>IF(TRIM($B28)="","",IF(IFERROR(INDEX(Lists!$AO$2:$AO$11,MATCH(ROW(),Lists!$AN$2:$AN$11,0)),"")&lt;&gt;"",IFERROR(INDEX(Lists!$AO$2:$AO$11,MATCH(ROW(),Lists!$AN$2:$AN$11,0)),""),IFERROR(INDEX(Lists!$U:$U,MATCH(TRIM($I28),Lists!$T:$T,0)),TRIM($I28))))</f>
        <v>Ampol Retail</v>
      </c>
      <c r="AK28" s="865" t="str">
        <f>IF(ISNUMBER(SEARCH("vacant",$B28)),"Vacant","Filled")</f>
        <v>Filled</v>
      </c>
      <c r="AL28" s="865" t="str">
        <f>IF($M28="NZ","NZ","AU")</f>
        <v>AU</v>
      </c>
      <c r="AM28" s="865">
        <f>COUNTIF($AJ$2:$AJ28,$AJ28)</f>
        <v>12</v>
      </c>
      <c r="AN28" s="865" t="str">
        <f>$AJ28&amp;"|"&amp;$AM28</f>
        <v>Ampol Retail|12</v>
      </c>
      <c r="AP28" s="865" t="str">
        <f>IF(TRIM($B28)="","",IF($AQ28=1,"Leadership",IFERROR(INDEX(Lists!$X:$X,MATCH(TRIM($K28),Lists!$W:$W,0)),IF(OR(TRIM($K28)="",LOWER(TRIM($K28))="na"),IF(TRIM($G28)="","Unassigned",TRIM($G28)),TRIM($K28)))))</f>
        <v>Store Operations</v>
      </c>
      <c r="AQ28" s="865" t="b">
        <f>IF(TRIM($B28)="","",--OR(TRIM($K28)="Leadership",TRIM($J28)="Leadership"))</f>
        <v>0</v>
      </c>
      <c r="AR28" s="1136" t="str">
        <f>IF(TRIM($B28)="","",IF(IFERROR(INDEX(Lists!$AQ$2:$AQ$11,MATCH(ROW(),Lists!$AN$2:$AN$11,0)),"")&lt;&gt;"",IFERROR(INDEX(Lists!$AQ$2:$AQ$11,MATCH(ROW(),Lists!$AN$2:$AN$11,0)),""),IF(ISNUMBER(SEARCH("head of ",$C28)),"Head of Technology",IF(ISNUMBER(SEARCH("TDD BP",$C28)),"Business Partner",IF(OR(ISNUMBER(SEARCH("domain architect",$C28)),ISNUMBER(SEARCH("enterprise architect",$C28))),"Domain Architect",IF(ISNUMBER(SEARCH("delivery man",$C28)),"Delivery Manager",IF(OR(ISNUMBER(SEARCH("technology manager",$C28)),ISNUMBER(SEARCH("technology manger",$C28)),ISNUMBER(SEARCH("tech manager",$C28))),"Technology Manager","Squad")))))))</f>
        <v>Squad</v>
      </c>
      <c r="AS28" s="1136" t="str">
        <f>IF(TRIM($B28)="","",IFERROR(INDEX(Lists!$AA:$AA,MATCH($AP28,Lists!$Z:$Z,0)),$AP28))</f>
        <v>Store Operations</v>
      </c>
      <c r="AT28" s="1136" t="str">
        <f>IF(TRIM($B28)="","",IF(IFERROR(INDEX(Lists!$AP$2:$AP$11,MATCH(ROW(),Lists!$AN$2:$AN$11,0)),"")&lt;&gt;"",IFERROR(INDEX(Lists!$AP$2:$AP$11,MATCH(ROW(),Lists!$AN$2:$AN$11,0)),""),IF(OR(LEFT($AJ28,3)="COE",$AJ28="EGI"),$AP28,IF($AR28&lt;&gt;"Squad",$AR28,$AP28))))</f>
        <v>Store Operations</v>
      </c>
    </row>
    <row r="29" ht="18" customHeight="1" s="866">
      <c r="A29" s="1155" t="n">
        <v>99999100699</v>
      </c>
      <c r="B29" s="1156" t="inlineStr">
        <is>
          <t>Helen Jones</t>
        </is>
      </c>
      <c r="C29" s="1156" t="inlineStr">
        <is>
          <t>Delivery Lead</t>
        </is>
      </c>
      <c r="D29" s="1158" t="inlineStr">
        <is>
          <t>Vacant</t>
        </is>
      </c>
      <c r="E29" s="1156" t="inlineStr">
        <is>
          <t>Delivery Manager, Z and Retail Data</t>
        </is>
      </c>
      <c r="F29" s="1157" t="inlineStr">
        <is>
          <t>Ampol Retail &amp; Z</t>
        </is>
      </c>
      <c r="G29" s="1158" t="inlineStr">
        <is>
          <t>Z &amp; Group Retail</t>
        </is>
      </c>
      <c r="H29" s="1156" t="inlineStr">
        <is>
          <t>Z &amp; Group Retail, Delivery</t>
        </is>
      </c>
      <c r="I29" s="1156" t="inlineStr">
        <is>
          <t>Z</t>
        </is>
      </c>
      <c r="J29" s="1158" t="inlineStr">
        <is>
          <t>Z Supply</t>
        </is>
      </c>
      <c r="K29" s="1156" t="inlineStr">
        <is>
          <t>Z Supply</t>
        </is>
      </c>
      <c r="L29" s="1158" t="n"/>
      <c r="M29" s="1159" t="inlineStr">
        <is>
          <t>NZ</t>
        </is>
      </c>
      <c r="N29" s="1160" t="inlineStr">
        <is>
          <t>CIC</t>
        </is>
      </c>
      <c r="O29" s="1161" t="n">
        <v>1</v>
      </c>
      <c r="P29" s="1160" t="n"/>
      <c r="Q29" s="1160" t="inlineStr">
        <is>
          <t>Permanent - Full Time</t>
        </is>
      </c>
      <c r="R29" s="1162" t="n"/>
      <c r="S29" s="1162" t="n"/>
      <c r="T29" s="1163" t="n">
        <v>179340</v>
      </c>
      <c r="U29" s="1164" t="n">
        <v>179340</v>
      </c>
      <c r="V29" s="1166" t="n">
        <v>0.12</v>
      </c>
      <c r="W29" s="1170" t="n">
        <v>0.055</v>
      </c>
      <c r="X29" s="1170" t="n">
        <v>0.12</v>
      </c>
      <c r="Y29" s="1171" t="n"/>
      <c r="Z29" s="1170" t="n">
        <v>0.04</v>
      </c>
      <c r="AA29" s="1168">
        <f>IF(TRIM($B29)="","",IF(N($AU29)&gt;0,$AU29,IF(N($S29)&gt;0,$S29*Lists!$AG$15*(1+N($Z29)),N($U29)*(1+N($V29)+N($W29)+N($X29)+N($Z29))+N($Y29))))</f>
        <v>239418.9</v>
      </c>
      <c r="AJ29" s="865" t="str">
        <f>IF(TRIM($B29)="","",IF(IFERROR(INDEX(Lists!$AO$2:$AO$11,MATCH(ROW(),Lists!$AN$2:$AN$11,0)),"")&lt;&gt;"",IFERROR(INDEX(Lists!$AO$2:$AO$11,MATCH(ROW(),Lists!$AN$2:$AN$11,0)),""),IFERROR(INDEX(Lists!$U:$U,MATCH(TRIM($I29),Lists!$T:$T,0)),TRIM($I29))))</f>
        <v>Z Retail</v>
      </c>
      <c r="AK29" s="865" t="str">
        <f>IF(ISNUMBER(SEARCH("vacant",$B29)),"Vacant","Filled")</f>
        <v>Filled</v>
      </c>
      <c r="AL29" s="865" t="str">
        <f>IF($M29="NZ","NZ","AU")</f>
        <v>NZ</v>
      </c>
      <c r="AM29" s="865">
        <f>COUNTIF($AJ$2:$AJ29,$AJ29)</f>
        <v>16</v>
      </c>
      <c r="AN29" s="865" t="str">
        <f>$AJ29&amp;"|"&amp;$AM29</f>
        <v>Z Retail|16</v>
      </c>
      <c r="AP29" s="865" t="str">
        <f>IF(TRIM($B29)="","",IF($AQ29=1,"Leadership",IFERROR(INDEX(Lists!$X:$X,MATCH(TRIM($K29),Lists!$W:$W,0)),IF(OR(TRIM($K29)="",LOWER(TRIM($K29))="na"),IF(TRIM($G29)="","Unassigned",TRIM($G29)),TRIM($K29)))))</f>
        <v>Z Supply</v>
      </c>
      <c r="AQ29" s="865" t="b">
        <f>IF(TRIM($B29)="","",--OR(TRIM($K29)="Leadership",TRIM($J29)="Leadership"))</f>
        <v>0</v>
      </c>
      <c r="AR29" s="1136" t="str">
        <f>IF(TRIM($B29)="","",IF(IFERROR(INDEX(Lists!$AQ$2:$AQ$11,MATCH(ROW(),Lists!$AN$2:$AN$11,0)),"")&lt;&gt;"",IFERROR(INDEX(Lists!$AQ$2:$AQ$11,MATCH(ROW(),Lists!$AN$2:$AN$11,0)),""),IF(ISNUMBER(SEARCH("head of ",$C29)),"Head of Technology",IF(ISNUMBER(SEARCH("TDD BP",$C29)),"Business Partner",IF(OR(ISNUMBER(SEARCH("domain architect",$C29)),ISNUMBER(SEARCH("enterprise architect",$C29))),"Domain Architect",IF(ISNUMBER(SEARCH("delivery man",$C29)),"Delivery Manager",IF(OR(ISNUMBER(SEARCH("technology manager",$C29)),ISNUMBER(SEARCH("technology manger",$C29)),ISNUMBER(SEARCH("tech manager",$C29))),"Technology Manager","Squad")))))))</f>
        <v>Squad</v>
      </c>
      <c r="AS29" s="1136" t="str">
        <f>IF(TRIM($B29)="","",IFERROR(INDEX(Lists!$AA:$AA,MATCH($AP29,Lists!$Z:$Z,0)),$AP29))</f>
        <v>Z Supply</v>
      </c>
      <c r="AT29" s="1136" t="str">
        <f>IF(TRIM($B29)="","",IF(IFERROR(INDEX(Lists!$AP$2:$AP$11,MATCH(ROW(),Lists!$AN$2:$AN$11,0)),"")&lt;&gt;"",IFERROR(INDEX(Lists!$AP$2:$AP$11,MATCH(ROW(),Lists!$AN$2:$AN$11,0)),""),IF(OR(LEFT($AJ29,3)="COE",$AJ29="EGI"),$AP29,IF($AR29&lt;&gt;"Squad",$AR29,$AP29))))</f>
        <v>Z Supply</v>
      </c>
    </row>
    <row r="30" ht="18" customHeight="1" s="866">
      <c r="A30" s="1155" t="n">
        <v>110704</v>
      </c>
      <c r="B30" s="1156" t="inlineStr">
        <is>
          <t>Irfan Zavahir</t>
        </is>
      </c>
      <c r="C30" s="1156" t="inlineStr">
        <is>
          <t>Delivery Lead</t>
        </is>
      </c>
      <c r="D30" s="1156" t="inlineStr">
        <is>
          <t>Vanessa Allen</t>
        </is>
      </c>
      <c r="E30" s="1156" t="inlineStr">
        <is>
          <t>Delivery Manager, Ampol Retail</t>
        </is>
      </c>
      <c r="F30" s="1157" t="inlineStr">
        <is>
          <t>Ampol Retail &amp; Z</t>
        </is>
      </c>
      <c r="G30" s="1158" t="inlineStr">
        <is>
          <t>Ampol Retail</t>
        </is>
      </c>
      <c r="H30" s="1156" t="inlineStr">
        <is>
          <t>Ampol Retail, Delivery</t>
        </is>
      </c>
      <c r="I30" s="1156" t="inlineStr">
        <is>
          <t>Retail</t>
        </is>
      </c>
      <c r="J30" s="1158" t="inlineStr">
        <is>
          <t>AMPOS</t>
        </is>
      </c>
      <c r="K30" s="1156" t="inlineStr">
        <is>
          <t>AmPos</t>
        </is>
      </c>
      <c r="L30" s="1158" t="n"/>
      <c r="M30" s="1159" t="inlineStr">
        <is>
          <t>Australia</t>
        </is>
      </c>
      <c r="N30" s="1160" t="inlineStr">
        <is>
          <t>CIC</t>
        </is>
      </c>
      <c r="O30" s="1160" t="n">
        <v>1</v>
      </c>
      <c r="P30" s="1160" t="n"/>
      <c r="Q30" s="1161" t="inlineStr">
        <is>
          <t>Permanent - Full Time</t>
        </is>
      </c>
      <c r="R30" s="1162" t="n"/>
      <c r="S30" s="1162" t="n"/>
      <c r="T30" s="1163" t="n">
        <v>140000</v>
      </c>
      <c r="U30" s="1164" t="n">
        <v>128800</v>
      </c>
      <c r="V30" s="1165" t="n">
        <v>0.15</v>
      </c>
      <c r="W30" s="1161" t="n"/>
      <c r="X30" s="1166" t="n">
        <v>0.05</v>
      </c>
      <c r="Y30" s="1907" t="n">
        <v>2910</v>
      </c>
      <c r="Z30" s="1166" t="n">
        <v>0.03</v>
      </c>
      <c r="AA30" s="1168">
        <f>IF(TRIM($B30)="","",IF(N($AU30)&gt;0,$AU30,IF(N($S30)&gt;0,$S30*Lists!$AG$15*(1+N($Z30)),N($U30)*(1+N($V30)+N($W30)+N($X30)+N($Z30))+N($Y30))))</f>
        <v>161334</v>
      </c>
      <c r="AJ30" s="865" t="str">
        <f>IF(TRIM($B30)="","",IF(IFERROR(INDEX(Lists!$AO$2:$AO$11,MATCH(ROW(),Lists!$AN$2:$AN$11,0)),"")&lt;&gt;"",IFERROR(INDEX(Lists!$AO$2:$AO$11,MATCH(ROW(),Lists!$AN$2:$AN$11,0)),""),IFERROR(INDEX(Lists!$U:$U,MATCH(TRIM($I30),Lists!$T:$T,0)),TRIM($I30))))</f>
        <v>Ampol Retail</v>
      </c>
      <c r="AK30" s="865" t="str">
        <f>IF(ISNUMBER(SEARCH("vacant",$B30)),"Vacant","Filled")</f>
        <v>Filled</v>
      </c>
      <c r="AL30" s="865" t="str">
        <f>IF($M30="NZ","NZ","AU")</f>
        <v>AU</v>
      </c>
      <c r="AM30" s="865">
        <f>COUNTIF($AJ$2:$AJ30,$AJ30)</f>
        <v>13</v>
      </c>
      <c r="AN30" s="865" t="str">
        <f>$AJ30&amp;"|"&amp;$AM30</f>
        <v>Ampol Retail|13</v>
      </c>
      <c r="AP30" s="865" t="str">
        <f>IF(TRIM($B30)="","",IF($AQ30=1,"Leadership",IFERROR(INDEX(Lists!$X:$X,MATCH(TRIM($K30),Lists!$W:$W,0)),IF(OR(TRIM($K30)="",LOWER(TRIM($K30))="na"),IF(TRIM($G30)="","Unassigned",TRIM($G30)),TRIM($K30)))))</f>
        <v>AmPOS</v>
      </c>
      <c r="AQ30" s="865" t="b">
        <f>IF(TRIM($B30)="","",--OR(TRIM($K30)="Leadership",TRIM($J30)="Leadership"))</f>
        <v>0</v>
      </c>
      <c r="AR30" s="1136" t="str">
        <f>IF(TRIM($B30)="","",IF(IFERROR(INDEX(Lists!$AQ$2:$AQ$11,MATCH(ROW(),Lists!$AN$2:$AN$11,0)),"")&lt;&gt;"",IFERROR(INDEX(Lists!$AQ$2:$AQ$11,MATCH(ROW(),Lists!$AN$2:$AN$11,0)),""),IF(ISNUMBER(SEARCH("head of ",$C30)),"Head of Technology",IF(ISNUMBER(SEARCH("TDD BP",$C30)),"Business Partner",IF(OR(ISNUMBER(SEARCH("domain architect",$C30)),ISNUMBER(SEARCH("enterprise architect",$C30))),"Domain Architect",IF(ISNUMBER(SEARCH("delivery man",$C30)),"Delivery Manager",IF(OR(ISNUMBER(SEARCH("technology manager",$C30)),ISNUMBER(SEARCH("technology manger",$C30)),ISNUMBER(SEARCH("tech manager",$C30))),"Technology Manager","Squad")))))))</f>
        <v>Squad</v>
      </c>
      <c r="AS30" s="1136" t="str">
        <f>IF(TRIM($B30)="","",IFERROR(INDEX(Lists!$AA:$AA,MATCH($AP30,Lists!$Z:$Z,0)),$AP30))</f>
        <v>AmPOS</v>
      </c>
      <c r="AT30" s="1136" t="str">
        <f>IF(TRIM($B30)="","",IF(IFERROR(INDEX(Lists!$AP$2:$AP$11,MATCH(ROW(),Lists!$AN$2:$AN$11,0)),"")&lt;&gt;"",IFERROR(INDEX(Lists!$AP$2:$AP$11,MATCH(ROW(),Lists!$AN$2:$AN$11,0)),""),IF(OR(LEFT($AJ30,3)="COE",$AJ30="EGI"),$AP30,IF($AR30&lt;&gt;"Squad",$AR30,$AP30))))</f>
        <v>AmPOS</v>
      </c>
    </row>
    <row r="31" ht="18" customHeight="1" s="866">
      <c r="A31" s="1155" t="n">
        <v>99999102104</v>
      </c>
      <c r="B31" s="1156" t="inlineStr">
        <is>
          <t>Isuru Herath</t>
        </is>
      </c>
      <c r="C31" s="1156" t="inlineStr">
        <is>
          <t>Senior Engineer - Software</t>
        </is>
      </c>
      <c r="D31" s="1156" t="inlineStr">
        <is>
          <t>Vacant</t>
        </is>
      </c>
      <c r="E31" s="1156" t="inlineStr">
        <is>
          <t>Technology Manager, Engineering</t>
        </is>
      </c>
      <c r="F31" s="1157" t="inlineStr">
        <is>
          <t>Ampol Retail &amp; Z</t>
        </is>
      </c>
      <c r="G31" s="1158" t="inlineStr">
        <is>
          <t>Z &amp; Group Retail</t>
        </is>
      </c>
      <c r="H31" s="1156" t="inlineStr">
        <is>
          <t>Z &amp; Group Retail, Engineering</t>
        </is>
      </c>
      <c r="I31" s="1156" t="inlineStr">
        <is>
          <t>Z</t>
        </is>
      </c>
      <c r="J31" s="1158" t="inlineStr">
        <is>
          <t>Z Supply</t>
        </is>
      </c>
      <c r="K31" s="1156" t="inlineStr">
        <is>
          <t>Z Supply</t>
        </is>
      </c>
      <c r="L31" s="1158" t="n"/>
      <c r="M31" s="1159" t="inlineStr">
        <is>
          <t>NZ</t>
        </is>
      </c>
      <c r="N31" s="1160" t="inlineStr">
        <is>
          <t>CIB</t>
        </is>
      </c>
      <c r="O31" s="1161" t="n">
        <v>1</v>
      </c>
      <c r="P31" s="1160" t="n"/>
      <c r="Q31" s="1160" t="inlineStr">
        <is>
          <t>Permanent - Full Time</t>
        </is>
      </c>
      <c r="R31" s="1162" t="n"/>
      <c r="S31" s="1162" t="n"/>
      <c r="T31" s="1163" t="n">
        <v>168160</v>
      </c>
      <c r="U31" s="1164" t="n">
        <v>168160</v>
      </c>
      <c r="V31" s="1166" t="n">
        <v>0.12</v>
      </c>
      <c r="W31" s="1170" t="n">
        <v>0.055</v>
      </c>
      <c r="X31" s="1170" t="n">
        <v>0.12</v>
      </c>
      <c r="Y31" s="1171" t="n"/>
      <c r="Z31" s="1170" t="n">
        <v>0.04</v>
      </c>
      <c r="AA31" s="1168">
        <f>IF(TRIM($B31)="","",IF(N($AU31)&gt;0,$AU31,IF(N($S31)&gt;0,$S31*Lists!$AG$15*(1+N($Z31)),N($U31)*(1+N($V31)+N($W31)+N($X31)+N($Z31))+N($Y31))))</f>
        <v>224493.6</v>
      </c>
      <c r="AJ31" s="865" t="str">
        <f>IF(TRIM($B31)="","",IF(IFERROR(INDEX(Lists!$AO$2:$AO$11,MATCH(ROW(),Lists!$AN$2:$AN$11,0)),"")&lt;&gt;"",IFERROR(INDEX(Lists!$AO$2:$AO$11,MATCH(ROW(),Lists!$AN$2:$AN$11,0)),""),IFERROR(INDEX(Lists!$U:$U,MATCH(TRIM($I31),Lists!$T:$T,0)),TRIM($I31))))</f>
        <v>Z Retail</v>
      </c>
      <c r="AK31" s="865" t="str">
        <f>IF(ISNUMBER(SEARCH("vacant",$B31)),"Vacant","Filled")</f>
        <v>Filled</v>
      </c>
      <c r="AL31" s="865" t="str">
        <f>IF($M31="NZ","NZ","AU")</f>
        <v>NZ</v>
      </c>
      <c r="AM31" s="865">
        <f>COUNTIF($AJ$2:$AJ31,$AJ31)</f>
        <v>17</v>
      </c>
      <c r="AN31" s="865" t="str">
        <f>$AJ31&amp;"|"&amp;$AM31</f>
        <v>Z Retail|17</v>
      </c>
      <c r="AP31" s="865" t="str">
        <f>IF(TRIM($B31)="","",IF($AQ31=1,"Leadership",IFERROR(INDEX(Lists!$X:$X,MATCH(TRIM($K31),Lists!$W:$W,0)),IF(OR(TRIM($K31)="",LOWER(TRIM($K31))="na"),IF(TRIM($G31)="","Unassigned",TRIM($G31)),TRIM($K31)))))</f>
        <v>Z Supply</v>
      </c>
      <c r="AQ31" s="865" t="b">
        <f>IF(TRIM($B31)="","",--OR(TRIM($K31)="Leadership",TRIM($J31)="Leadership"))</f>
        <v>0</v>
      </c>
      <c r="AR31" s="1136" t="str">
        <f>IF(TRIM($B31)="","",IF(IFERROR(INDEX(Lists!$AQ$2:$AQ$11,MATCH(ROW(),Lists!$AN$2:$AN$11,0)),"")&lt;&gt;"",IFERROR(INDEX(Lists!$AQ$2:$AQ$11,MATCH(ROW(),Lists!$AN$2:$AN$11,0)),""),IF(ISNUMBER(SEARCH("head of ",$C31)),"Head of Technology",IF(ISNUMBER(SEARCH("TDD BP",$C31)),"Business Partner",IF(OR(ISNUMBER(SEARCH("domain architect",$C31)),ISNUMBER(SEARCH("enterprise architect",$C31))),"Domain Architect",IF(ISNUMBER(SEARCH("delivery man",$C31)),"Delivery Manager",IF(OR(ISNUMBER(SEARCH("technology manager",$C31)),ISNUMBER(SEARCH("technology manger",$C31)),ISNUMBER(SEARCH("tech manager",$C31))),"Technology Manager","Squad")))))))</f>
        <v>Squad</v>
      </c>
      <c r="AS31" s="1136" t="str">
        <f>IF(TRIM($B31)="","",IFERROR(INDEX(Lists!$AA:$AA,MATCH($AP31,Lists!$Z:$Z,0)),$AP31))</f>
        <v>Z Supply</v>
      </c>
      <c r="AT31" s="1136" t="str">
        <f>IF(TRIM($B31)="","",IF(IFERROR(INDEX(Lists!$AP$2:$AP$11,MATCH(ROW(),Lists!$AN$2:$AN$11,0)),"")&lt;&gt;"",IFERROR(INDEX(Lists!$AP$2:$AP$11,MATCH(ROW(),Lists!$AN$2:$AN$11,0)),""),IF(OR(LEFT($AJ31,3)="COE",$AJ31="EGI"),$AP31,IF($AR31&lt;&gt;"Squad",$AR31,$AP31))))</f>
        <v>Z Supply</v>
      </c>
    </row>
    <row r="32" ht="18" customHeight="1" s="866">
      <c r="A32" s="1155" t="n">
        <v>91356</v>
      </c>
      <c r="B32" s="1156" t="inlineStr">
        <is>
          <t>Javier Aguirre Castellanos</t>
        </is>
      </c>
      <c r="C32" s="1156" t="inlineStr">
        <is>
          <t>Solution Architect</t>
        </is>
      </c>
      <c r="D32" s="1156" t="inlineStr">
        <is>
          <t>Vedran Jukic</t>
        </is>
      </c>
      <c r="E32" s="1156" t="inlineStr">
        <is>
          <t>Technology Manager, Retail</t>
        </is>
      </c>
      <c r="F32" s="1157" t="inlineStr">
        <is>
          <t>Ampol Retail &amp; Z</t>
        </is>
      </c>
      <c r="G32" s="1158" t="inlineStr">
        <is>
          <t>Ampol Retail</t>
        </is>
      </c>
      <c r="H32" s="1156" t="inlineStr">
        <is>
          <t>Ampol Retail, Technology</t>
        </is>
      </c>
      <c r="I32" s="1156" t="inlineStr">
        <is>
          <t>Retail</t>
        </is>
      </c>
      <c r="J32" s="1158" t="inlineStr">
        <is>
          <t>Network/QSR</t>
        </is>
      </c>
      <c r="K32" s="1156" t="inlineStr">
        <is>
          <t>Network &amp; QSR</t>
        </is>
      </c>
      <c r="L32" s="1158" t="n"/>
      <c r="M32" s="1159" t="inlineStr">
        <is>
          <t>Australia</t>
        </is>
      </c>
      <c r="N32" s="1160" t="inlineStr">
        <is>
          <t>CIB</t>
        </is>
      </c>
      <c r="O32" s="1160" t="n">
        <v>1</v>
      </c>
      <c r="P32" s="1160" t="n"/>
      <c r="Q32" s="1161" t="inlineStr">
        <is>
          <t>Permanent - Full Time</t>
        </is>
      </c>
      <c r="R32" s="1162" t="n"/>
      <c r="S32" s="1162" t="n"/>
      <c r="T32" s="1163" t="n">
        <v>115000</v>
      </c>
      <c r="U32" s="1164" t="n">
        <v>105800</v>
      </c>
      <c r="V32" s="1165" t="n">
        <v>0.15</v>
      </c>
      <c r="W32" s="1161" t="n"/>
      <c r="X32" s="1166" t="n">
        <v>0.05</v>
      </c>
      <c r="Y32" s="1907" t="n">
        <v>2910</v>
      </c>
      <c r="Z32" s="1166" t="n">
        <v>0.03</v>
      </c>
      <c r="AA32" s="1168">
        <f>IF(TRIM($B32)="","",IF(N($AU32)&gt;0,$AU32,IF(N($S32)&gt;0,$S32*Lists!$AG$15*(1+N($Z32)),N($U32)*(1+N($V32)+N($W32)+N($X32)+N($Z32))+N($Y32))))</f>
        <v>133044</v>
      </c>
      <c r="AJ32" s="865" t="str">
        <f>IF(TRIM($B32)="","",IF(IFERROR(INDEX(Lists!$AO$2:$AO$11,MATCH(ROW(),Lists!$AN$2:$AN$11,0)),"")&lt;&gt;"",IFERROR(INDEX(Lists!$AO$2:$AO$11,MATCH(ROW(),Lists!$AN$2:$AN$11,0)),""),IFERROR(INDEX(Lists!$U:$U,MATCH(TRIM($I32),Lists!$T:$T,0)),TRIM($I32))))</f>
        <v>Ampol Retail</v>
      </c>
      <c r="AK32" s="865" t="str">
        <f>IF(ISNUMBER(SEARCH("vacant",$B32)),"Vacant","Filled")</f>
        <v>Filled</v>
      </c>
      <c r="AL32" s="865" t="str">
        <f>IF($M32="NZ","NZ","AU")</f>
        <v>AU</v>
      </c>
      <c r="AM32" s="865">
        <f>COUNTIF($AJ$2:$AJ32,$AJ32)</f>
        <v>14</v>
      </c>
      <c r="AN32" s="865" t="str">
        <f>$AJ32&amp;"|"&amp;$AM32</f>
        <v>Ampol Retail|14</v>
      </c>
      <c r="AP32" s="865" t="str">
        <f>IF(TRIM($B32)="","",IF($AQ32=1,"Leadership",IFERROR(INDEX(Lists!$X:$X,MATCH(TRIM($K32),Lists!$W:$W,0)),IF(OR(TRIM($K32)="",LOWER(TRIM($K32))="na"),IF(TRIM($G32)="","Unassigned",TRIM($G32)),TRIM($K32)))))</f>
        <v>Network &amp; QSR</v>
      </c>
      <c r="AQ32" s="865" t="b">
        <f>IF(TRIM($B32)="","",--OR(TRIM($K32)="Leadership",TRIM($J32)="Leadership"))</f>
        <v>0</v>
      </c>
      <c r="AR32" s="1136" t="str">
        <f>IF(TRIM($B32)="","",IF(IFERROR(INDEX(Lists!$AQ$2:$AQ$11,MATCH(ROW(),Lists!$AN$2:$AN$11,0)),"")&lt;&gt;"",IFERROR(INDEX(Lists!$AQ$2:$AQ$11,MATCH(ROW(),Lists!$AN$2:$AN$11,0)),""),IF(ISNUMBER(SEARCH("head of ",$C32)),"Head of Technology",IF(ISNUMBER(SEARCH("TDD BP",$C32)),"Business Partner",IF(OR(ISNUMBER(SEARCH("domain architect",$C32)),ISNUMBER(SEARCH("enterprise architect",$C32))),"Domain Architect",IF(ISNUMBER(SEARCH("delivery man",$C32)),"Delivery Manager",IF(OR(ISNUMBER(SEARCH("technology manager",$C32)),ISNUMBER(SEARCH("technology manger",$C32)),ISNUMBER(SEARCH("tech manager",$C32))),"Technology Manager","Squad")))))))</f>
        <v>Squad</v>
      </c>
      <c r="AS32" s="1136" t="str">
        <f>IF(TRIM($B32)="","",IFERROR(INDEX(Lists!$AA:$AA,MATCH($AP32,Lists!$Z:$Z,0)),$AP32))</f>
        <v>Network &amp; QSR</v>
      </c>
      <c r="AT32" s="1136" t="str">
        <f>IF(TRIM($B32)="","",IF(IFERROR(INDEX(Lists!$AP$2:$AP$11,MATCH(ROW(),Lists!$AN$2:$AN$11,0)),"")&lt;&gt;"",IFERROR(INDEX(Lists!$AP$2:$AP$11,MATCH(ROW(),Lists!$AN$2:$AN$11,0)),""),IF(OR(LEFT($AJ32,3)="COE",$AJ32="EGI"),$AP32,IF($AR32&lt;&gt;"Squad",$AR32,$AP32))))</f>
        <v>Network &amp; QSR</v>
      </c>
    </row>
    <row r="33" ht="18" customHeight="1" s="866">
      <c r="A33" s="1155" t="n">
        <v>99999102123</v>
      </c>
      <c r="B33" s="1156" t="inlineStr">
        <is>
          <t>Jodie Marquez</t>
        </is>
      </c>
      <c r="C33" s="1156" t="inlineStr">
        <is>
          <t>Data Analyst</t>
        </is>
      </c>
      <c r="D33" s="1158" t="inlineStr">
        <is>
          <t>Vacant</t>
        </is>
      </c>
      <c r="E33" s="1156" t="inlineStr">
        <is>
          <t>Technology Manager, Data</t>
        </is>
      </c>
      <c r="F33" s="1157" t="inlineStr">
        <is>
          <t>Ampol Retail &amp; Z</t>
        </is>
      </c>
      <c r="G33" s="1158" t="inlineStr">
        <is>
          <t>Z &amp; Group Retail</t>
        </is>
      </c>
      <c r="H33" s="1156" t="inlineStr">
        <is>
          <t>Z &amp; Group Retail, Data</t>
        </is>
      </c>
      <c r="I33" s="1156" t="inlineStr">
        <is>
          <t>Z</t>
        </is>
      </c>
      <c r="J33" s="1158" t="inlineStr">
        <is>
          <t>Z Customer &amp; Z Supply</t>
        </is>
      </c>
      <c r="K33" s="1156" t="inlineStr">
        <is>
          <t>Data - NZ</t>
        </is>
      </c>
      <c r="L33" s="1158" t="n"/>
      <c r="M33" s="1159" t="inlineStr">
        <is>
          <t>NZ</t>
        </is>
      </c>
      <c r="N33" s="1160" t="inlineStr">
        <is>
          <t>CIA</t>
        </is>
      </c>
      <c r="O33" s="1161" t="n">
        <v>1</v>
      </c>
      <c r="P33" s="1160" t="n"/>
      <c r="Q33" s="1161" t="inlineStr">
        <is>
          <t>Permanent - Full Time</t>
        </is>
      </c>
      <c r="R33" s="1162" t="n"/>
      <c r="S33" s="1162" t="n"/>
      <c r="T33" s="1163" t="n">
        <v>125250</v>
      </c>
      <c r="U33" s="1164" t="n">
        <v>115230</v>
      </c>
      <c r="V33" s="1165" t="n">
        <v>0.15</v>
      </c>
      <c r="W33" s="1161" t="n"/>
      <c r="X33" s="1166" t="n">
        <v>0.05</v>
      </c>
      <c r="Y33" s="1907" t="n">
        <v>2910</v>
      </c>
      <c r="Z33" s="1166" t="n">
        <v>0.03</v>
      </c>
      <c r="AA33" s="1168">
        <f>IF(TRIM($B33)="","",IF(N($AU33)&gt;0,$AU33,IF(N($S33)&gt;0,$S33*Lists!$AG$15*(1+N($Z33)),N($U33)*(1+N($V33)+N($W33)+N($X33)+N($Z33))+N($Y33))))</f>
        <v>144642.9</v>
      </c>
      <c r="AJ33" s="865" t="str">
        <f>IF(TRIM($B33)="","",IF(IFERROR(INDEX(Lists!$AO$2:$AO$11,MATCH(ROW(),Lists!$AN$2:$AN$11,0)),"")&lt;&gt;"",IFERROR(INDEX(Lists!$AO$2:$AO$11,MATCH(ROW(),Lists!$AN$2:$AN$11,0)),""),IFERROR(INDEX(Lists!$U:$U,MATCH(TRIM($I33),Lists!$T:$T,0)),TRIM($I33))))</f>
        <v>Z Retail</v>
      </c>
      <c r="AK33" s="865" t="str">
        <f>IF(ISNUMBER(SEARCH("vacant",$B33)),"Vacant","Filled")</f>
        <v>Filled</v>
      </c>
      <c r="AL33" s="865" t="str">
        <f>IF($M33="NZ","NZ","AU")</f>
        <v>NZ</v>
      </c>
      <c r="AM33" s="865">
        <f>COUNTIF($AJ$2:$AJ33,$AJ33)</f>
        <v>18</v>
      </c>
      <c r="AN33" s="865" t="str">
        <f>$AJ33&amp;"|"&amp;$AM33</f>
        <v>Z Retail|18</v>
      </c>
      <c r="AP33" s="865" t="str">
        <f>IF(TRIM($B33)="","",IF($AQ33=1,"Leadership",IFERROR(INDEX(Lists!$X:$X,MATCH(TRIM($K33),Lists!$W:$W,0)),IF(OR(TRIM($K33)="",LOWER(TRIM($K33))="na"),IF(TRIM($G33)="","Unassigned",TRIM($G33)),TRIM($K33)))))</f>
        <v>Data NZ</v>
      </c>
      <c r="AQ33" s="865" t="b">
        <f>IF(TRIM($B33)="","",--OR(TRIM($K33)="Leadership",TRIM($J33)="Leadership"))</f>
        <v>0</v>
      </c>
      <c r="AR33" s="1136" t="str">
        <f>IF(TRIM($B33)="","",IF(IFERROR(INDEX(Lists!$AQ$2:$AQ$11,MATCH(ROW(),Lists!$AN$2:$AN$11,0)),"")&lt;&gt;"",IFERROR(INDEX(Lists!$AQ$2:$AQ$11,MATCH(ROW(),Lists!$AN$2:$AN$11,0)),""),IF(ISNUMBER(SEARCH("head of ",$C33)),"Head of Technology",IF(ISNUMBER(SEARCH("TDD BP",$C33)),"Business Partner",IF(OR(ISNUMBER(SEARCH("domain architect",$C33)),ISNUMBER(SEARCH("enterprise architect",$C33))),"Domain Architect",IF(ISNUMBER(SEARCH("delivery man",$C33)),"Delivery Manager",IF(OR(ISNUMBER(SEARCH("technology manager",$C33)),ISNUMBER(SEARCH("technology manger",$C33)),ISNUMBER(SEARCH("tech manager",$C33))),"Technology Manager","Squad")))))))</f>
        <v>Squad</v>
      </c>
      <c r="AS33" s="1136" t="str">
        <f>IF(TRIM($B33)="","",IFERROR(INDEX(Lists!$AA:$AA,MATCH($AP33,Lists!$Z:$Z,0)),$AP33))</f>
        <v>Data NZ</v>
      </c>
      <c r="AT33" s="1136" t="str">
        <f>IF(TRIM($B33)="","",IF(IFERROR(INDEX(Lists!$AP$2:$AP$11,MATCH(ROW(),Lists!$AN$2:$AN$11,0)),"")&lt;&gt;"",IFERROR(INDEX(Lists!$AP$2:$AP$11,MATCH(ROW(),Lists!$AN$2:$AN$11,0)),""),IF(OR(LEFT($AJ33,3)="COE",$AJ33="EGI"),$AP33,IF($AR33&lt;&gt;"Squad",$AR33,$AP33))))</f>
        <v>Data NZ</v>
      </c>
    </row>
    <row r="34" ht="18" customHeight="1" s="866">
      <c r="A34" s="1155" t="n">
        <v>99999101542</v>
      </c>
      <c r="B34" s="1156" t="inlineStr">
        <is>
          <t>Joe Kuttikkatt</t>
        </is>
      </c>
      <c r="C34" s="1156" t="inlineStr">
        <is>
          <t>Senior Quality Assurance</t>
        </is>
      </c>
      <c r="D34" s="1156" t="inlineStr">
        <is>
          <t>Vacant</t>
        </is>
      </c>
      <c r="E34" s="1156" t="inlineStr">
        <is>
          <t>Technology Manager, Engineering</t>
        </is>
      </c>
      <c r="F34" s="1157" t="inlineStr">
        <is>
          <t>Ampol Retail &amp; Z</t>
        </is>
      </c>
      <c r="G34" s="1158" t="inlineStr">
        <is>
          <t>Z &amp; Group Retail</t>
        </is>
      </c>
      <c r="H34" s="1156" t="inlineStr">
        <is>
          <t>Z &amp; Group Retail, Engineering</t>
        </is>
      </c>
      <c r="I34" s="1156" t="inlineStr">
        <is>
          <t>Z</t>
        </is>
      </c>
      <c r="J34" s="1158" t="inlineStr">
        <is>
          <t>Z Supply</t>
        </is>
      </c>
      <c r="K34" s="1156" t="inlineStr">
        <is>
          <t>Z Supply</t>
        </is>
      </c>
      <c r="L34" s="1158" t="n"/>
      <c r="M34" s="1159" t="inlineStr">
        <is>
          <t>NZ</t>
        </is>
      </c>
      <c r="N34" s="1160" t="inlineStr">
        <is>
          <t>CIA</t>
        </is>
      </c>
      <c r="O34" s="1161" t="n">
        <v>1</v>
      </c>
      <c r="P34" s="1160" t="n"/>
      <c r="Q34" s="1161" t="inlineStr">
        <is>
          <t>Permanent - Full Time</t>
        </is>
      </c>
      <c r="R34" s="1162" t="n"/>
      <c r="S34" s="1162" t="n"/>
      <c r="T34" s="1163" t="n">
        <v>93640</v>
      </c>
      <c r="U34" s="1164" t="n">
        <v>86148.8</v>
      </c>
      <c r="V34" s="1165" t="n">
        <v>0.1</v>
      </c>
      <c r="W34" s="1161" t="n"/>
      <c r="X34" s="1166" t="n">
        <v>0.05</v>
      </c>
      <c r="Y34" s="1907" t="n">
        <v>2910</v>
      </c>
      <c r="Z34" s="1166" t="n">
        <v>0.03</v>
      </c>
      <c r="AA34" s="1168">
        <f>IF(TRIM($B34)="","",IF(N($AU34)&gt;0,$AU34,IF(N($S34)&gt;0,$S34*Lists!$AG$15*(1+N($Z34)),N($U34)*(1+N($V34)+N($W34)+N($X34)+N($Z34))+N($Y34))))</f>
        <v>104565.584</v>
      </c>
      <c r="AJ34" s="865" t="str">
        <f>IF(TRIM($B34)="","",IF(IFERROR(INDEX(Lists!$AO$2:$AO$11,MATCH(ROW(),Lists!$AN$2:$AN$11,0)),"")&lt;&gt;"",IFERROR(INDEX(Lists!$AO$2:$AO$11,MATCH(ROW(),Lists!$AN$2:$AN$11,0)),""),IFERROR(INDEX(Lists!$U:$U,MATCH(TRIM($I34),Lists!$T:$T,0)),TRIM($I34))))</f>
        <v>Z Retail</v>
      </c>
      <c r="AK34" s="865" t="str">
        <f>IF(ISNUMBER(SEARCH("vacant",$B34)),"Vacant","Filled")</f>
        <v>Filled</v>
      </c>
      <c r="AL34" s="865" t="str">
        <f>IF($M34="NZ","NZ","AU")</f>
        <v>NZ</v>
      </c>
      <c r="AM34" s="865">
        <f>COUNTIF($AJ$2:$AJ34,$AJ34)</f>
        <v>19</v>
      </c>
      <c r="AN34" s="865" t="str">
        <f>$AJ34&amp;"|"&amp;$AM34</f>
        <v>Z Retail|19</v>
      </c>
      <c r="AP34" s="865" t="str">
        <f>IF(TRIM($B34)="","",IF($AQ34=1,"Leadership",IFERROR(INDEX(Lists!$X:$X,MATCH(TRIM($K34),Lists!$W:$W,0)),IF(OR(TRIM($K34)="",LOWER(TRIM($K34))="na"),IF(TRIM($G34)="","Unassigned",TRIM($G34)),TRIM($K34)))))</f>
        <v>Z Supply</v>
      </c>
      <c r="AQ34" s="865" t="b">
        <f>IF(TRIM($B34)="","",--OR(TRIM($K34)="Leadership",TRIM($J34)="Leadership"))</f>
        <v>0</v>
      </c>
      <c r="AR34" s="1136" t="str">
        <f>IF(TRIM($B34)="","",IF(IFERROR(INDEX(Lists!$AQ$2:$AQ$11,MATCH(ROW(),Lists!$AN$2:$AN$11,0)),"")&lt;&gt;"",IFERROR(INDEX(Lists!$AQ$2:$AQ$11,MATCH(ROW(),Lists!$AN$2:$AN$11,0)),""),IF(ISNUMBER(SEARCH("head of ",$C34)),"Head of Technology",IF(ISNUMBER(SEARCH("TDD BP",$C34)),"Business Partner",IF(OR(ISNUMBER(SEARCH("domain architect",$C34)),ISNUMBER(SEARCH("enterprise architect",$C34))),"Domain Architect",IF(ISNUMBER(SEARCH("delivery man",$C34)),"Delivery Manager",IF(OR(ISNUMBER(SEARCH("technology manager",$C34)),ISNUMBER(SEARCH("technology manger",$C34)),ISNUMBER(SEARCH("tech manager",$C34))),"Technology Manager","Squad")))))))</f>
        <v>Squad</v>
      </c>
      <c r="AS34" s="1136" t="str">
        <f>IF(TRIM($B34)="","",IFERROR(INDEX(Lists!$AA:$AA,MATCH($AP34,Lists!$Z:$Z,0)),$AP34))</f>
        <v>Z Supply</v>
      </c>
      <c r="AT34" s="1136" t="str">
        <f>IF(TRIM($B34)="","",IF(IFERROR(INDEX(Lists!$AP$2:$AP$11,MATCH(ROW(),Lists!$AN$2:$AN$11,0)),"")&lt;&gt;"",IFERROR(INDEX(Lists!$AP$2:$AP$11,MATCH(ROW(),Lists!$AN$2:$AN$11,0)),""),IF(OR(LEFT($AJ34,3)="COE",$AJ34="EGI"),$AP34,IF($AR34&lt;&gt;"Squad",$AR34,$AP34))))</f>
        <v>Z Supply</v>
      </c>
    </row>
    <row r="35" ht="18" customHeight="1" s="866">
      <c r="A35" s="1155" t="n">
        <v>99999101620</v>
      </c>
      <c r="B35" s="1156" t="inlineStr">
        <is>
          <t>Johanah Gloria</t>
        </is>
      </c>
      <c r="C35" s="1156" t="inlineStr">
        <is>
          <t>Engineer - Software</t>
        </is>
      </c>
      <c r="D35" s="1156" t="inlineStr">
        <is>
          <t>Vacant</t>
        </is>
      </c>
      <c r="E35" s="1156" t="inlineStr">
        <is>
          <t>Technology Manager, Engineering</t>
        </is>
      </c>
      <c r="F35" s="1157" t="inlineStr">
        <is>
          <t>Ampol Retail &amp; Z</t>
        </is>
      </c>
      <c r="G35" s="1158" t="inlineStr">
        <is>
          <t>Z &amp; Group Retail</t>
        </is>
      </c>
      <c r="H35" s="1156" t="inlineStr">
        <is>
          <t>Z &amp; Group Retail, Engineering</t>
        </is>
      </c>
      <c r="I35" s="1156" t="inlineStr">
        <is>
          <t>Z</t>
        </is>
      </c>
      <c r="J35" s="1158" t="inlineStr">
        <is>
          <t>Z Supply</t>
        </is>
      </c>
      <c r="K35" s="1156" t="inlineStr">
        <is>
          <t>Z Supply</t>
        </is>
      </c>
      <c r="L35" s="1158" t="n"/>
      <c r="M35" s="1159" t="inlineStr">
        <is>
          <t>NZ</t>
        </is>
      </c>
      <c r="N35" s="1160" t="inlineStr">
        <is>
          <t>CDB</t>
        </is>
      </c>
      <c r="O35" s="1161" t="n">
        <v>1</v>
      </c>
      <c r="P35" s="1162" t="n"/>
      <c r="Q35" s="1162" t="inlineStr">
        <is>
          <t>Permanent - Full Time</t>
        </is>
      </c>
      <c r="R35" s="1162" t="n"/>
      <c r="S35" s="1162" t="n"/>
      <c r="T35" s="1163" t="n">
        <v>142360</v>
      </c>
      <c r="U35" s="1164" t="n">
        <v>142360</v>
      </c>
      <c r="V35" s="1166" t="n">
        <v>0.12</v>
      </c>
      <c r="W35" s="1170" t="n">
        <v>0.055</v>
      </c>
      <c r="X35" s="1170" t="n">
        <v>0.12</v>
      </c>
      <c r="Y35" s="1171" t="n"/>
      <c r="Z35" s="1170" t="n">
        <v>0.04</v>
      </c>
      <c r="AA35" s="1168">
        <f>IF(TRIM($B35)="","",IF(N($AU35)&gt;0,$AU35,IF(N($S35)&gt;0,$S35*Lists!$AG$15*(1+N($Z35)),N($U35)*(1+N($V35)+N($W35)+N($X35)+N($Z35))+N($Y35))))</f>
        <v>190050.6</v>
      </c>
      <c r="AJ35" s="865" t="str">
        <f>IF(TRIM($B35)="","",IF(IFERROR(INDEX(Lists!$AO$2:$AO$11,MATCH(ROW(),Lists!$AN$2:$AN$11,0)),"")&lt;&gt;"",IFERROR(INDEX(Lists!$AO$2:$AO$11,MATCH(ROW(),Lists!$AN$2:$AN$11,0)),""),IFERROR(INDEX(Lists!$U:$U,MATCH(TRIM($I35),Lists!$T:$T,0)),TRIM($I35))))</f>
        <v>Z Retail</v>
      </c>
      <c r="AK35" s="865" t="str">
        <f>IF(ISNUMBER(SEARCH("vacant",$B35)),"Vacant","Filled")</f>
        <v>Filled</v>
      </c>
      <c r="AL35" s="865" t="str">
        <f>IF($M35="NZ","NZ","AU")</f>
        <v>NZ</v>
      </c>
      <c r="AM35" s="865">
        <f>COUNTIF($AJ$2:$AJ35,$AJ35)</f>
        <v>20</v>
      </c>
      <c r="AN35" s="865" t="str">
        <f>$AJ35&amp;"|"&amp;$AM35</f>
        <v>Z Retail|20</v>
      </c>
      <c r="AP35" s="865" t="str">
        <f>IF(TRIM($B35)="","",IF($AQ35=1,"Leadership",IFERROR(INDEX(Lists!$X:$X,MATCH(TRIM($K35),Lists!$W:$W,0)),IF(OR(TRIM($K35)="",LOWER(TRIM($K35))="na"),IF(TRIM($G35)="","Unassigned",TRIM($G35)),TRIM($K35)))))</f>
        <v>Z Supply</v>
      </c>
      <c r="AQ35" s="865" t="b">
        <f>IF(TRIM($B35)="","",--OR(TRIM($K35)="Leadership",TRIM($J35)="Leadership"))</f>
        <v>0</v>
      </c>
      <c r="AR35" s="1136" t="str">
        <f>IF(TRIM($B35)="","",IF(IFERROR(INDEX(Lists!$AQ$2:$AQ$11,MATCH(ROW(),Lists!$AN$2:$AN$11,0)),"")&lt;&gt;"",IFERROR(INDEX(Lists!$AQ$2:$AQ$11,MATCH(ROW(),Lists!$AN$2:$AN$11,0)),""),IF(ISNUMBER(SEARCH("head of ",$C35)),"Head of Technology",IF(ISNUMBER(SEARCH("TDD BP",$C35)),"Business Partner",IF(OR(ISNUMBER(SEARCH("domain architect",$C35)),ISNUMBER(SEARCH("enterprise architect",$C35))),"Domain Architect",IF(ISNUMBER(SEARCH("delivery man",$C35)),"Delivery Manager",IF(OR(ISNUMBER(SEARCH("technology manager",$C35)),ISNUMBER(SEARCH("technology manger",$C35)),ISNUMBER(SEARCH("tech manager",$C35))),"Technology Manager","Squad")))))))</f>
        <v>Squad</v>
      </c>
      <c r="AS35" s="1136" t="str">
        <f>IF(TRIM($B35)="","",IFERROR(INDEX(Lists!$AA:$AA,MATCH($AP35,Lists!$Z:$Z,0)),$AP35))</f>
        <v>Z Supply</v>
      </c>
      <c r="AT35" s="1136" t="str">
        <f>IF(TRIM($B35)="","",IF(IFERROR(INDEX(Lists!$AP$2:$AP$11,MATCH(ROW(),Lists!$AN$2:$AN$11,0)),"")&lt;&gt;"",IFERROR(INDEX(Lists!$AP$2:$AP$11,MATCH(ROW(),Lists!$AN$2:$AN$11,0)),""),IF(OR(LEFT($AJ35,3)="COE",$AJ35="EGI"),$AP35,IF($AR35&lt;&gt;"Squad",$AR35,$AP35))))</f>
        <v>Z Supply</v>
      </c>
    </row>
    <row r="36" ht="18" customHeight="1" s="866">
      <c r="A36" s="1155" t="n">
        <v>7001</v>
      </c>
      <c r="B36" s="1156" t="inlineStr">
        <is>
          <t>Joseph Maroun</t>
        </is>
      </c>
      <c r="C36" s="1156" t="inlineStr">
        <is>
          <t>Systems Analyst</t>
        </is>
      </c>
      <c r="D36" s="1156" t="inlineStr">
        <is>
          <t>Tracy Lee Reaper</t>
        </is>
      </c>
      <c r="E36" s="1156" t="inlineStr">
        <is>
          <t>Tech Manager, Merchandising &amp; WFM</t>
        </is>
      </c>
      <c r="F36" s="1157" t="inlineStr">
        <is>
          <t>Ampol Retail &amp; Z</t>
        </is>
      </c>
      <c r="G36" s="1158" t="inlineStr">
        <is>
          <t>Ampol Retail</t>
        </is>
      </c>
      <c r="H36" s="1156" t="inlineStr">
        <is>
          <t>Ampol Retail, Merch &amp; RTA</t>
        </is>
      </c>
      <c r="I36" s="1156" t="inlineStr">
        <is>
          <t>Retail</t>
        </is>
      </c>
      <c r="J36" s="1158" t="inlineStr">
        <is>
          <t>Above Store</t>
        </is>
      </c>
      <c r="K36" s="1156" t="inlineStr">
        <is>
          <t>Above Store</t>
        </is>
      </c>
      <c r="L36" s="1158" t="n"/>
      <c r="M36" s="1159" t="inlineStr">
        <is>
          <t>Australia</t>
        </is>
      </c>
      <c r="N36" s="1162" t="inlineStr">
        <is>
          <t>CIB</t>
        </is>
      </c>
      <c r="O36" s="1162" t="n">
        <v>1</v>
      </c>
      <c r="P36" s="1162" t="n"/>
      <c r="Q36" s="1162" t="inlineStr">
        <is>
          <t>Permanent - Full Time</t>
        </is>
      </c>
      <c r="R36" s="1162" t="n"/>
      <c r="S36" s="1162" t="n"/>
      <c r="T36" s="1163" t="n">
        <v>134270</v>
      </c>
      <c r="U36" s="1164" t="n">
        <v>134270</v>
      </c>
      <c r="V36" s="1166" t="n">
        <v>0.1</v>
      </c>
      <c r="W36" s="1170" t="n">
        <v>0.055</v>
      </c>
      <c r="X36" s="1170" t="n">
        <v>0.12</v>
      </c>
      <c r="Y36" s="1171" t="n"/>
      <c r="Z36" s="1170" t="n">
        <v>0.04</v>
      </c>
      <c r="AA36" s="1168">
        <f>IF(TRIM($B36)="","",IF(N($AU36)&gt;0,$AU36,IF(N($S36)&gt;0,$S36*Lists!$AG$15*(1+N($Z36)),N($U36)*(1+N($V36)+N($W36)+N($X36)+N($Z36))+N($Y36))))</f>
        <v>176565.05</v>
      </c>
      <c r="AJ36" s="865" t="str">
        <f>IF(TRIM($B36)="","",IF(IFERROR(INDEX(Lists!$AO$2:$AO$11,MATCH(ROW(),Lists!$AN$2:$AN$11,0)),"")&lt;&gt;"",IFERROR(INDEX(Lists!$AO$2:$AO$11,MATCH(ROW(),Lists!$AN$2:$AN$11,0)),""),IFERROR(INDEX(Lists!$U:$U,MATCH(TRIM($I36),Lists!$T:$T,0)),TRIM($I36))))</f>
        <v>Ampol Retail</v>
      </c>
      <c r="AK36" s="865" t="str">
        <f>IF(ISNUMBER(SEARCH("vacant",$B36)),"Vacant","Filled")</f>
        <v>Filled</v>
      </c>
      <c r="AL36" s="865" t="str">
        <f>IF($M36="NZ","NZ","AU")</f>
        <v>AU</v>
      </c>
      <c r="AM36" s="865">
        <f>COUNTIF($AJ$2:$AJ36,$AJ36)</f>
        <v>15</v>
      </c>
      <c r="AN36" s="865" t="str">
        <f>$AJ36&amp;"|"&amp;$AM36</f>
        <v>Ampol Retail|15</v>
      </c>
      <c r="AP36" s="865" t="str">
        <f>IF(TRIM($B36)="","",IF($AQ36=1,"Leadership",IFERROR(INDEX(Lists!$X:$X,MATCH(TRIM($K36),Lists!$W:$W,0)),IF(OR(TRIM($K36)="",LOWER(TRIM($K36))="na"),IF(TRIM($G36)="","Unassigned",TRIM($G36)),TRIM($K36)))))</f>
        <v>Above Store</v>
      </c>
      <c r="AQ36" s="865" t="b">
        <f>IF(TRIM($B36)="","",--OR(TRIM($K36)="Leadership",TRIM($J36)="Leadership"))</f>
        <v>0</v>
      </c>
      <c r="AR36" s="1136" t="str">
        <f>IF(TRIM($B36)="","",IF(IFERROR(INDEX(Lists!$AQ$2:$AQ$11,MATCH(ROW(),Lists!$AN$2:$AN$11,0)),"")&lt;&gt;"",IFERROR(INDEX(Lists!$AQ$2:$AQ$11,MATCH(ROW(),Lists!$AN$2:$AN$11,0)),""),IF(ISNUMBER(SEARCH("head of ",$C36)),"Head of Technology",IF(ISNUMBER(SEARCH("TDD BP",$C36)),"Business Partner",IF(OR(ISNUMBER(SEARCH("domain architect",$C36)),ISNUMBER(SEARCH("enterprise architect",$C36))),"Domain Architect",IF(ISNUMBER(SEARCH("delivery man",$C36)),"Delivery Manager",IF(OR(ISNUMBER(SEARCH("technology manager",$C36)),ISNUMBER(SEARCH("technology manger",$C36)),ISNUMBER(SEARCH("tech manager",$C36))),"Technology Manager","Squad")))))))</f>
        <v>Squad</v>
      </c>
      <c r="AS36" s="1136" t="str">
        <f>IF(TRIM($B36)="","",IFERROR(INDEX(Lists!$AA:$AA,MATCH($AP36,Lists!$Z:$Z,0)),$AP36))</f>
        <v>Above Store</v>
      </c>
      <c r="AT36" s="1136" t="str">
        <f>IF(TRIM($B36)="","",IF(IFERROR(INDEX(Lists!$AP$2:$AP$11,MATCH(ROW(),Lists!$AN$2:$AN$11,0)),"")&lt;&gt;"",IFERROR(INDEX(Lists!$AP$2:$AP$11,MATCH(ROW(),Lists!$AN$2:$AN$11,0)),""),IF(OR(LEFT($AJ36,3)="COE",$AJ36="EGI"),$AP36,IF($AR36&lt;&gt;"Squad",$AR36,$AP36))))</f>
        <v>Above Store</v>
      </c>
    </row>
    <row r="37" ht="18" customHeight="1" s="866">
      <c r="A37" s="1155" t="n">
        <v>84413</v>
      </c>
      <c r="B37" s="1156" t="inlineStr">
        <is>
          <t>Karthick Sathiyamoorthy</t>
        </is>
      </c>
      <c r="C37" s="1156" t="inlineStr">
        <is>
          <t>Quality Assurance</t>
        </is>
      </c>
      <c r="D37" s="1158" t="inlineStr">
        <is>
          <t>Vacant</t>
        </is>
      </c>
      <c r="E37" s="1156" t="inlineStr">
        <is>
          <t>Lead Quality Assurance</t>
        </is>
      </c>
      <c r="F37" s="1157" t="inlineStr">
        <is>
          <t>Ampol Retail &amp; Z</t>
        </is>
      </c>
      <c r="G37" s="1158" t="inlineStr">
        <is>
          <t>Ampol Retail</t>
        </is>
      </c>
      <c r="H37" s="1156" t="inlineStr">
        <is>
          <t>Ampol Retail, Store Platforms</t>
        </is>
      </c>
      <c r="I37" s="1156" t="inlineStr">
        <is>
          <t>Retail</t>
        </is>
      </c>
      <c r="J37" s="1158" t="inlineStr">
        <is>
          <t>AMPOS</t>
        </is>
      </c>
      <c r="K37" s="1156" t="inlineStr">
        <is>
          <t>AmPos</t>
        </is>
      </c>
      <c r="L37" s="1158" t="n"/>
      <c r="M37" s="1159" t="inlineStr">
        <is>
          <t>Australia</t>
        </is>
      </c>
      <c r="N37" s="1162" t="inlineStr">
        <is>
          <t>CIA</t>
        </is>
      </c>
      <c r="O37" s="1162" t="n">
        <v>1</v>
      </c>
      <c r="P37" s="1162" t="n"/>
      <c r="Q37" s="1162" t="inlineStr">
        <is>
          <t>Permanent - Full Time</t>
        </is>
      </c>
      <c r="R37" s="1162" t="n"/>
      <c r="S37" s="1162" t="n"/>
      <c r="T37" s="1163" t="n">
        <v>145340</v>
      </c>
      <c r="U37" s="1164" t="n">
        <v>145340</v>
      </c>
      <c r="V37" s="1166" t="n">
        <v>0.12</v>
      </c>
      <c r="W37" s="1170" t="n">
        <v>0.055</v>
      </c>
      <c r="X37" s="1170" t="n">
        <v>0.12</v>
      </c>
      <c r="Y37" s="1171" t="n"/>
      <c r="Z37" s="1170" t="n">
        <v>0.04</v>
      </c>
      <c r="AA37" s="1168">
        <f>IF(TRIM($B37)="","",IF(N($AU37)&gt;0,$AU37,IF(N($S37)&gt;0,$S37*Lists!$AG$15*(1+N($Z37)),N($U37)*(1+N($V37)+N($W37)+N($X37)+N($Z37))+N($Y37))))</f>
        <v>194028.9</v>
      </c>
      <c r="AJ37" s="865" t="str">
        <f>IF(TRIM($B37)="","",IF(IFERROR(INDEX(Lists!$AO$2:$AO$11,MATCH(ROW(),Lists!$AN$2:$AN$11,0)),"")&lt;&gt;"",IFERROR(INDEX(Lists!$AO$2:$AO$11,MATCH(ROW(),Lists!$AN$2:$AN$11,0)),""),IFERROR(INDEX(Lists!$U:$U,MATCH(TRIM($I37),Lists!$T:$T,0)),TRIM($I37))))</f>
        <v>Ampol Retail</v>
      </c>
      <c r="AK37" s="865" t="str">
        <f>IF(ISNUMBER(SEARCH("vacant",$B37)),"Vacant","Filled")</f>
        <v>Filled</v>
      </c>
      <c r="AL37" s="865" t="str">
        <f>IF($M37="NZ","NZ","AU")</f>
        <v>AU</v>
      </c>
      <c r="AM37" s="865">
        <f>COUNTIF($AJ$2:$AJ37,$AJ37)</f>
        <v>16</v>
      </c>
      <c r="AN37" s="865" t="str">
        <f>$AJ37&amp;"|"&amp;$AM37</f>
        <v>Ampol Retail|16</v>
      </c>
      <c r="AP37" s="865" t="str">
        <f>IF(TRIM($B37)="","",IF($AQ37=1,"Leadership",IFERROR(INDEX(Lists!$X:$X,MATCH(TRIM($K37),Lists!$W:$W,0)),IF(OR(TRIM($K37)="",LOWER(TRIM($K37))="na"),IF(TRIM($G37)="","Unassigned",TRIM($G37)),TRIM($K37)))))</f>
        <v>AmPOS</v>
      </c>
      <c r="AQ37" s="865" t="b">
        <f>IF(TRIM($B37)="","",--OR(TRIM($K37)="Leadership",TRIM($J37)="Leadership"))</f>
        <v>0</v>
      </c>
      <c r="AR37" s="1136" t="str">
        <f>IF(TRIM($B37)="","",IF(IFERROR(INDEX(Lists!$AQ$2:$AQ$11,MATCH(ROW(),Lists!$AN$2:$AN$11,0)),"")&lt;&gt;"",IFERROR(INDEX(Lists!$AQ$2:$AQ$11,MATCH(ROW(),Lists!$AN$2:$AN$11,0)),""),IF(ISNUMBER(SEARCH("head of ",$C37)),"Head of Technology",IF(ISNUMBER(SEARCH("TDD BP",$C37)),"Business Partner",IF(OR(ISNUMBER(SEARCH("domain architect",$C37)),ISNUMBER(SEARCH("enterprise architect",$C37))),"Domain Architect",IF(ISNUMBER(SEARCH("delivery man",$C37)),"Delivery Manager",IF(OR(ISNUMBER(SEARCH("technology manager",$C37)),ISNUMBER(SEARCH("technology manger",$C37)),ISNUMBER(SEARCH("tech manager",$C37))),"Technology Manager","Squad")))))))</f>
        <v>Squad</v>
      </c>
      <c r="AS37" s="1136" t="str">
        <f>IF(TRIM($B37)="","",IFERROR(INDEX(Lists!$AA:$AA,MATCH($AP37,Lists!$Z:$Z,0)),$AP37))</f>
        <v>AmPOS</v>
      </c>
      <c r="AT37" s="1136" t="str">
        <f>IF(TRIM($B37)="","",IF(IFERROR(INDEX(Lists!$AP$2:$AP$11,MATCH(ROW(),Lists!$AN$2:$AN$11,0)),"")&lt;&gt;"",IFERROR(INDEX(Lists!$AP$2:$AP$11,MATCH(ROW(),Lists!$AN$2:$AN$11,0)),""),IF(OR(LEFT($AJ37,3)="COE",$AJ37="EGI"),$AP37,IF($AR37&lt;&gt;"Squad",$AR37,$AP37))))</f>
        <v>AmPOS</v>
      </c>
    </row>
    <row r="38" ht="18" customHeight="1" s="866">
      <c r="A38" s="1155" t="n">
        <v>85321</v>
      </c>
      <c r="B38" s="1156" t="inlineStr">
        <is>
          <t>Karthikeyan Kuppan</t>
        </is>
      </c>
      <c r="C38" s="1156" t="inlineStr">
        <is>
          <t>Lead - AU Retail Operations</t>
        </is>
      </c>
      <c r="D38" s="1156" t="inlineStr">
        <is>
          <t>Vaishnavi Viswanathan</t>
        </is>
      </c>
      <c r="E38" s="1156" t="inlineStr">
        <is>
          <t>Technology Manager, Store Platform</t>
        </is>
      </c>
      <c r="F38" s="1157" t="inlineStr">
        <is>
          <t>Ampol Retail &amp; Z</t>
        </is>
      </c>
      <c r="G38" s="1158" t="inlineStr">
        <is>
          <t>Ampol Retail</t>
        </is>
      </c>
      <c r="H38" s="1156" t="inlineStr">
        <is>
          <t>Ampol Retail, Store Platforms</t>
        </is>
      </c>
      <c r="I38" s="1156" t="inlineStr">
        <is>
          <t>Retail</t>
        </is>
      </c>
      <c r="J38" s="1158" t="inlineStr">
        <is>
          <t>Store Operations</t>
        </is>
      </c>
      <c r="K38" s="1156" t="inlineStr">
        <is>
          <t>Store Operations</t>
        </is>
      </c>
      <c r="L38" s="1158" t="n"/>
      <c r="M38" s="1159" t="inlineStr">
        <is>
          <t>Australia</t>
        </is>
      </c>
      <c r="N38" s="1162" t="inlineStr">
        <is>
          <t>CIB</t>
        </is>
      </c>
      <c r="O38" s="1162" t="n">
        <v>1</v>
      </c>
      <c r="P38" s="1160" t="n"/>
      <c r="Q38" s="1161" t="inlineStr">
        <is>
          <t>Permanent - Full Time</t>
        </is>
      </c>
      <c r="R38" s="1162" t="n"/>
      <c r="S38" s="1162" t="n"/>
      <c r="T38" s="1163" t="n">
        <v>212110</v>
      </c>
      <c r="U38" s="1164" t="n">
        <v>195141.2</v>
      </c>
      <c r="V38" s="1165" t="n">
        <v>0.15</v>
      </c>
      <c r="W38" s="1161" t="n"/>
      <c r="X38" s="1166" t="n">
        <v>0.05</v>
      </c>
      <c r="Y38" s="1907" t="n">
        <v>2910</v>
      </c>
      <c r="Z38" s="1166" t="n">
        <v>0.03</v>
      </c>
      <c r="AA38" s="1168">
        <f>IF(TRIM($B38)="","",IF(N($AU38)&gt;0,$AU38,IF(N($S38)&gt;0,$S38*Lists!$AG$15*(1+N($Z38)),N($U38)*(1+N($V38)+N($W38)+N($X38)+N($Z38))+N($Y38))))</f>
        <v>242933.676</v>
      </c>
      <c r="AJ38" s="865" t="str">
        <f>IF(TRIM($B38)="","",IF(IFERROR(INDEX(Lists!$AO$2:$AO$11,MATCH(ROW(),Lists!$AN$2:$AN$11,0)),"")&lt;&gt;"",IFERROR(INDEX(Lists!$AO$2:$AO$11,MATCH(ROW(),Lists!$AN$2:$AN$11,0)),""),IFERROR(INDEX(Lists!$U:$U,MATCH(TRIM($I38),Lists!$T:$T,0)),TRIM($I38))))</f>
        <v>Ampol Retail</v>
      </c>
      <c r="AK38" s="865" t="str">
        <f>IF(ISNUMBER(SEARCH("vacant",$B38)),"Vacant","Filled")</f>
        <v>Filled</v>
      </c>
      <c r="AL38" s="865" t="str">
        <f>IF($M38="NZ","NZ","AU")</f>
        <v>AU</v>
      </c>
      <c r="AM38" s="865">
        <f>COUNTIF($AJ$2:$AJ38,$AJ38)</f>
        <v>17</v>
      </c>
      <c r="AN38" s="865" t="str">
        <f>$AJ38&amp;"|"&amp;$AM38</f>
        <v>Ampol Retail|17</v>
      </c>
      <c r="AP38" s="865" t="str">
        <f>IF(TRIM($B38)="","",IF($AQ38=1,"Leadership",IFERROR(INDEX(Lists!$X:$X,MATCH(TRIM($K38),Lists!$W:$W,0)),IF(OR(TRIM($K38)="",LOWER(TRIM($K38))="na"),IF(TRIM($G38)="","Unassigned",TRIM($G38)),TRIM($K38)))))</f>
        <v>Store Operations</v>
      </c>
      <c r="AQ38" s="865" t="b">
        <f>IF(TRIM($B38)="","",--OR(TRIM($K38)="Leadership",TRIM($J38)="Leadership"))</f>
        <v>0</v>
      </c>
      <c r="AR38" s="1136" t="str">
        <f>IF(TRIM($B38)="","",IF(IFERROR(INDEX(Lists!$AQ$2:$AQ$11,MATCH(ROW(),Lists!$AN$2:$AN$11,0)),"")&lt;&gt;"",IFERROR(INDEX(Lists!$AQ$2:$AQ$11,MATCH(ROW(),Lists!$AN$2:$AN$11,0)),""),IF(ISNUMBER(SEARCH("head of ",$C38)),"Head of Technology",IF(ISNUMBER(SEARCH("TDD BP",$C38)),"Business Partner",IF(OR(ISNUMBER(SEARCH("domain architect",$C38)),ISNUMBER(SEARCH("enterprise architect",$C38))),"Domain Architect",IF(ISNUMBER(SEARCH("delivery man",$C38)),"Delivery Manager",IF(OR(ISNUMBER(SEARCH("technology manager",$C38)),ISNUMBER(SEARCH("technology manger",$C38)),ISNUMBER(SEARCH("tech manager",$C38))),"Technology Manager","Squad")))))))</f>
        <v>Squad</v>
      </c>
      <c r="AS38" s="1136" t="str">
        <f>IF(TRIM($B38)="","",IFERROR(INDEX(Lists!$AA:$AA,MATCH($AP38,Lists!$Z:$Z,0)),$AP38))</f>
        <v>Store Operations</v>
      </c>
      <c r="AT38" s="1136" t="str">
        <f>IF(TRIM($B38)="","",IF(IFERROR(INDEX(Lists!$AP$2:$AP$11,MATCH(ROW(),Lists!$AN$2:$AN$11,0)),"")&lt;&gt;"",IFERROR(INDEX(Lists!$AP$2:$AP$11,MATCH(ROW(),Lists!$AN$2:$AN$11,0)),""),IF(OR(LEFT($AJ38,3)="COE",$AJ38="EGI"),$AP38,IF($AR38&lt;&gt;"Squad",$AR38,$AP38))))</f>
        <v>Store Operations</v>
      </c>
    </row>
    <row r="39" ht="18" customHeight="1" s="866">
      <c r="A39" s="1155" t="n">
        <v>99999101804</v>
      </c>
      <c r="B39" s="1199" t="inlineStr">
        <is>
          <t>Kate Johnstone</t>
        </is>
      </c>
      <c r="C39" s="1158" t="inlineStr">
        <is>
          <t>Program Manager POS</t>
        </is>
      </c>
      <c r="D39" s="1156" t="inlineStr">
        <is>
          <t>Vance Anderson</t>
        </is>
      </c>
      <c r="E39" s="1158" t="inlineStr">
        <is>
          <t>GM TDD, Ampol Retail &amp; Z</t>
        </is>
      </c>
      <c r="F39" s="1157" t="inlineStr">
        <is>
          <t>Ampol Retail &amp; Z</t>
        </is>
      </c>
      <c r="G39" s="1158" t="inlineStr">
        <is>
          <t>Program Management</t>
        </is>
      </c>
      <c r="H39" s="1156" t="n"/>
      <c r="I39" s="1156" t="inlineStr">
        <is>
          <t>Retail</t>
        </is>
      </c>
      <c r="J39" s="1158" t="inlineStr">
        <is>
          <t>AMPOS</t>
        </is>
      </c>
      <c r="K39" s="1156" t="inlineStr">
        <is>
          <t>AmPos</t>
        </is>
      </c>
      <c r="L39" s="1158" t="n"/>
      <c r="M39" s="1159" t="inlineStr">
        <is>
          <t>NZ</t>
        </is>
      </c>
      <c r="N39" s="1160" t="inlineStr">
        <is>
          <t>CSB</t>
        </is>
      </c>
      <c r="O39" s="1161" t="n">
        <v>1</v>
      </c>
      <c r="P39" s="1160" t="n"/>
      <c r="Q39" s="1161" t="inlineStr">
        <is>
          <t>Permanent - Full Time</t>
        </is>
      </c>
      <c r="R39" s="1162" t="n"/>
      <c r="S39" s="1162" t="n"/>
      <c r="T39" s="1163" t="n">
        <v>175960</v>
      </c>
      <c r="U39" s="1164" t="n">
        <v>161883.2</v>
      </c>
      <c r="V39" s="1165" t="n">
        <v>0.15</v>
      </c>
      <c r="W39" s="1161" t="n"/>
      <c r="X39" s="1166" t="n">
        <v>0.05</v>
      </c>
      <c r="Y39" s="1907" t="n">
        <v>2910</v>
      </c>
      <c r="Z39" s="1166" t="n">
        <v>0.03</v>
      </c>
      <c r="AA39" s="1168">
        <f>IF(TRIM($B39)="","",IF(N($AU39)&gt;0,$AU39,IF(N($S39)&gt;0,$S39*Lists!$AG$15*(1+N($Z39)),N($U39)*(1+N($V39)+N($W39)+N($X39)+N($Z39))+N($Y39))))</f>
        <v>202026.336</v>
      </c>
      <c r="AJ39" s="865" t="str">
        <f>IF(TRIM($B39)="","",IF(IFERROR(INDEX(Lists!$AO$2:$AO$11,MATCH(ROW(),Lists!$AN$2:$AN$11,0)),"")&lt;&gt;"",IFERROR(INDEX(Lists!$AO$2:$AO$11,MATCH(ROW(),Lists!$AN$2:$AN$11,0)),""),IFERROR(INDEX(Lists!$U:$U,MATCH(TRIM($I39),Lists!$T:$T,0)),TRIM($I39))))</f>
        <v>Ampol Retail</v>
      </c>
      <c r="AK39" s="865" t="str">
        <f>IF(ISNUMBER(SEARCH("vacant",$B39)),"Vacant","Filled")</f>
        <v>Filled</v>
      </c>
      <c r="AL39" s="865" t="str">
        <f>IF($M39="NZ","NZ","AU")</f>
        <v>NZ</v>
      </c>
      <c r="AM39" s="865">
        <f>COUNTIF($AJ$2:$AJ39,$AJ39)</f>
        <v>18</v>
      </c>
      <c r="AN39" s="865" t="str">
        <f>$AJ39&amp;"|"&amp;$AM39</f>
        <v>Ampol Retail|18</v>
      </c>
      <c r="AP39" s="865" t="str">
        <f>IF(TRIM($B39)="","",IF($AQ39=1,"Leadership",IFERROR(INDEX(Lists!$X:$X,MATCH(TRIM($K39),Lists!$W:$W,0)),IF(OR(TRIM($K39)="",LOWER(TRIM($K39))="na"),IF(TRIM($G39)="","Unassigned",TRIM($G39)),TRIM($K39)))))</f>
        <v>AmPOS</v>
      </c>
      <c r="AQ39" s="865" t="b">
        <f>IF(TRIM($B39)="","",--OR(TRIM($K39)="Leadership",TRIM($J39)="Leadership"))</f>
        <v>0</v>
      </c>
      <c r="AR39" s="1136" t="str">
        <f>IF(TRIM($B39)="","",IF(IFERROR(INDEX(Lists!$AQ$2:$AQ$11,MATCH(ROW(),Lists!$AN$2:$AN$11,0)),"")&lt;&gt;"",IFERROR(INDEX(Lists!$AQ$2:$AQ$11,MATCH(ROW(),Lists!$AN$2:$AN$11,0)),""),IF(ISNUMBER(SEARCH("head of ",$C39)),"Head of Technology",IF(ISNUMBER(SEARCH("TDD BP",$C39)),"Business Partner",IF(OR(ISNUMBER(SEARCH("domain architect",$C39)),ISNUMBER(SEARCH("enterprise architect",$C39))),"Domain Architect",IF(ISNUMBER(SEARCH("delivery man",$C39)),"Delivery Manager",IF(OR(ISNUMBER(SEARCH("technology manager",$C39)),ISNUMBER(SEARCH("technology manger",$C39)),ISNUMBER(SEARCH("tech manager",$C39))),"Technology Manager","Squad")))))))</f>
        <v>Squad</v>
      </c>
      <c r="AS39" s="1136" t="str">
        <f>IF(TRIM($B39)="","",IFERROR(INDEX(Lists!$AA:$AA,MATCH($AP39,Lists!$Z:$Z,0)),$AP39))</f>
        <v>AmPOS</v>
      </c>
      <c r="AT39" s="1136" t="str">
        <f>IF(TRIM($B39)="","",IF(IFERROR(INDEX(Lists!$AP$2:$AP$11,MATCH(ROW(),Lists!$AN$2:$AN$11,0)),"")&lt;&gt;"",IFERROR(INDEX(Lists!$AP$2:$AP$11,MATCH(ROW(),Lists!$AN$2:$AN$11,0)),""),IF(OR(LEFT($AJ39,3)="COE",$AJ39="EGI"),$AP39,IF($AR39&lt;&gt;"Squad",$AR39,$AP39))))</f>
        <v>AmPOS</v>
      </c>
    </row>
    <row r="40" ht="18" customHeight="1" s="866">
      <c r="A40" s="1155" t="n">
        <v>99999100476</v>
      </c>
      <c r="B40" s="1156" t="inlineStr">
        <is>
          <t>Kelly Russell</t>
        </is>
      </c>
      <c r="C40" s="1156" t="inlineStr">
        <is>
          <t>Lead Quality Assurance</t>
        </is>
      </c>
      <c r="D40" s="1156" t="inlineStr">
        <is>
          <t>Callan McLaughlin</t>
        </is>
      </c>
      <c r="E40" s="1156" t="inlineStr">
        <is>
          <t>Technology Manager,  Site Systems</t>
        </is>
      </c>
      <c r="F40" s="1157" t="inlineStr">
        <is>
          <t>Ampol Retail &amp; Z</t>
        </is>
      </c>
      <c r="G40" s="1158" t="inlineStr">
        <is>
          <t>Z &amp; Group Retail</t>
        </is>
      </c>
      <c r="H40" s="1156" t="inlineStr">
        <is>
          <t>Z &amp; Group Retail, Site Systems</t>
        </is>
      </c>
      <c r="I40" s="1156" t="inlineStr">
        <is>
          <t>Z</t>
        </is>
      </c>
      <c r="J40" s="1158" t="inlineStr">
        <is>
          <t>Z Customer</t>
        </is>
      </c>
      <c r="K40" s="1156" t="inlineStr">
        <is>
          <t>Site Systems</t>
        </is>
      </c>
      <c r="L40" s="1158" t="n"/>
      <c r="M40" s="1159" t="inlineStr">
        <is>
          <t>NZ</t>
        </is>
      </c>
      <c r="N40" s="1160" t="inlineStr">
        <is>
          <t>CIC</t>
        </is>
      </c>
      <c r="O40" s="1161" t="n">
        <v>1</v>
      </c>
      <c r="P40" s="1160" t="n"/>
      <c r="Q40" s="1161" t="inlineStr">
        <is>
          <t>Permanent - Full Time</t>
        </is>
      </c>
      <c r="R40" s="1162" t="n"/>
      <c r="S40" s="1162" t="n"/>
      <c r="T40" s="1163" t="n">
        <v>72000</v>
      </c>
      <c r="U40" s="1164" t="n">
        <v>66240</v>
      </c>
      <c r="V40" s="1165" t="n">
        <v>0.1</v>
      </c>
      <c r="W40" s="1162" t="n"/>
      <c r="X40" s="1166" t="n">
        <v>0.05</v>
      </c>
      <c r="Y40" s="1907" t="n">
        <v>2910</v>
      </c>
      <c r="Z40" s="1166" t="n">
        <v>0.03</v>
      </c>
      <c r="AA40" s="1168">
        <f>IF(TRIM($B40)="","",IF(N($AU40)&gt;0,$AU40,IF(N($S40)&gt;0,$S40*Lists!$AG$15*(1+N($Z40)),N($U40)*(1+N($V40)+N($W40)+N($X40)+N($Z40))+N($Y40))))</f>
        <v>81073.2</v>
      </c>
      <c r="AJ40" s="865" t="str">
        <f>IF(TRIM($B40)="","",IF(IFERROR(INDEX(Lists!$AO$2:$AO$11,MATCH(ROW(),Lists!$AN$2:$AN$11,0)),"")&lt;&gt;"",IFERROR(INDEX(Lists!$AO$2:$AO$11,MATCH(ROW(),Lists!$AN$2:$AN$11,0)),""),IFERROR(INDEX(Lists!$U:$U,MATCH(TRIM($I40),Lists!$T:$T,0)),TRIM($I40))))</f>
        <v>Z Retail</v>
      </c>
      <c r="AK40" s="865" t="str">
        <f>IF(ISNUMBER(SEARCH("vacant",$B40)),"Vacant","Filled")</f>
        <v>Filled</v>
      </c>
      <c r="AL40" s="865" t="str">
        <f>IF($M40="NZ","NZ","AU")</f>
        <v>NZ</v>
      </c>
      <c r="AM40" s="865">
        <f>COUNTIF($AJ$2:$AJ40,$AJ40)</f>
        <v>21</v>
      </c>
      <c r="AN40" s="865" t="str">
        <f>$AJ40&amp;"|"&amp;$AM40</f>
        <v>Z Retail|21</v>
      </c>
      <c r="AP40" s="865" t="str">
        <f>IF(TRIM($B40)="","",IF($AQ40=1,"Leadership",IFERROR(INDEX(Lists!$X:$X,MATCH(TRIM($K40),Lists!$W:$W,0)),IF(OR(TRIM($K40)="",LOWER(TRIM($K40))="na"),IF(TRIM($G40)="","Unassigned",TRIM($G40)),TRIM($K40)))))</f>
        <v>Site Systems</v>
      </c>
      <c r="AQ40" s="865" t="b">
        <f>IF(TRIM($B40)="","",--OR(TRIM($K40)="Leadership",TRIM($J40)="Leadership"))</f>
        <v>0</v>
      </c>
      <c r="AR40" s="1136" t="str">
        <f>IF(TRIM($B40)="","",IF(IFERROR(INDEX(Lists!$AQ$2:$AQ$11,MATCH(ROW(),Lists!$AN$2:$AN$11,0)),"")&lt;&gt;"",IFERROR(INDEX(Lists!$AQ$2:$AQ$11,MATCH(ROW(),Lists!$AN$2:$AN$11,0)),""),IF(ISNUMBER(SEARCH("head of ",$C40)),"Head of Technology",IF(ISNUMBER(SEARCH("TDD BP",$C40)),"Business Partner",IF(OR(ISNUMBER(SEARCH("domain architect",$C40)),ISNUMBER(SEARCH("enterprise architect",$C40))),"Domain Architect",IF(ISNUMBER(SEARCH("delivery man",$C40)),"Delivery Manager",IF(OR(ISNUMBER(SEARCH("technology manager",$C40)),ISNUMBER(SEARCH("technology manger",$C40)),ISNUMBER(SEARCH("tech manager",$C40))),"Technology Manager","Squad")))))))</f>
        <v>Squad</v>
      </c>
      <c r="AS40" s="1136" t="str">
        <f>IF(TRIM($B40)="","",IFERROR(INDEX(Lists!$AA:$AA,MATCH($AP40,Lists!$Z:$Z,0)),$AP40))</f>
        <v>Site Systems</v>
      </c>
      <c r="AT40" s="1136" t="str">
        <f>IF(TRIM($B40)="","",IF(IFERROR(INDEX(Lists!$AP$2:$AP$11,MATCH(ROW(),Lists!$AN$2:$AN$11,0)),"")&lt;&gt;"",IFERROR(INDEX(Lists!$AP$2:$AP$11,MATCH(ROW(),Lists!$AN$2:$AN$11,0)),""),IF(OR(LEFT($AJ40,3)="COE",$AJ40="EGI"),$AP40,IF($AR40&lt;&gt;"Squad",$AR40,$AP40))))</f>
        <v>Site Systems</v>
      </c>
    </row>
    <row r="41" ht="18" customHeight="1" s="866">
      <c r="A41" s="1155" t="n">
        <v>99999102028</v>
      </c>
      <c r="B41" s="1156" t="inlineStr">
        <is>
          <t>Lauren Lancaster</t>
        </is>
      </c>
      <c r="C41" s="1156" t="inlineStr">
        <is>
          <t>Associate Engineer - Software</t>
        </is>
      </c>
      <c r="D41" s="1156" t="inlineStr">
        <is>
          <t>Vacant</t>
        </is>
      </c>
      <c r="E41" s="1156" t="inlineStr">
        <is>
          <t>Technology Manager, Engineering</t>
        </is>
      </c>
      <c r="F41" s="1157" t="inlineStr">
        <is>
          <t>Ampol Retail &amp; Z</t>
        </is>
      </c>
      <c r="G41" s="1156" t="inlineStr">
        <is>
          <t>Z &amp; Group Retail</t>
        </is>
      </c>
      <c r="H41" s="1156" t="inlineStr">
        <is>
          <t>Z &amp; Group Retail, Engineering</t>
        </is>
      </c>
      <c r="I41" s="1156" t="inlineStr">
        <is>
          <t>Z</t>
        </is>
      </c>
      <c r="J41" s="1156" t="inlineStr">
        <is>
          <t>Z Customer</t>
        </is>
      </c>
      <c r="K41" s="1156" t="inlineStr">
        <is>
          <t xml:space="preserve">Z Retail Backend </t>
        </is>
      </c>
      <c r="L41" s="1158" t="n"/>
      <c r="M41" s="1159" t="inlineStr">
        <is>
          <t>NZ</t>
        </is>
      </c>
      <c r="N41" s="1160" t="inlineStr">
        <is>
          <t>CDA</t>
        </is>
      </c>
      <c r="O41" s="1161" t="n">
        <v>1</v>
      </c>
      <c r="P41" s="1160" t="n"/>
      <c r="Q41" s="1160" t="inlineStr">
        <is>
          <t>Permanent - Full Time</t>
        </is>
      </c>
      <c r="R41" s="1162" t="n"/>
      <c r="S41" s="1162" t="n"/>
      <c r="T41" s="1163" t="n">
        <v>310000</v>
      </c>
      <c r="U41" s="1164" t="n">
        <v>310000</v>
      </c>
      <c r="V41" s="1166" t="n">
        <v>0.2</v>
      </c>
      <c r="W41" s="1170" t="n">
        <v>0.055</v>
      </c>
      <c r="X41" s="1170" t="n">
        <v>0.12</v>
      </c>
      <c r="Y41" s="1171" t="n"/>
      <c r="Z41" s="1170" t="n">
        <v>0.04</v>
      </c>
      <c r="AA41" s="1168">
        <f>IF(TRIM($B41)="","",IF(N($AU41)&gt;0,$AU41,IF(N($S41)&gt;0,$S41*Lists!$AG$15*(1+N($Z41)),N($U41)*(1+N($V41)+N($W41)+N($X41)+N($Z41))+N($Y41))))</f>
        <v>438650</v>
      </c>
      <c r="AJ41" s="865" t="str">
        <f>IF(TRIM($B41)="","",IF(IFERROR(INDEX(Lists!$AO$2:$AO$11,MATCH(ROW(),Lists!$AN$2:$AN$11,0)),"")&lt;&gt;"",IFERROR(INDEX(Lists!$AO$2:$AO$11,MATCH(ROW(),Lists!$AN$2:$AN$11,0)),""),IFERROR(INDEX(Lists!$U:$U,MATCH(TRIM($I41),Lists!$T:$T,0)),TRIM($I41))))</f>
        <v>Z Retail</v>
      </c>
      <c r="AK41" s="865" t="str">
        <f>IF(ISNUMBER(SEARCH("vacant",$B41)),"Vacant","Filled")</f>
        <v>Filled</v>
      </c>
      <c r="AL41" s="865" t="str">
        <f>IF($M41="NZ","NZ","AU")</f>
        <v>NZ</v>
      </c>
      <c r="AM41" s="865">
        <f>COUNTIF($AJ$2:$AJ41,$AJ41)</f>
        <v>22</v>
      </c>
      <c r="AN41" s="865" t="str">
        <f>$AJ41&amp;"|"&amp;$AM41</f>
        <v>Z Retail|22</v>
      </c>
      <c r="AP41" s="865" t="str">
        <f>IF(TRIM($B41)="","",IF($AQ41=1,"Leadership",IFERROR(INDEX(Lists!$X:$X,MATCH(TRIM($K41),Lists!$W:$W,0)),IF(OR(TRIM($K41)="",LOWER(TRIM($K41))="na"),IF(TRIM($G41)="","Unassigned",TRIM($G41)),TRIM($K41)))))</f>
        <v>Z Retail Backend</v>
      </c>
      <c r="AQ41" s="865" t="b">
        <f>IF(TRIM($B41)="","",--OR(TRIM($K41)="Leadership",TRIM($J41)="Leadership"))</f>
        <v>0</v>
      </c>
      <c r="AR41" s="1136" t="str">
        <f>IF(TRIM($B41)="","",IF(IFERROR(INDEX(Lists!$AQ$2:$AQ$11,MATCH(ROW(),Lists!$AN$2:$AN$11,0)),"")&lt;&gt;"",IFERROR(INDEX(Lists!$AQ$2:$AQ$11,MATCH(ROW(),Lists!$AN$2:$AN$11,0)),""),IF(ISNUMBER(SEARCH("head of ",$C41)),"Head of Technology",IF(ISNUMBER(SEARCH("TDD BP",$C41)),"Business Partner",IF(OR(ISNUMBER(SEARCH("domain architect",$C41)),ISNUMBER(SEARCH("enterprise architect",$C41))),"Domain Architect",IF(ISNUMBER(SEARCH("delivery man",$C41)),"Delivery Manager",IF(OR(ISNUMBER(SEARCH("technology manager",$C41)),ISNUMBER(SEARCH("technology manger",$C41)),ISNUMBER(SEARCH("tech manager",$C41))),"Technology Manager","Squad")))))))</f>
        <v>Squad</v>
      </c>
      <c r="AS41" s="1136" t="str">
        <f>IF(TRIM($B41)="","",IFERROR(INDEX(Lists!$AA:$AA,MATCH($AP41,Lists!$Z:$Z,0)),$AP41))</f>
        <v>Z Retail Backend</v>
      </c>
      <c r="AT41" s="1136" t="str">
        <f>IF(TRIM($B41)="","",IF(IFERROR(INDEX(Lists!$AP$2:$AP$11,MATCH(ROW(),Lists!$AN$2:$AN$11,0)),"")&lt;&gt;"",IFERROR(INDEX(Lists!$AP$2:$AP$11,MATCH(ROW(),Lists!$AN$2:$AN$11,0)),""),IF(OR(LEFT($AJ41,3)="COE",$AJ41="EGI"),$AP41,IF($AR41&lt;&gt;"Squad",$AR41,$AP41))))</f>
        <v>Z Retail Backend</v>
      </c>
    </row>
    <row r="42" ht="18" customHeight="1" s="866">
      <c r="A42" s="1155" t="n">
        <v>110852</v>
      </c>
      <c r="B42" s="1156" t="inlineStr">
        <is>
          <t>Madan Murthy</t>
        </is>
      </c>
      <c r="C42" s="1156" t="inlineStr">
        <is>
          <t>Head of Technology, AU Retail</t>
        </is>
      </c>
      <c r="D42" s="1156" t="inlineStr">
        <is>
          <t>Vance Anderson</t>
        </is>
      </c>
      <c r="E42" s="1158" t="inlineStr">
        <is>
          <t>GM TDD, Ampol Retail &amp; Z</t>
        </is>
      </c>
      <c r="F42" s="1157" t="inlineStr">
        <is>
          <t>Ampol Retail &amp; Z</t>
        </is>
      </c>
      <c r="G42" s="1158" t="inlineStr">
        <is>
          <t>Ampol Retail</t>
        </is>
      </c>
      <c r="H42" s="1156" t="inlineStr">
        <is>
          <t>na</t>
        </is>
      </c>
      <c r="I42" s="1156" t="inlineStr">
        <is>
          <t>Retail</t>
        </is>
      </c>
      <c r="J42" s="1156" t="inlineStr">
        <is>
          <t>(All Retail)</t>
        </is>
      </c>
      <c r="K42" s="1158" t="inlineStr">
        <is>
          <t>Leadership</t>
        </is>
      </c>
      <c r="L42" s="1158" t="n"/>
      <c r="M42" s="1159" t="inlineStr">
        <is>
          <t>Australia</t>
        </is>
      </c>
      <c r="N42" s="1160" t="inlineStr">
        <is>
          <t>CSC</t>
        </is>
      </c>
      <c r="O42" s="1160" t="n">
        <v>1</v>
      </c>
      <c r="P42" s="1162" t="n"/>
      <c r="Q42" s="1162" t="inlineStr">
        <is>
          <t>Permanent - Full Time</t>
        </is>
      </c>
      <c r="R42" s="1162" t="n"/>
      <c r="S42" s="1162" t="n"/>
      <c r="T42" s="1163" t="n">
        <v>139350</v>
      </c>
      <c r="U42" s="1164" t="n">
        <v>139350</v>
      </c>
      <c r="V42" s="1166" t="n">
        <v>0.12</v>
      </c>
      <c r="W42" s="1170" t="n">
        <v>0.055</v>
      </c>
      <c r="X42" s="1170" t="n">
        <v>0.12</v>
      </c>
      <c r="Y42" s="1171" t="n"/>
      <c r="Z42" s="1170" t="n">
        <v>0.04</v>
      </c>
      <c r="AA42" s="1168">
        <f>IF(TRIM($B42)="","",IF(N($AU42)&gt;0,$AU42,IF(N($S42)&gt;0,$S42*Lists!$AG$15*(1+N($Z42)),N($U42)*(1+N($V42)+N($W42)+N($X42)+N($Z42))+N($Y42))))</f>
        <v>186032.25</v>
      </c>
      <c r="AJ42" s="865" t="str">
        <f>IF(TRIM($B42)="","",IF(IFERROR(INDEX(Lists!$AO$2:$AO$11,MATCH(ROW(),Lists!$AN$2:$AN$11,0)),"")&lt;&gt;"",IFERROR(INDEX(Lists!$AO$2:$AO$11,MATCH(ROW(),Lists!$AN$2:$AN$11,0)),""),IFERROR(INDEX(Lists!$U:$U,MATCH(TRIM($I42),Lists!$T:$T,0)),TRIM($I42))))</f>
        <v>Ampol Retail</v>
      </c>
      <c r="AK42" s="865" t="str">
        <f>IF(ISNUMBER(SEARCH("vacant",$B42)),"Vacant","Filled")</f>
        <v>Filled</v>
      </c>
      <c r="AL42" s="865" t="str">
        <f>IF($M42="NZ","NZ","AU")</f>
        <v>AU</v>
      </c>
      <c r="AM42" s="865">
        <f>COUNTIF($AJ$2:$AJ42,$AJ42)</f>
        <v>19</v>
      </c>
      <c r="AN42" s="865" t="str">
        <f>$AJ42&amp;"|"&amp;$AM42</f>
        <v>Ampol Retail|19</v>
      </c>
      <c r="AP42" s="1136" t="str">
        <f>IF(TRIM($B42)="","",IF($AQ42=1,"Leadership",IFERROR(INDEX(Lists!$X:$X,MATCH(TRIM($K42),Lists!$W:$W,0)),IF(OR(TRIM($K42)="",LOWER(TRIM($K42))="na"),IF(TRIM($G42)="","Unassigned",TRIM($G42)),TRIM($K42)))))</f>
        <v>Leadership</v>
      </c>
      <c r="AQ42" s="865" t="b">
        <f>IF(TRIM($B42)="","",--OR(TRIM($K42)="Leadership",TRIM($J42)="Leadership"))</f>
        <v>1</v>
      </c>
      <c r="AR42" s="1136" t="str">
        <f>IF(TRIM($B42)="","",IF(IFERROR(INDEX(Lists!$AQ$2:$AQ$11,MATCH(ROW(),Lists!$AN$2:$AN$11,0)),"")&lt;&gt;"",IFERROR(INDEX(Lists!$AQ$2:$AQ$11,MATCH(ROW(),Lists!$AN$2:$AN$11,0)),""),IF(ISNUMBER(SEARCH("head of ",$C42)),"Head of Technology",IF(ISNUMBER(SEARCH("TDD BP",$C42)),"Business Partner",IF(OR(ISNUMBER(SEARCH("domain architect",$C42)),ISNUMBER(SEARCH("enterprise architect",$C42))),"Domain Architect",IF(ISNUMBER(SEARCH("delivery man",$C42)),"Delivery Manager",IF(OR(ISNUMBER(SEARCH("technology manager",$C42)),ISNUMBER(SEARCH("technology manger",$C42)),ISNUMBER(SEARCH("tech manager",$C42))),"Technology Manager","Squad")))))))</f>
        <v>Head of Technology</v>
      </c>
      <c r="AS42" s="1136" t="str">
        <f>IF(TRIM($B42)="","",IFERROR(INDEX(Lists!$AA:$AA,MATCH($AP42,Lists!$Z:$Z,0)),$AP42))</f>
        <v>Leadership</v>
      </c>
      <c r="AT42" s="1136" t="str">
        <f>IF(TRIM($B42)="","",IF(IFERROR(INDEX(Lists!$AP$2:$AP$11,MATCH(ROW(),Lists!$AN$2:$AN$11,0)),"")&lt;&gt;"",IFERROR(INDEX(Lists!$AP$2:$AP$11,MATCH(ROW(),Lists!$AN$2:$AN$11,0)),""),IF(OR(LEFT($AJ42,3)="COE",$AJ42="EGI"),$AP42,IF($AR42&lt;&gt;"Squad",$AR42,$AP42))))</f>
        <v>Head of Technology</v>
      </c>
    </row>
    <row r="43" ht="18" customHeight="1" s="866">
      <c r="A43" s="1155" t="n">
        <v>86743</v>
      </c>
      <c r="B43" s="1156" t="inlineStr">
        <is>
          <t>Majdi Abedi</t>
        </is>
      </c>
      <c r="C43" s="1156" t="inlineStr">
        <is>
          <t>Systems Analyst</t>
        </is>
      </c>
      <c r="D43" s="1156" t="inlineStr">
        <is>
          <t>Tracy Lee Reaper</t>
        </is>
      </c>
      <c r="E43" s="1156" t="inlineStr">
        <is>
          <t>Tech Manager, Merchandising &amp; WFM</t>
        </is>
      </c>
      <c r="F43" s="1157" t="inlineStr">
        <is>
          <t>Ampol Retail &amp; Z</t>
        </is>
      </c>
      <c r="G43" s="1158" t="inlineStr">
        <is>
          <t>Ampol Retail</t>
        </is>
      </c>
      <c r="H43" s="1156" t="inlineStr">
        <is>
          <t>Ampol Retail, Merch &amp; RTA</t>
        </is>
      </c>
      <c r="I43" s="1156" t="inlineStr">
        <is>
          <t>Retail</t>
        </is>
      </c>
      <c r="J43" s="1158" t="inlineStr">
        <is>
          <t>Above Store</t>
        </is>
      </c>
      <c r="K43" s="1158" t="inlineStr">
        <is>
          <t>Above Store</t>
        </is>
      </c>
      <c r="L43" s="1158" t="n"/>
      <c r="M43" s="1159" t="inlineStr">
        <is>
          <t>Australia</t>
        </is>
      </c>
      <c r="N43" s="1162" t="inlineStr">
        <is>
          <t>CIB</t>
        </is>
      </c>
      <c r="O43" s="1162" t="n">
        <v>1</v>
      </c>
      <c r="P43" s="1160" t="n"/>
      <c r="Q43" s="1161" t="inlineStr">
        <is>
          <t>Permanent - Full Time</t>
        </is>
      </c>
      <c r="R43" s="1162" t="n"/>
      <c r="S43" s="1162" t="n"/>
      <c r="T43" s="1163" t="n">
        <v>116170</v>
      </c>
      <c r="U43" s="1164" t="n">
        <v>106876.4</v>
      </c>
      <c r="V43" s="1165" t="n">
        <v>0.15</v>
      </c>
      <c r="W43" s="1162" t="n"/>
      <c r="X43" s="1166" t="n">
        <v>0.05</v>
      </c>
      <c r="Y43" s="1907" t="n">
        <v>2910</v>
      </c>
      <c r="Z43" s="1166" t="n">
        <v>0.03</v>
      </c>
      <c r="AA43" s="1168">
        <f>IF(TRIM($B43)="","",IF(N($AU43)&gt;0,$AU43,IF(N($S43)&gt;0,$S43*Lists!$AG$15*(1+N($Z43)),N($U43)*(1+N($V43)+N($W43)+N($X43)+N($Z43))+N($Y43))))</f>
        <v>134367.972</v>
      </c>
      <c r="AJ43" s="865" t="str">
        <f>IF(TRIM($B43)="","",IF(IFERROR(INDEX(Lists!$AO$2:$AO$11,MATCH(ROW(),Lists!$AN$2:$AN$11,0)),"")&lt;&gt;"",IFERROR(INDEX(Lists!$AO$2:$AO$11,MATCH(ROW(),Lists!$AN$2:$AN$11,0)),""),IFERROR(INDEX(Lists!$U:$U,MATCH(TRIM($I43),Lists!$T:$T,0)),TRIM($I43))))</f>
        <v>Ampol Retail</v>
      </c>
      <c r="AK43" s="865" t="str">
        <f>IF(ISNUMBER(SEARCH("vacant",$B43)),"Vacant","Filled")</f>
        <v>Filled</v>
      </c>
      <c r="AL43" s="865" t="str">
        <f>IF($M43="NZ","NZ","AU")</f>
        <v>AU</v>
      </c>
      <c r="AM43" s="865">
        <f>COUNTIF($AJ$2:$AJ43,$AJ43)</f>
        <v>20</v>
      </c>
      <c r="AN43" s="865" t="str">
        <f>$AJ43&amp;"|"&amp;$AM43</f>
        <v>Ampol Retail|20</v>
      </c>
      <c r="AP43" s="865" t="str">
        <f>IF(TRIM($B43)="","",IF($AQ43=1,"Leadership",IFERROR(INDEX(Lists!$X:$X,MATCH(TRIM($K43),Lists!$W:$W,0)),IF(OR(TRIM($K43)="",LOWER(TRIM($K43))="na"),IF(TRIM($G43)="","Unassigned",TRIM($G43)),TRIM($K43)))))</f>
        <v>Above Store</v>
      </c>
      <c r="AQ43" s="865" t="b">
        <f>IF(TRIM($B43)="","",--OR(TRIM($K43)="Leadership",TRIM($J43)="Leadership"))</f>
        <v>0</v>
      </c>
      <c r="AR43" s="1136" t="str">
        <f>IF(TRIM($B43)="","",IF(IFERROR(INDEX(Lists!$AQ$2:$AQ$11,MATCH(ROW(),Lists!$AN$2:$AN$11,0)),"")&lt;&gt;"",IFERROR(INDEX(Lists!$AQ$2:$AQ$11,MATCH(ROW(),Lists!$AN$2:$AN$11,0)),""),IF(ISNUMBER(SEARCH("head of ",$C43)),"Head of Technology",IF(ISNUMBER(SEARCH("TDD BP",$C43)),"Business Partner",IF(OR(ISNUMBER(SEARCH("domain architect",$C43)),ISNUMBER(SEARCH("enterprise architect",$C43))),"Domain Architect",IF(ISNUMBER(SEARCH("delivery man",$C43)),"Delivery Manager",IF(OR(ISNUMBER(SEARCH("technology manager",$C43)),ISNUMBER(SEARCH("technology manger",$C43)),ISNUMBER(SEARCH("tech manager",$C43))),"Technology Manager","Squad")))))))</f>
        <v>Squad</v>
      </c>
      <c r="AS43" s="1136" t="str">
        <f>IF(TRIM($B43)="","",IFERROR(INDEX(Lists!$AA:$AA,MATCH($AP43,Lists!$Z:$Z,0)),$AP43))</f>
        <v>Above Store</v>
      </c>
      <c r="AT43" s="1136" t="str">
        <f>IF(TRIM($B43)="","",IF(IFERROR(INDEX(Lists!$AP$2:$AP$11,MATCH(ROW(),Lists!$AN$2:$AN$11,0)),"")&lt;&gt;"",IFERROR(INDEX(Lists!$AP$2:$AP$11,MATCH(ROW(),Lists!$AN$2:$AN$11,0)),""),IF(OR(LEFT($AJ43,3)="COE",$AJ43="EGI"),$AP43,IF($AR43&lt;&gt;"Squad",$AR43,$AP43))))</f>
        <v>Above Store</v>
      </c>
    </row>
    <row r="44" ht="18" customHeight="1" s="866">
      <c r="A44" s="1155" t="n">
        <v>99999101222</v>
      </c>
      <c r="B44" s="1156" t="inlineStr">
        <is>
          <t>Malachi Ah Hoi</t>
        </is>
      </c>
      <c r="C44" s="1156" t="inlineStr">
        <is>
          <t>Senior Quality Assurance</t>
        </is>
      </c>
      <c r="D44" s="1156" t="inlineStr">
        <is>
          <t>Vacant</t>
        </is>
      </c>
      <c r="E44" s="1156" t="inlineStr">
        <is>
          <t>Technology Manager, Engineering</t>
        </is>
      </c>
      <c r="F44" s="1157" t="inlineStr">
        <is>
          <t>Ampol Retail &amp; Z</t>
        </is>
      </c>
      <c r="G44" s="1156" t="inlineStr">
        <is>
          <t>Z &amp; Group Retail</t>
        </is>
      </c>
      <c r="H44" s="1156" t="inlineStr">
        <is>
          <t>Z &amp; Group Retail, Engineering</t>
        </is>
      </c>
      <c r="I44" s="1156" t="inlineStr">
        <is>
          <t>Z</t>
        </is>
      </c>
      <c r="J44" s="1156" t="inlineStr">
        <is>
          <t>Z Customer</t>
        </is>
      </c>
      <c r="K44" s="1156" t="inlineStr">
        <is>
          <t xml:space="preserve">Z Retail Backend </t>
        </is>
      </c>
      <c r="L44" s="1158" t="n"/>
      <c r="M44" s="1159" t="inlineStr">
        <is>
          <t>NZ</t>
        </is>
      </c>
      <c r="N44" s="1160" t="inlineStr">
        <is>
          <t>CIA</t>
        </is>
      </c>
      <c r="O44" s="1161" t="n">
        <v>1</v>
      </c>
      <c r="P44" s="1160" t="n"/>
      <c r="Q44" s="1161" t="inlineStr">
        <is>
          <t>Permanent - Full Time</t>
        </is>
      </c>
      <c r="R44" s="1162" t="n"/>
      <c r="S44" s="1162" t="n"/>
      <c r="T44" s="1163" t="n">
        <v>173620</v>
      </c>
      <c r="U44" s="1164" t="n">
        <v>159730.4</v>
      </c>
      <c r="V44" s="1165" t="n">
        <v>0.15</v>
      </c>
      <c r="W44" s="1200" t="n"/>
      <c r="X44" s="1166" t="n">
        <v>0.05</v>
      </c>
      <c r="Y44" s="1907" t="n">
        <v>2910</v>
      </c>
      <c r="Z44" s="1166" t="n">
        <v>0.03</v>
      </c>
      <c r="AA44" s="1168">
        <f>IF(TRIM($B44)="","",IF(N($AU44)&gt;0,$AU44,IF(N($S44)&gt;0,$S44*Lists!$AG$15*(1+N($Z44)),N($U44)*(1+N($V44)+N($W44)+N($X44)+N($Z44))+N($Y44))))</f>
        <v>199378.392</v>
      </c>
      <c r="AJ44" s="865" t="str">
        <f>IF(TRIM($B44)="","",IF(IFERROR(INDEX(Lists!$AO$2:$AO$11,MATCH(ROW(),Lists!$AN$2:$AN$11,0)),"")&lt;&gt;"",IFERROR(INDEX(Lists!$AO$2:$AO$11,MATCH(ROW(),Lists!$AN$2:$AN$11,0)),""),IFERROR(INDEX(Lists!$U:$U,MATCH(TRIM($I44),Lists!$T:$T,0)),TRIM($I44))))</f>
        <v>Z Retail</v>
      </c>
      <c r="AK44" s="865" t="str">
        <f>IF(ISNUMBER(SEARCH("vacant",$B44)),"Vacant","Filled")</f>
        <v>Filled</v>
      </c>
      <c r="AL44" s="865" t="str">
        <f>IF($M44="NZ","NZ","AU")</f>
        <v>NZ</v>
      </c>
      <c r="AM44" s="865">
        <f>COUNTIF($AJ$2:$AJ44,$AJ44)</f>
        <v>23</v>
      </c>
      <c r="AN44" s="865" t="str">
        <f>$AJ44&amp;"|"&amp;$AM44</f>
        <v>Z Retail|23</v>
      </c>
      <c r="AP44" s="865" t="str">
        <f>IF(TRIM($B44)="","",IF($AQ44=1,"Leadership",IFERROR(INDEX(Lists!$X:$X,MATCH(TRIM($K44),Lists!$W:$W,0)),IF(OR(TRIM($K44)="",LOWER(TRIM($K44))="na"),IF(TRIM($G44)="","Unassigned",TRIM($G44)),TRIM($K44)))))</f>
        <v>Z Retail Backend</v>
      </c>
      <c r="AQ44" s="865" t="b">
        <f>IF(TRIM($B44)="","",--OR(TRIM($K44)="Leadership",TRIM($J44)="Leadership"))</f>
        <v>0</v>
      </c>
      <c r="AR44" s="1136" t="str">
        <f>IF(TRIM($B44)="","",IF(IFERROR(INDEX(Lists!$AQ$2:$AQ$11,MATCH(ROW(),Lists!$AN$2:$AN$11,0)),"")&lt;&gt;"",IFERROR(INDEX(Lists!$AQ$2:$AQ$11,MATCH(ROW(),Lists!$AN$2:$AN$11,0)),""),IF(ISNUMBER(SEARCH("head of ",$C44)),"Head of Technology",IF(ISNUMBER(SEARCH("TDD BP",$C44)),"Business Partner",IF(OR(ISNUMBER(SEARCH("domain architect",$C44)),ISNUMBER(SEARCH("enterprise architect",$C44))),"Domain Architect",IF(ISNUMBER(SEARCH("delivery man",$C44)),"Delivery Manager",IF(OR(ISNUMBER(SEARCH("technology manager",$C44)),ISNUMBER(SEARCH("technology manger",$C44)),ISNUMBER(SEARCH("tech manager",$C44))),"Technology Manager","Squad")))))))</f>
        <v>Squad</v>
      </c>
      <c r="AS44" s="1136" t="str">
        <f>IF(TRIM($B44)="","",IFERROR(INDEX(Lists!$AA:$AA,MATCH($AP44,Lists!$Z:$Z,0)),$AP44))</f>
        <v>Z Retail Backend</v>
      </c>
      <c r="AT44" s="1136" t="str">
        <f>IF(TRIM($B44)="","",IF(IFERROR(INDEX(Lists!$AP$2:$AP$11,MATCH(ROW(),Lists!$AN$2:$AN$11,0)),"")&lt;&gt;"",IFERROR(INDEX(Lists!$AP$2:$AP$11,MATCH(ROW(),Lists!$AN$2:$AN$11,0)),""),IF(OR(LEFT($AJ44,3)="COE",$AJ44="EGI"),$AP44,IF($AR44&lt;&gt;"Squad",$AR44,$AP44))))</f>
        <v>Z Retail Backend</v>
      </c>
    </row>
    <row r="45" ht="18" customHeight="1" s="866">
      <c r="A45" s="1155" t="inlineStr">
        <is>
          <t>V</t>
        </is>
      </c>
      <c r="B45" s="1156" t="inlineStr">
        <is>
          <t>Manjot Kaur Malli</t>
        </is>
      </c>
      <c r="C45" s="1156" t="inlineStr">
        <is>
          <t>Technology Manager, Data</t>
        </is>
      </c>
      <c r="D45" s="1158" t="inlineStr">
        <is>
          <t>Vacant</t>
        </is>
      </c>
      <c r="E45" s="1156" t="inlineStr">
        <is>
          <t>Head of Technology, Z and Group Retail Platforms</t>
        </is>
      </c>
      <c r="F45" s="1157" t="inlineStr">
        <is>
          <t>Ampol Retail &amp; Z</t>
        </is>
      </c>
      <c r="G45" s="1158" t="inlineStr">
        <is>
          <t>Z &amp; Group Retail</t>
        </is>
      </c>
      <c r="H45" s="1156" t="inlineStr">
        <is>
          <t>Z &amp; Group Retail, Data</t>
        </is>
      </c>
      <c r="I45" s="1156" t="inlineStr">
        <is>
          <t>Z</t>
        </is>
      </c>
      <c r="J45" s="1156" t="inlineStr">
        <is>
          <t>Z Customer &amp; Z Supply</t>
        </is>
      </c>
      <c r="K45" s="1158" t="inlineStr">
        <is>
          <t>Leadership</t>
        </is>
      </c>
      <c r="L45" s="1158" t="n"/>
      <c r="M45" s="1159" t="inlineStr">
        <is>
          <t>Australia</t>
        </is>
      </c>
      <c r="N45" s="1160" t="inlineStr">
        <is>
          <t>CSB</t>
        </is>
      </c>
      <c r="O45" s="1160" t="n">
        <v>1</v>
      </c>
      <c r="P45" s="1160" t="n"/>
      <c r="Q45" s="1160" t="inlineStr">
        <is>
          <t>v</t>
        </is>
      </c>
      <c r="R45" s="1162" t="n"/>
      <c r="S45" s="1162" t="n"/>
      <c r="T45" s="1163" t="n">
        <v>203550</v>
      </c>
      <c r="U45" s="1164" t="n">
        <v>203550</v>
      </c>
      <c r="V45" s="1166" t="n">
        <v>0.14</v>
      </c>
      <c r="W45" s="1170" t="n">
        <v>0.055</v>
      </c>
      <c r="X45" s="1170" t="n">
        <v>0.12</v>
      </c>
      <c r="Y45" s="1171" t="n"/>
      <c r="Z45" s="1170" t="n">
        <v>0.04</v>
      </c>
      <c r="AA45" s="1168">
        <f>IF(TRIM($B45)="","",IF(N($AU45)&gt;0,$AU45,IF(N($S45)&gt;0,$S45*Lists!$AG$15*(1+N($Z45)),N($U45)*(1+N($V45)+N($W45)+N($X45)+N($Z45))+N($Y45))))</f>
        <v>275810.25</v>
      </c>
      <c r="AJ45" s="865" t="str">
        <f>IF(TRIM($B45)="","",IF(IFERROR(INDEX(Lists!$AO$2:$AO$11,MATCH(ROW(),Lists!$AN$2:$AN$11,0)),"")&lt;&gt;"",IFERROR(INDEX(Lists!$AO$2:$AO$11,MATCH(ROW(),Lists!$AN$2:$AN$11,0)),""),IFERROR(INDEX(Lists!$U:$U,MATCH(TRIM($I45),Lists!$T:$T,0)),TRIM($I45))))</f>
        <v>Z Retail</v>
      </c>
      <c r="AK45" s="865" t="str">
        <f>IF(ISNUMBER(SEARCH("vacant",$B45)),"Vacant","Filled")</f>
        <v>Filled</v>
      </c>
      <c r="AL45" s="865" t="str">
        <f>IF($M45="NZ","NZ","AU")</f>
        <v>AU</v>
      </c>
      <c r="AM45" s="865">
        <f>COUNTIF($AJ$2:$AJ45,$AJ45)</f>
        <v>24</v>
      </c>
      <c r="AN45" s="865" t="str">
        <f>$AJ45&amp;"|"&amp;$AM45</f>
        <v>Z Retail|24</v>
      </c>
      <c r="AP45" s="1136" t="str">
        <f>IF(TRIM($B45)="","",IF($AQ45=1,"Leadership",IFERROR(INDEX(Lists!$X:$X,MATCH(TRIM($K45),Lists!$W:$W,0)),IF(OR(TRIM($K45)="",LOWER(TRIM($K45))="na"),IF(TRIM($G45)="","Unassigned",TRIM($G45)),TRIM($K45)))))</f>
        <v>Leadership</v>
      </c>
      <c r="AQ45" s="865" t="b">
        <f>IF(TRIM($B45)="","",--OR(TRIM($K45)="Leadership",TRIM($J45)="Leadership"))</f>
        <v>1</v>
      </c>
      <c r="AR45" s="1136" t="str">
        <f>IF(TRIM($B45)="","",IF(IFERROR(INDEX(Lists!$AQ$2:$AQ$11,MATCH(ROW(),Lists!$AN$2:$AN$11,0)),"")&lt;&gt;"",IFERROR(INDEX(Lists!$AQ$2:$AQ$11,MATCH(ROW(),Lists!$AN$2:$AN$11,0)),""),IF(ISNUMBER(SEARCH("head of ",$C45)),"Head of Technology",IF(ISNUMBER(SEARCH("TDD BP",$C45)),"Business Partner",IF(OR(ISNUMBER(SEARCH("domain architect",$C45)),ISNUMBER(SEARCH("enterprise architect",$C45))),"Domain Architect",IF(ISNUMBER(SEARCH("delivery man",$C45)),"Delivery Manager",IF(OR(ISNUMBER(SEARCH("technology manager",$C45)),ISNUMBER(SEARCH("technology manger",$C45)),ISNUMBER(SEARCH("tech manager",$C45))),"Technology Manager","Squad")))))))</f>
        <v>Technology Manager</v>
      </c>
      <c r="AS45" s="1136" t="str">
        <f>IF(TRIM($B45)="","",IFERROR(INDEX(Lists!$AA:$AA,MATCH($AP45,Lists!$Z:$Z,0)),$AP45))</f>
        <v>Leadership</v>
      </c>
      <c r="AT45" s="1136" t="str">
        <f>IF(TRIM($B45)="","",IF(IFERROR(INDEX(Lists!$AP$2:$AP$11,MATCH(ROW(),Lists!$AN$2:$AN$11,0)),"")&lt;&gt;"",IFERROR(INDEX(Lists!$AP$2:$AP$11,MATCH(ROW(),Lists!$AN$2:$AN$11,0)),""),IF(OR(LEFT($AJ45,3)="COE",$AJ45="EGI"),$AP45,IF($AR45&lt;&gt;"Squad",$AR45,$AP45))))</f>
        <v>Technology Manager</v>
      </c>
    </row>
    <row r="46" ht="18" customHeight="1" s="866">
      <c r="A46" s="1155" t="n">
        <v>99999170431</v>
      </c>
      <c r="B46" s="1156" t="inlineStr">
        <is>
          <t>Mark Dickson</t>
        </is>
      </c>
      <c r="C46" s="1156" t="inlineStr">
        <is>
          <t>Delivery Lead</t>
        </is>
      </c>
      <c r="D46" s="1158" t="inlineStr">
        <is>
          <t>Vacant</t>
        </is>
      </c>
      <c r="E46" s="1156" t="inlineStr">
        <is>
          <t>Delivery Manager, Z and Retail Data</t>
        </is>
      </c>
      <c r="F46" s="1157" t="inlineStr">
        <is>
          <t>Ampol Retail &amp; Z</t>
        </is>
      </c>
      <c r="G46" s="1158" t="inlineStr">
        <is>
          <t>Z &amp; Group Retail</t>
        </is>
      </c>
      <c r="H46" s="1156" t="inlineStr">
        <is>
          <t>Z &amp; Group Retail, Delivery</t>
        </is>
      </c>
      <c r="I46" s="1156" t="inlineStr">
        <is>
          <t>Z</t>
        </is>
      </c>
      <c r="J46" s="1156" t="inlineStr">
        <is>
          <t>Z Customer</t>
        </is>
      </c>
      <c r="K46" s="1156" t="inlineStr">
        <is>
          <t xml:space="preserve">Z Retail Backend </t>
        </is>
      </c>
      <c r="L46" s="1158" t="n"/>
      <c r="M46" s="1159" t="inlineStr">
        <is>
          <t>NZ</t>
        </is>
      </c>
      <c r="N46" s="1160" t="inlineStr">
        <is>
          <t>CIC</t>
        </is>
      </c>
      <c r="O46" s="1161" t="n">
        <v>1</v>
      </c>
      <c r="P46" s="1160" t="n"/>
      <c r="Q46" s="1160" t="inlineStr">
        <is>
          <t>Permanent - Full Time</t>
        </is>
      </c>
      <c r="R46" s="1162" t="n"/>
      <c r="S46" s="1162" t="n"/>
      <c r="T46" s="1163" t="n">
        <v>135000</v>
      </c>
      <c r="U46" s="1164" t="n">
        <v>135000</v>
      </c>
      <c r="V46" s="1166" t="n">
        <v>0.12</v>
      </c>
      <c r="W46" s="1170" t="n">
        <v>0.055</v>
      </c>
      <c r="X46" s="1170" t="n">
        <v>0.12</v>
      </c>
      <c r="Y46" s="1171" t="n"/>
      <c r="Z46" s="1170" t="n">
        <v>0.04</v>
      </c>
      <c r="AA46" s="1168">
        <f>IF(TRIM($B46)="","",IF(N($AU46)&gt;0,$AU46,IF(N($S46)&gt;0,$S46*Lists!$AG$15*(1+N($Z46)),N($U46)*(1+N($V46)+N($W46)+N($X46)+N($Z46))+N($Y46))))</f>
        <v>180225</v>
      </c>
      <c r="AJ46" s="865" t="str">
        <f>IF(TRIM($B46)="","",IF(IFERROR(INDEX(Lists!$AO$2:$AO$11,MATCH(ROW(),Lists!$AN$2:$AN$11,0)),"")&lt;&gt;"",IFERROR(INDEX(Lists!$AO$2:$AO$11,MATCH(ROW(),Lists!$AN$2:$AN$11,0)),""),IFERROR(INDEX(Lists!$U:$U,MATCH(TRIM($I46),Lists!$T:$T,0)),TRIM($I46))))</f>
        <v>Z Retail</v>
      </c>
      <c r="AK46" s="865" t="str">
        <f>IF(ISNUMBER(SEARCH("vacant",$B46)),"Vacant","Filled")</f>
        <v>Filled</v>
      </c>
      <c r="AL46" s="865" t="str">
        <f>IF($M46="NZ","NZ","AU")</f>
        <v>NZ</v>
      </c>
      <c r="AM46" s="865">
        <f>COUNTIF($AJ$2:$AJ46,$AJ46)</f>
        <v>25</v>
      </c>
      <c r="AN46" s="865" t="str">
        <f>$AJ46&amp;"|"&amp;$AM46</f>
        <v>Z Retail|25</v>
      </c>
      <c r="AP46" s="865" t="str">
        <f>IF(TRIM($B46)="","",IF($AQ46=1,"Leadership",IFERROR(INDEX(Lists!$X:$X,MATCH(TRIM($K46),Lists!$W:$W,0)),IF(OR(TRIM($K46)="",LOWER(TRIM($K46))="na"),IF(TRIM($G46)="","Unassigned",TRIM($G46)),TRIM($K46)))))</f>
        <v>Z Retail Backend</v>
      </c>
      <c r="AQ46" s="865" t="b">
        <f>IF(TRIM($B46)="","",--OR(TRIM($K46)="Leadership",TRIM($J46)="Leadership"))</f>
        <v>0</v>
      </c>
      <c r="AR46" s="1136" t="str">
        <f>IF(TRIM($B46)="","",IF(IFERROR(INDEX(Lists!$AQ$2:$AQ$11,MATCH(ROW(),Lists!$AN$2:$AN$11,0)),"")&lt;&gt;"",IFERROR(INDEX(Lists!$AQ$2:$AQ$11,MATCH(ROW(),Lists!$AN$2:$AN$11,0)),""),IF(ISNUMBER(SEARCH("head of ",$C46)),"Head of Technology",IF(ISNUMBER(SEARCH("TDD BP",$C46)),"Business Partner",IF(OR(ISNUMBER(SEARCH("domain architect",$C46)),ISNUMBER(SEARCH("enterprise architect",$C46))),"Domain Architect",IF(ISNUMBER(SEARCH("delivery man",$C46)),"Delivery Manager",IF(OR(ISNUMBER(SEARCH("technology manager",$C46)),ISNUMBER(SEARCH("technology manger",$C46)),ISNUMBER(SEARCH("tech manager",$C46))),"Technology Manager","Squad")))))))</f>
        <v>Squad</v>
      </c>
      <c r="AS46" s="1136" t="str">
        <f>IF(TRIM($B46)="","",IFERROR(INDEX(Lists!$AA:$AA,MATCH($AP46,Lists!$Z:$Z,0)),$AP46))</f>
        <v>Z Retail Backend</v>
      </c>
      <c r="AT46" s="1136" t="str">
        <f>IF(TRIM($B46)="","",IF(IFERROR(INDEX(Lists!$AP$2:$AP$11,MATCH(ROW(),Lists!$AN$2:$AN$11,0)),"")&lt;&gt;"",IFERROR(INDEX(Lists!$AP$2:$AP$11,MATCH(ROW(),Lists!$AN$2:$AN$11,0)),""),IF(OR(LEFT($AJ46,3)="COE",$AJ46="EGI"),$AP46,IF($AR46&lt;&gt;"Squad",$AR46,$AP46))))</f>
        <v>Z Retail Backend</v>
      </c>
    </row>
    <row r="47" ht="18" customHeight="1" s="866">
      <c r="A47" s="1155" t="n">
        <v>114616</v>
      </c>
      <c r="B47" s="1156" t="inlineStr">
        <is>
          <t>Marty O'Shea</t>
        </is>
      </c>
      <c r="C47" s="1156" t="inlineStr">
        <is>
          <t>Systems Analyst</t>
        </is>
      </c>
      <c r="D47" s="1156" t="inlineStr">
        <is>
          <t>Vedran Jukic</t>
        </is>
      </c>
      <c r="E47" s="1156" t="inlineStr">
        <is>
          <t>Technology Manager, Retail</t>
        </is>
      </c>
      <c r="F47" s="1157" t="inlineStr">
        <is>
          <t>Ampol Retail &amp; Z</t>
        </is>
      </c>
      <c r="G47" s="1158" t="inlineStr">
        <is>
          <t>Ampol Retail</t>
        </is>
      </c>
      <c r="H47" s="1156" t="inlineStr">
        <is>
          <t>Ampol Retail, Technology</t>
        </is>
      </c>
      <c r="I47" s="1156" t="inlineStr">
        <is>
          <t>Ampol Retail</t>
        </is>
      </c>
      <c r="J47" s="1158" t="inlineStr">
        <is>
          <t>EGI</t>
        </is>
      </c>
      <c r="K47" s="1156" t="inlineStr">
        <is>
          <t>EGI Retail</t>
        </is>
      </c>
      <c r="L47" s="1158" t="n"/>
      <c r="M47" s="1159" t="inlineStr">
        <is>
          <t>Australia</t>
        </is>
      </c>
      <c r="N47" s="1160" t="inlineStr">
        <is>
          <t>CIB</t>
        </is>
      </c>
      <c r="O47" s="1160" t="n">
        <v>1</v>
      </c>
      <c r="P47" s="1160" t="n"/>
      <c r="Q47" s="1160" t="inlineStr">
        <is>
          <t>Permanent - Full Time</t>
        </is>
      </c>
      <c r="R47" s="1162" t="n"/>
      <c r="S47" s="1162" t="n"/>
      <c r="T47" s="1163" t="n">
        <v>185140</v>
      </c>
      <c r="U47" s="1164" t="n">
        <v>185140</v>
      </c>
      <c r="V47" s="1166" t="n">
        <v>0.12</v>
      </c>
      <c r="W47" s="1170" t="n">
        <v>0.055</v>
      </c>
      <c r="X47" s="1170" t="n">
        <v>0.12</v>
      </c>
      <c r="Y47" s="1171" t="n"/>
      <c r="Z47" s="1170" t="n">
        <v>0.04</v>
      </c>
      <c r="AA47" s="1168">
        <f>IF(TRIM($B47)="","",IF(N($AU47)&gt;0,$AU47,IF(N($S47)&gt;0,$S47*Lists!$AG$15*(1+N($Z47)),N($U47)*(1+N($V47)+N($W47)+N($X47)+N($Z47))+N($Y47))))</f>
        <v>247161.9</v>
      </c>
      <c r="AJ47" s="865" t="str">
        <f>IF(TRIM($B47)="","",IF(IFERROR(INDEX(Lists!$AO$2:$AO$11,MATCH(ROW(),Lists!$AN$2:$AN$11,0)),"")&lt;&gt;"",IFERROR(INDEX(Lists!$AO$2:$AO$11,MATCH(ROW(),Lists!$AN$2:$AN$11,0)),""),IFERROR(INDEX(Lists!$U:$U,MATCH(TRIM($I47),Lists!$T:$T,0)),TRIM($I47))))</f>
        <v>Ampol Retail</v>
      </c>
      <c r="AK47" s="865" t="str">
        <f>IF(ISNUMBER(SEARCH("vacant",$B47)),"Vacant","Filled")</f>
        <v>Filled</v>
      </c>
      <c r="AL47" s="865" t="str">
        <f>IF($M47="NZ","NZ","AU")</f>
        <v>AU</v>
      </c>
      <c r="AM47" s="865">
        <f>COUNTIF($AJ$2:$AJ47,$AJ47)</f>
        <v>21</v>
      </c>
      <c r="AN47" s="865" t="str">
        <f>$AJ47&amp;"|"&amp;$AM47</f>
        <v>Ampol Retail|21</v>
      </c>
      <c r="AP47" s="865" t="str">
        <f>IF(TRIM($B47)="","",IF($AQ47=1,"Leadership",IFERROR(INDEX(Lists!$X:$X,MATCH(TRIM($K47),Lists!$W:$W,0)),IF(OR(TRIM($K47)="",LOWER(TRIM($K47))="na"),IF(TRIM($G47)="","Unassigned",TRIM($G47)),TRIM($K47)))))</f>
        <v>EGI Retail</v>
      </c>
      <c r="AQ47" s="865" t="b">
        <f>IF(TRIM($B47)="","",--OR(TRIM($K47)="Leadership",TRIM($J47)="Leadership"))</f>
        <v>0</v>
      </c>
      <c r="AR47" s="1136" t="str">
        <f>IF(TRIM($B47)="","",IF(IFERROR(INDEX(Lists!$AQ$2:$AQ$11,MATCH(ROW(),Lists!$AN$2:$AN$11,0)),"")&lt;&gt;"",IFERROR(INDEX(Lists!$AQ$2:$AQ$11,MATCH(ROW(),Lists!$AN$2:$AN$11,0)),""),IF(ISNUMBER(SEARCH("head of ",$C47)),"Head of Technology",IF(ISNUMBER(SEARCH("TDD BP",$C47)),"Business Partner",IF(OR(ISNUMBER(SEARCH("domain architect",$C47)),ISNUMBER(SEARCH("enterprise architect",$C47))),"Domain Architect",IF(ISNUMBER(SEARCH("delivery man",$C47)),"Delivery Manager",IF(OR(ISNUMBER(SEARCH("technology manager",$C47)),ISNUMBER(SEARCH("technology manger",$C47)),ISNUMBER(SEARCH("tech manager",$C47))),"Technology Manager","Squad")))))))</f>
        <v>Squad</v>
      </c>
      <c r="AS47" s="1136" t="str">
        <f>IF(TRIM($B47)="","",IFERROR(INDEX(Lists!$AA:$AA,MATCH($AP47,Lists!$Z:$Z,0)),$AP47))</f>
        <v>EGI Retail</v>
      </c>
      <c r="AT47" s="1136" t="str">
        <f>IF(TRIM($B47)="","",IF(IFERROR(INDEX(Lists!$AP$2:$AP$11,MATCH(ROW(),Lists!$AN$2:$AN$11,0)),"")&lt;&gt;"",IFERROR(INDEX(Lists!$AP$2:$AP$11,MATCH(ROW(),Lists!$AN$2:$AN$11,0)),""),IF(OR(LEFT($AJ47,3)="COE",$AJ47="EGI"),$AP47,IF($AR47&lt;&gt;"Squad",$AR47,$AP47))))</f>
        <v>EGI Retail</v>
      </c>
    </row>
    <row r="48" ht="18" customHeight="1" s="866">
      <c r="A48" s="1155" t="n">
        <v>111835</v>
      </c>
      <c r="B48" s="1156" t="inlineStr">
        <is>
          <t>Matthew Patane</t>
        </is>
      </c>
      <c r="C48" s="1156" t="inlineStr">
        <is>
          <t>Release &amp; Deployment Manager</t>
        </is>
      </c>
      <c r="D48" s="1156" t="inlineStr">
        <is>
          <t>Vedran Jukic</t>
        </is>
      </c>
      <c r="E48" s="1156" t="inlineStr">
        <is>
          <t>Technology Manager, Retail</t>
        </is>
      </c>
      <c r="F48" s="1157" t="inlineStr">
        <is>
          <t>Ampol Retail &amp; Z</t>
        </is>
      </c>
      <c r="G48" s="1158" t="inlineStr">
        <is>
          <t>Ampol Retail</t>
        </is>
      </c>
      <c r="H48" s="1156" t="inlineStr">
        <is>
          <t>Ampol Retail, Technology</t>
        </is>
      </c>
      <c r="I48" s="1156" t="inlineStr">
        <is>
          <t>Retail</t>
        </is>
      </c>
      <c r="J48" s="1158" t="inlineStr">
        <is>
          <t>Store Operations</t>
        </is>
      </c>
      <c r="K48" s="1156" t="inlineStr">
        <is>
          <t>Deployment</t>
        </is>
      </c>
      <c r="L48" s="1158" t="n"/>
      <c r="M48" s="1159" t="inlineStr">
        <is>
          <t>Australia</t>
        </is>
      </c>
      <c r="N48" s="1160" t="inlineStr">
        <is>
          <t>CIC</t>
        </is>
      </c>
      <c r="O48" s="1160" t="n">
        <v>1</v>
      </c>
      <c r="P48" s="1160" t="n"/>
      <c r="Q48" s="1161" t="inlineStr">
        <is>
          <t>Permanent - Full Time</t>
        </is>
      </c>
      <c r="R48" s="1162" t="n"/>
      <c r="S48" s="1162" t="n"/>
      <c r="T48" s="1163" t="n">
        <v>118020</v>
      </c>
      <c r="U48" s="1164" t="n">
        <v>108578.4</v>
      </c>
      <c r="V48" s="1165" t="n">
        <v>0.15</v>
      </c>
      <c r="W48" s="1162" t="n"/>
      <c r="X48" s="1166" t="n">
        <v>0.05</v>
      </c>
      <c r="Y48" s="1907" t="n">
        <v>2910</v>
      </c>
      <c r="Z48" s="1166" t="n">
        <v>0.03</v>
      </c>
      <c r="AA48" s="1168">
        <f>IF(TRIM($B48)="","",IF(N($AU48)&gt;0,$AU48,IF(N($S48)&gt;0,$S48*Lists!$AG$15*(1+N($Z48)),N($U48)*(1+N($V48)+N($W48)+N($X48)+N($Z48))+N($Y48))))</f>
        <v>136461.432</v>
      </c>
      <c r="AJ48" s="865" t="str">
        <f>IF(TRIM($B48)="","",IF(IFERROR(INDEX(Lists!$AO$2:$AO$11,MATCH(ROW(),Lists!$AN$2:$AN$11,0)),"")&lt;&gt;"",IFERROR(INDEX(Lists!$AO$2:$AO$11,MATCH(ROW(),Lists!$AN$2:$AN$11,0)),""),IFERROR(INDEX(Lists!$U:$U,MATCH(TRIM($I48),Lists!$T:$T,0)),TRIM($I48))))</f>
        <v>Ampol Retail</v>
      </c>
      <c r="AK48" s="865" t="str">
        <f>IF(ISNUMBER(SEARCH("vacant",$B48)),"Vacant","Filled")</f>
        <v>Filled</v>
      </c>
      <c r="AL48" s="865" t="str">
        <f>IF($M48="NZ","NZ","AU")</f>
        <v>AU</v>
      </c>
      <c r="AM48" s="865">
        <f>COUNTIF($AJ$2:$AJ48,$AJ48)</f>
        <v>22</v>
      </c>
      <c r="AN48" s="865" t="str">
        <f>$AJ48&amp;"|"&amp;$AM48</f>
        <v>Ampol Retail|22</v>
      </c>
      <c r="AP48" s="865" t="str">
        <f>IF(TRIM($B48)="","",IF($AQ48=1,"Leadership",IFERROR(INDEX(Lists!$X:$X,MATCH(TRIM($K48),Lists!$W:$W,0)),IF(OR(TRIM($K48)="",LOWER(TRIM($K48))="na"),IF(TRIM($G48)="","Unassigned",TRIM($G48)),TRIM($K48)))))</f>
        <v>Deployment</v>
      </c>
      <c r="AQ48" s="865" t="b">
        <f>IF(TRIM($B48)="","",--OR(TRIM($K48)="Leadership",TRIM($J48)="Leadership"))</f>
        <v>0</v>
      </c>
      <c r="AR48" s="1136" t="str">
        <f>IF(TRIM($B48)="","",IF(IFERROR(INDEX(Lists!$AQ$2:$AQ$11,MATCH(ROW(),Lists!$AN$2:$AN$11,0)),"")&lt;&gt;"",IFERROR(INDEX(Lists!$AQ$2:$AQ$11,MATCH(ROW(),Lists!$AN$2:$AN$11,0)),""),IF(ISNUMBER(SEARCH("head of ",$C48)),"Head of Technology",IF(ISNUMBER(SEARCH("TDD BP",$C48)),"Business Partner",IF(OR(ISNUMBER(SEARCH("domain architect",$C48)),ISNUMBER(SEARCH("enterprise architect",$C48))),"Domain Architect",IF(ISNUMBER(SEARCH("delivery man",$C48)),"Delivery Manager",IF(OR(ISNUMBER(SEARCH("technology manager",$C48)),ISNUMBER(SEARCH("technology manger",$C48)),ISNUMBER(SEARCH("tech manager",$C48))),"Technology Manager","Squad")))))))</f>
        <v>Squad</v>
      </c>
      <c r="AS48" s="1136" t="str">
        <f>IF(TRIM($B48)="","",IFERROR(INDEX(Lists!$AA:$AA,MATCH($AP48,Lists!$Z:$Z,0)),$AP48))</f>
        <v>Deployment</v>
      </c>
      <c r="AT48" s="1136" t="str">
        <f>IF(TRIM($B48)="","",IF(IFERROR(INDEX(Lists!$AP$2:$AP$11,MATCH(ROW(),Lists!$AN$2:$AN$11,0)),"")&lt;&gt;"",IFERROR(INDEX(Lists!$AP$2:$AP$11,MATCH(ROW(),Lists!$AN$2:$AN$11,0)),""),IF(OR(LEFT($AJ48,3)="COE",$AJ48="EGI"),$AP48,IF($AR48&lt;&gt;"Squad",$AR48,$AP48))))</f>
        <v>Deployment</v>
      </c>
    </row>
    <row r="49" ht="18" customHeight="1" s="866">
      <c r="A49" s="1155" t="n">
        <v>99999101668</v>
      </c>
      <c r="B49" s="1156" t="inlineStr">
        <is>
          <t>McKenzie Tournquist</t>
        </is>
      </c>
      <c r="C49" s="1156" t="inlineStr">
        <is>
          <t>Data Analyst</t>
        </is>
      </c>
      <c r="D49" s="1158" t="inlineStr">
        <is>
          <t>Vacant</t>
        </is>
      </c>
      <c r="E49" s="1156" t="inlineStr">
        <is>
          <t>Technology Manager, Data</t>
        </is>
      </c>
      <c r="F49" s="1157" t="inlineStr">
        <is>
          <t>Ampol Retail &amp; Z</t>
        </is>
      </c>
      <c r="G49" s="1158" t="inlineStr">
        <is>
          <t>Z &amp; Group Retail</t>
        </is>
      </c>
      <c r="H49" s="1156" t="inlineStr">
        <is>
          <t>Z &amp; Group Retail, Data</t>
        </is>
      </c>
      <c r="I49" s="1156" t="inlineStr">
        <is>
          <t>Z</t>
        </is>
      </c>
      <c r="J49" s="1158" t="inlineStr">
        <is>
          <t>Z Customer &amp; Z Supply</t>
        </is>
      </c>
      <c r="K49" s="1156" t="inlineStr">
        <is>
          <t>Data - NZ</t>
        </is>
      </c>
      <c r="L49" s="1158" t="n"/>
      <c r="M49" s="1159" t="inlineStr">
        <is>
          <t>NZ</t>
        </is>
      </c>
      <c r="N49" s="1160" t="inlineStr">
        <is>
          <t>CIA</t>
        </is>
      </c>
      <c r="O49" s="1161" t="n">
        <v>1</v>
      </c>
      <c r="P49" s="1160" t="n"/>
      <c r="Q49" s="1161" t="inlineStr">
        <is>
          <t>Permanent - Full Time</t>
        </is>
      </c>
      <c r="R49" s="1162" t="n"/>
      <c r="S49" s="1162" t="n"/>
      <c r="T49" s="1163" t="n">
        <v>81890</v>
      </c>
      <c r="U49" s="1164" t="n">
        <v>75338.8</v>
      </c>
      <c r="V49" s="1165" t="n">
        <v>0.1</v>
      </c>
      <c r="W49" s="1162" t="n"/>
      <c r="X49" s="1166" t="n">
        <v>0.05</v>
      </c>
      <c r="Y49" s="1907" t="n">
        <v>2910</v>
      </c>
      <c r="Z49" s="1166" t="n">
        <v>0.03</v>
      </c>
      <c r="AA49" s="1168">
        <f>IF(TRIM($B49)="","",IF(N($AU49)&gt;0,$AU49,IF(N($S49)&gt;0,$S49*Lists!$AG$15*(1+N($Z49)),N($U49)*(1+N($V49)+N($W49)+N($X49)+N($Z49))+N($Y49))))</f>
        <v>91809.784</v>
      </c>
      <c r="AJ49" s="865" t="str">
        <f>IF(TRIM($B49)="","",IF(IFERROR(INDEX(Lists!$AO$2:$AO$11,MATCH(ROW(),Lists!$AN$2:$AN$11,0)),"")&lt;&gt;"",IFERROR(INDEX(Lists!$AO$2:$AO$11,MATCH(ROW(),Lists!$AN$2:$AN$11,0)),""),IFERROR(INDEX(Lists!$U:$U,MATCH(TRIM($I49),Lists!$T:$T,0)),TRIM($I49))))</f>
        <v>Z Retail</v>
      </c>
      <c r="AK49" s="865" t="str">
        <f>IF(ISNUMBER(SEARCH("vacant",$B49)),"Vacant","Filled")</f>
        <v>Filled</v>
      </c>
      <c r="AL49" s="865" t="str">
        <f>IF($M49="NZ","NZ","AU")</f>
        <v>NZ</v>
      </c>
      <c r="AM49" s="865">
        <f>COUNTIF($AJ$2:$AJ49,$AJ49)</f>
        <v>26</v>
      </c>
      <c r="AN49" s="865" t="str">
        <f>$AJ49&amp;"|"&amp;$AM49</f>
        <v>Z Retail|26</v>
      </c>
      <c r="AP49" s="865" t="str">
        <f>IF(TRIM($B49)="","",IF($AQ49=1,"Leadership",IFERROR(INDEX(Lists!$X:$X,MATCH(TRIM($K49),Lists!$W:$W,0)),IF(OR(TRIM($K49)="",LOWER(TRIM($K49))="na"),IF(TRIM($G49)="","Unassigned",TRIM($G49)),TRIM($K49)))))</f>
        <v>Data NZ</v>
      </c>
      <c r="AQ49" s="865" t="b">
        <f>IF(TRIM($B49)="","",--OR(TRIM($K49)="Leadership",TRIM($J49)="Leadership"))</f>
        <v>0</v>
      </c>
      <c r="AR49" s="1136" t="str">
        <f>IF(TRIM($B49)="","",IF(IFERROR(INDEX(Lists!$AQ$2:$AQ$11,MATCH(ROW(),Lists!$AN$2:$AN$11,0)),"")&lt;&gt;"",IFERROR(INDEX(Lists!$AQ$2:$AQ$11,MATCH(ROW(),Lists!$AN$2:$AN$11,0)),""),IF(ISNUMBER(SEARCH("head of ",$C49)),"Head of Technology",IF(ISNUMBER(SEARCH("TDD BP",$C49)),"Business Partner",IF(OR(ISNUMBER(SEARCH("domain architect",$C49)),ISNUMBER(SEARCH("enterprise architect",$C49))),"Domain Architect",IF(ISNUMBER(SEARCH("delivery man",$C49)),"Delivery Manager",IF(OR(ISNUMBER(SEARCH("technology manager",$C49)),ISNUMBER(SEARCH("technology manger",$C49)),ISNUMBER(SEARCH("tech manager",$C49))),"Technology Manager","Squad")))))))</f>
        <v>Squad</v>
      </c>
      <c r="AS49" s="1136" t="str">
        <f>IF(TRIM($B49)="","",IFERROR(INDEX(Lists!$AA:$AA,MATCH($AP49,Lists!$Z:$Z,0)),$AP49))</f>
        <v>Data NZ</v>
      </c>
      <c r="AT49" s="1136" t="str">
        <f>IF(TRIM($B49)="","",IF(IFERROR(INDEX(Lists!$AP$2:$AP$11,MATCH(ROW(),Lists!$AN$2:$AN$11,0)),"")&lt;&gt;"",IFERROR(INDEX(Lists!$AP$2:$AP$11,MATCH(ROW(),Lists!$AN$2:$AN$11,0)),""),IF(OR(LEFT($AJ49,3)="COE",$AJ49="EGI"),$AP49,IF($AR49&lt;&gt;"Squad",$AR49,$AP49))))</f>
        <v>Data NZ</v>
      </c>
    </row>
    <row r="50" ht="18" customHeight="1" s="866">
      <c r="A50" s="1155" t="n">
        <v>99999101623</v>
      </c>
      <c r="B50" s="1156" t="inlineStr">
        <is>
          <t>Michael Dasan</t>
        </is>
      </c>
      <c r="C50" s="1156" t="inlineStr">
        <is>
          <t>Engineer - Data</t>
        </is>
      </c>
      <c r="D50" s="1158" t="inlineStr">
        <is>
          <t>Vacant</t>
        </is>
      </c>
      <c r="E50" s="1156" t="inlineStr">
        <is>
          <t>Technology Manager, Data</t>
        </is>
      </c>
      <c r="F50" s="1157" t="inlineStr">
        <is>
          <t>Ampol Retail &amp; Z</t>
        </is>
      </c>
      <c r="G50" s="1158" t="inlineStr">
        <is>
          <t>Z &amp; Group Retail</t>
        </is>
      </c>
      <c r="H50" s="1156" t="inlineStr">
        <is>
          <t>Z &amp; Group Retail, Data</t>
        </is>
      </c>
      <c r="I50" s="1156" t="inlineStr">
        <is>
          <t>Z</t>
        </is>
      </c>
      <c r="J50" s="1158" t="inlineStr">
        <is>
          <t>Z Customer &amp; Z Supply</t>
        </is>
      </c>
      <c r="K50" s="1156" t="inlineStr">
        <is>
          <t>Data - NZ</t>
        </is>
      </c>
      <c r="L50" s="1158" t="n"/>
      <c r="M50" s="1159" t="inlineStr">
        <is>
          <t>NZ</t>
        </is>
      </c>
      <c r="N50" s="1160" t="inlineStr">
        <is>
          <t>CDB</t>
        </is>
      </c>
      <c r="O50" s="1161" t="n">
        <v>1</v>
      </c>
      <c r="P50" s="1162" t="n"/>
      <c r="Q50" s="1162" t="inlineStr">
        <is>
          <t>Permanent - Full Time</t>
        </is>
      </c>
      <c r="R50" s="1162" t="n"/>
      <c r="S50" s="1162" t="n"/>
      <c r="T50" s="1163" t="n">
        <v>159010</v>
      </c>
      <c r="U50" s="1164" t="n">
        <v>159010</v>
      </c>
      <c r="V50" s="1166" t="n">
        <v>0.12</v>
      </c>
      <c r="W50" s="1170" t="n">
        <v>0.055</v>
      </c>
      <c r="X50" s="1170" t="n">
        <v>0.12</v>
      </c>
      <c r="Y50" s="1171" t="n"/>
      <c r="Z50" s="1170" t="n">
        <v>0.04</v>
      </c>
      <c r="AA50" s="1168">
        <f>IF(TRIM($B50)="","",IF(N($AU50)&gt;0,$AU50,IF(N($S50)&gt;0,$S50*Lists!$AG$15*(1+N($Z50)),N($U50)*(1+N($V50)+N($W50)+N($X50)+N($Z50))+N($Y50))))</f>
        <v>212278.35</v>
      </c>
      <c r="AJ50" s="865" t="str">
        <f>IF(TRIM($B50)="","",IF(IFERROR(INDEX(Lists!$AO$2:$AO$11,MATCH(ROW(),Lists!$AN$2:$AN$11,0)),"")&lt;&gt;"",IFERROR(INDEX(Lists!$AO$2:$AO$11,MATCH(ROW(),Lists!$AN$2:$AN$11,0)),""),IFERROR(INDEX(Lists!$U:$U,MATCH(TRIM($I50),Lists!$T:$T,0)),TRIM($I50))))</f>
        <v>Z Retail</v>
      </c>
      <c r="AK50" s="865" t="str">
        <f>IF(ISNUMBER(SEARCH("vacant",$B50)),"Vacant","Filled")</f>
        <v>Filled</v>
      </c>
      <c r="AL50" s="865" t="str">
        <f>IF($M50="NZ","NZ","AU")</f>
        <v>NZ</v>
      </c>
      <c r="AM50" s="865">
        <f>COUNTIF($AJ$2:$AJ50,$AJ50)</f>
        <v>27</v>
      </c>
      <c r="AN50" s="865" t="str">
        <f>$AJ50&amp;"|"&amp;$AM50</f>
        <v>Z Retail|27</v>
      </c>
      <c r="AP50" s="865" t="str">
        <f>IF(TRIM($B50)="","",IF($AQ50=1,"Leadership",IFERROR(INDEX(Lists!$X:$X,MATCH(TRIM($K50),Lists!$W:$W,0)),IF(OR(TRIM($K50)="",LOWER(TRIM($K50))="na"),IF(TRIM($G50)="","Unassigned",TRIM($G50)),TRIM($K50)))))</f>
        <v>Data NZ</v>
      </c>
      <c r="AQ50" s="865" t="b">
        <f>IF(TRIM($B50)="","",--OR(TRIM($K50)="Leadership",TRIM($J50)="Leadership"))</f>
        <v>0</v>
      </c>
      <c r="AR50" s="1136" t="str">
        <f>IF(TRIM($B50)="","",IF(IFERROR(INDEX(Lists!$AQ$2:$AQ$11,MATCH(ROW(),Lists!$AN$2:$AN$11,0)),"")&lt;&gt;"",IFERROR(INDEX(Lists!$AQ$2:$AQ$11,MATCH(ROW(),Lists!$AN$2:$AN$11,0)),""),IF(ISNUMBER(SEARCH("head of ",$C50)),"Head of Technology",IF(ISNUMBER(SEARCH("TDD BP",$C50)),"Business Partner",IF(OR(ISNUMBER(SEARCH("domain architect",$C50)),ISNUMBER(SEARCH("enterprise architect",$C50))),"Domain Architect",IF(ISNUMBER(SEARCH("delivery man",$C50)),"Delivery Manager",IF(OR(ISNUMBER(SEARCH("technology manager",$C50)),ISNUMBER(SEARCH("technology manger",$C50)),ISNUMBER(SEARCH("tech manager",$C50))),"Technology Manager","Squad")))))))</f>
        <v>Squad</v>
      </c>
      <c r="AS50" s="1136" t="str">
        <f>IF(TRIM($B50)="","",IFERROR(INDEX(Lists!$AA:$AA,MATCH($AP50,Lists!$Z:$Z,0)),$AP50))</f>
        <v>Data NZ</v>
      </c>
      <c r="AT50" s="1136" t="str">
        <f>IF(TRIM($B50)="","",IF(IFERROR(INDEX(Lists!$AP$2:$AP$11,MATCH(ROW(),Lists!$AN$2:$AN$11,0)),"")&lt;&gt;"",IFERROR(INDEX(Lists!$AP$2:$AP$11,MATCH(ROW(),Lists!$AN$2:$AN$11,0)),""),IF(OR(LEFT($AJ50,3)="COE",$AJ50="EGI"),$AP50,IF($AR50&lt;&gt;"Squad",$AR50,$AP50))))</f>
        <v>Data NZ</v>
      </c>
    </row>
    <row r="51" ht="18" customHeight="1" s="866">
      <c r="A51" s="1155" t="n">
        <v>85137</v>
      </c>
      <c r="B51" s="1156" t="inlineStr">
        <is>
          <t>Mick Standen</t>
        </is>
      </c>
      <c r="C51" s="1156" t="inlineStr">
        <is>
          <t>Systems Analyst</t>
        </is>
      </c>
      <c r="D51" s="1156" t="inlineStr">
        <is>
          <t>Vaishnavi Viswanathan</t>
        </is>
      </c>
      <c r="E51" s="1156" t="inlineStr">
        <is>
          <t>Technology Manager, Store Platform</t>
        </is>
      </c>
      <c r="F51" s="1157" t="inlineStr">
        <is>
          <t>Ampol Retail &amp; Z</t>
        </is>
      </c>
      <c r="G51" s="1158" t="inlineStr">
        <is>
          <t>Ampol Retail</t>
        </is>
      </c>
      <c r="H51" s="1156" t="inlineStr">
        <is>
          <t>Ampol Retail, Store Platforms</t>
        </is>
      </c>
      <c r="I51" s="1156" t="inlineStr">
        <is>
          <t>Retail</t>
        </is>
      </c>
      <c r="J51" s="1158" t="inlineStr">
        <is>
          <t>AMPOS</t>
        </is>
      </c>
      <c r="K51" s="1156" t="inlineStr">
        <is>
          <t>AmPos</t>
        </is>
      </c>
      <c r="L51" s="1158" t="n"/>
      <c r="M51" s="1159" t="inlineStr">
        <is>
          <t>Australia</t>
        </is>
      </c>
      <c r="N51" s="1162" t="inlineStr">
        <is>
          <t>CIB</t>
        </is>
      </c>
      <c r="O51" s="1162" t="n">
        <v>1</v>
      </c>
      <c r="P51" s="1160" t="n"/>
      <c r="Q51" s="1160" t="inlineStr">
        <is>
          <t>Permanent - Full Time</t>
        </is>
      </c>
      <c r="R51" s="1162" t="n"/>
      <c r="S51" s="1162" t="n"/>
      <c r="T51" s="1163" t="n">
        <v>196740</v>
      </c>
      <c r="U51" s="1164" t="n">
        <v>196740</v>
      </c>
      <c r="V51" s="1166" t="n">
        <v>0.12</v>
      </c>
      <c r="W51" s="1170" t="n">
        <v>0.055</v>
      </c>
      <c r="X51" s="1170" t="n">
        <v>0.12</v>
      </c>
      <c r="Y51" s="1171" t="n"/>
      <c r="Z51" s="1170" t="n">
        <v>0.04</v>
      </c>
      <c r="AA51" s="1168">
        <f>IF(TRIM($B51)="","",IF(N($AU51)&gt;0,$AU51,IF(N($S51)&gt;0,$S51*Lists!$AG$15*(1+N($Z51)),N($U51)*(1+N($V51)+N($W51)+N($X51)+N($Z51))+N($Y51))))</f>
        <v>262647.9</v>
      </c>
      <c r="AJ51" s="865" t="str">
        <f>IF(TRIM($B51)="","",IF(IFERROR(INDEX(Lists!$AO$2:$AO$11,MATCH(ROW(),Lists!$AN$2:$AN$11,0)),"")&lt;&gt;"",IFERROR(INDEX(Lists!$AO$2:$AO$11,MATCH(ROW(),Lists!$AN$2:$AN$11,0)),""),IFERROR(INDEX(Lists!$U:$U,MATCH(TRIM($I51),Lists!$T:$T,0)),TRIM($I51))))</f>
        <v>Ampol Retail</v>
      </c>
      <c r="AK51" s="865" t="str">
        <f>IF(ISNUMBER(SEARCH("vacant",$B51)),"Vacant","Filled")</f>
        <v>Filled</v>
      </c>
      <c r="AL51" s="865" t="str">
        <f>IF($M51="NZ","NZ","AU")</f>
        <v>AU</v>
      </c>
      <c r="AM51" s="865">
        <f>COUNTIF($AJ$2:$AJ51,$AJ51)</f>
        <v>23</v>
      </c>
      <c r="AN51" s="865" t="str">
        <f>$AJ51&amp;"|"&amp;$AM51</f>
        <v>Ampol Retail|23</v>
      </c>
      <c r="AP51" s="865" t="str">
        <f>IF(TRIM($B51)="","",IF($AQ51=1,"Leadership",IFERROR(INDEX(Lists!$X:$X,MATCH(TRIM($K51),Lists!$W:$W,0)),IF(OR(TRIM($K51)="",LOWER(TRIM($K51))="na"),IF(TRIM($G51)="","Unassigned",TRIM($G51)),TRIM($K51)))))</f>
        <v>AmPOS</v>
      </c>
      <c r="AQ51" s="865" t="b">
        <f>IF(TRIM($B51)="","",--OR(TRIM($K51)="Leadership",TRIM($J51)="Leadership"))</f>
        <v>0</v>
      </c>
      <c r="AR51" s="1136" t="str">
        <f>IF(TRIM($B51)="","",IF(IFERROR(INDEX(Lists!$AQ$2:$AQ$11,MATCH(ROW(),Lists!$AN$2:$AN$11,0)),"")&lt;&gt;"",IFERROR(INDEX(Lists!$AQ$2:$AQ$11,MATCH(ROW(),Lists!$AN$2:$AN$11,0)),""),IF(ISNUMBER(SEARCH("head of ",$C51)),"Head of Technology",IF(ISNUMBER(SEARCH("TDD BP",$C51)),"Business Partner",IF(OR(ISNUMBER(SEARCH("domain architect",$C51)),ISNUMBER(SEARCH("enterprise architect",$C51))),"Domain Architect",IF(ISNUMBER(SEARCH("delivery man",$C51)),"Delivery Manager",IF(OR(ISNUMBER(SEARCH("technology manager",$C51)),ISNUMBER(SEARCH("technology manger",$C51)),ISNUMBER(SEARCH("tech manager",$C51))),"Technology Manager","Squad")))))))</f>
        <v>Squad</v>
      </c>
      <c r="AS51" s="1136" t="str">
        <f>IF(TRIM($B51)="","",IFERROR(INDEX(Lists!$AA:$AA,MATCH($AP51,Lists!$Z:$Z,0)),$AP51))</f>
        <v>AmPOS</v>
      </c>
      <c r="AT51" s="1136" t="str">
        <f>IF(TRIM($B51)="","",IF(IFERROR(INDEX(Lists!$AP$2:$AP$11,MATCH(ROW(),Lists!$AN$2:$AN$11,0)),"")&lt;&gt;"",IFERROR(INDEX(Lists!$AP$2:$AP$11,MATCH(ROW(),Lists!$AN$2:$AN$11,0)),""),IF(OR(LEFT($AJ51,3)="COE",$AJ51="EGI"),$AP51,IF($AR51&lt;&gt;"Squad",$AR51,$AP51))))</f>
        <v>AmPOS</v>
      </c>
    </row>
    <row r="52" ht="18" customHeight="1" s="866">
      <c r="A52" s="1155" t="n">
        <v>95286</v>
      </c>
      <c r="B52" s="1156" t="inlineStr">
        <is>
          <t>Navneet Singh</t>
        </is>
      </c>
      <c r="C52" s="1156" t="inlineStr">
        <is>
          <t>Solution Architect</t>
        </is>
      </c>
      <c r="D52" s="1156" t="inlineStr">
        <is>
          <t>Vedran Jukic</t>
        </is>
      </c>
      <c r="E52" s="1156" t="inlineStr">
        <is>
          <t>Technology Manager, Retail</t>
        </is>
      </c>
      <c r="F52" s="1157" t="inlineStr">
        <is>
          <t>Ampol Retail &amp; Z</t>
        </is>
      </c>
      <c r="G52" s="1158" t="inlineStr">
        <is>
          <t>Ampol Retail</t>
        </is>
      </c>
      <c r="H52" s="1156" t="inlineStr">
        <is>
          <t>Ampol Retail, Technology</t>
        </is>
      </c>
      <c r="I52" s="1156" t="inlineStr">
        <is>
          <t>Ampol Retail</t>
        </is>
      </c>
      <c r="J52" s="1158" t="inlineStr">
        <is>
          <t>EGI</t>
        </is>
      </c>
      <c r="K52" s="1156" t="inlineStr">
        <is>
          <t>EGI Retail</t>
        </is>
      </c>
      <c r="L52" s="1158" t="n"/>
      <c r="M52" s="1159" t="inlineStr">
        <is>
          <t>Australia</t>
        </is>
      </c>
      <c r="N52" s="1160" t="inlineStr">
        <is>
          <t>CIC</t>
        </is>
      </c>
      <c r="O52" s="1160" t="n">
        <v>1</v>
      </c>
      <c r="P52" s="1160" t="n"/>
      <c r="Q52" s="1160" t="inlineStr">
        <is>
          <t>Permanent - Full Time</t>
        </is>
      </c>
      <c r="R52" s="1162" t="n"/>
      <c r="S52" s="1162" t="n"/>
      <c r="T52" s="1162" t="n">
        <v>100000</v>
      </c>
      <c r="U52" s="1174" t="n">
        <v>100000</v>
      </c>
      <c r="V52" s="1166" t="n">
        <v>0.12</v>
      </c>
      <c r="W52" s="1170" t="n">
        <v>0.055</v>
      </c>
      <c r="X52" s="1170" t="n">
        <v>0.12</v>
      </c>
      <c r="Y52" s="1171" t="n"/>
      <c r="Z52" s="1170" t="n">
        <v>0.04</v>
      </c>
      <c r="AA52" s="1168">
        <f>IF(TRIM($B52)="","",IF(N($AU52)&gt;0,$AU52,IF(N($S52)&gt;0,$S52*Lists!$AG$15*(1+N($Z52)),N($U52)*(1+N($V52)+N($W52)+N($X52)+N($Z52))+N($Y52))))</f>
        <v>133500</v>
      </c>
      <c r="AJ52" s="865" t="str">
        <f>IF(TRIM($B52)="","",IF(IFERROR(INDEX(Lists!$AO$2:$AO$11,MATCH(ROW(),Lists!$AN$2:$AN$11,0)),"")&lt;&gt;"",IFERROR(INDEX(Lists!$AO$2:$AO$11,MATCH(ROW(),Lists!$AN$2:$AN$11,0)),""),IFERROR(INDEX(Lists!$U:$U,MATCH(TRIM($I52),Lists!$T:$T,0)),TRIM($I52))))</f>
        <v>Ampol Retail</v>
      </c>
      <c r="AK52" s="865" t="str">
        <f>IF(ISNUMBER(SEARCH("vacant",$B52)),"Vacant","Filled")</f>
        <v>Filled</v>
      </c>
      <c r="AL52" s="865" t="str">
        <f>IF($M52="NZ","NZ","AU")</f>
        <v>AU</v>
      </c>
      <c r="AM52" s="865">
        <f>COUNTIF($AJ$2:$AJ52,$AJ52)</f>
        <v>24</v>
      </c>
      <c r="AN52" s="865" t="str">
        <f>$AJ52&amp;"|"&amp;$AM52</f>
        <v>Ampol Retail|24</v>
      </c>
      <c r="AP52" s="865" t="str">
        <f>IF(TRIM($B52)="","",IF($AQ52=1,"Leadership",IFERROR(INDEX(Lists!$X:$X,MATCH(TRIM($K52),Lists!$W:$W,0)),IF(OR(TRIM($K52)="",LOWER(TRIM($K52))="na"),IF(TRIM($G52)="","Unassigned",TRIM($G52)),TRIM($K52)))))</f>
        <v>EGI Retail</v>
      </c>
      <c r="AQ52" s="865" t="b">
        <f>IF(TRIM($B52)="","",--OR(TRIM($K52)="Leadership",TRIM($J52)="Leadership"))</f>
        <v>0</v>
      </c>
      <c r="AR52" s="1136" t="str">
        <f>IF(TRIM($B52)="","",IF(IFERROR(INDEX(Lists!$AQ$2:$AQ$11,MATCH(ROW(),Lists!$AN$2:$AN$11,0)),"")&lt;&gt;"",IFERROR(INDEX(Lists!$AQ$2:$AQ$11,MATCH(ROW(),Lists!$AN$2:$AN$11,0)),""),IF(ISNUMBER(SEARCH("head of ",$C52)),"Head of Technology",IF(ISNUMBER(SEARCH("TDD BP",$C52)),"Business Partner",IF(OR(ISNUMBER(SEARCH("domain architect",$C52)),ISNUMBER(SEARCH("enterprise architect",$C52))),"Domain Architect",IF(ISNUMBER(SEARCH("delivery man",$C52)),"Delivery Manager",IF(OR(ISNUMBER(SEARCH("technology manager",$C52)),ISNUMBER(SEARCH("technology manger",$C52)),ISNUMBER(SEARCH("tech manager",$C52))),"Technology Manager","Squad")))))))</f>
        <v>Squad</v>
      </c>
      <c r="AS52" s="1136" t="str">
        <f>IF(TRIM($B52)="","",IFERROR(INDEX(Lists!$AA:$AA,MATCH($AP52,Lists!$Z:$Z,0)),$AP52))</f>
        <v>EGI Retail</v>
      </c>
      <c r="AT52" s="1136" t="str">
        <f>IF(TRIM($B52)="","",IF(IFERROR(INDEX(Lists!$AP$2:$AP$11,MATCH(ROW(),Lists!$AN$2:$AN$11,0)),"")&lt;&gt;"",IFERROR(INDEX(Lists!$AP$2:$AP$11,MATCH(ROW(),Lists!$AN$2:$AN$11,0)),""),IF(OR(LEFT($AJ52,3)="COE",$AJ52="EGI"),$AP52,IF($AR52&lt;&gt;"Squad",$AR52,$AP52))))</f>
        <v>EGI Retail</v>
      </c>
    </row>
    <row r="53" ht="18" customHeight="1" s="866">
      <c r="A53" s="1155" t="n">
        <v>108357</v>
      </c>
      <c r="B53" s="1156" t="inlineStr">
        <is>
          <t>Pahul Oberoi</t>
        </is>
      </c>
      <c r="C53" s="1156" t="inlineStr">
        <is>
          <t>Systems Analyst</t>
        </is>
      </c>
      <c r="D53" s="1156" t="inlineStr">
        <is>
          <t>Tracy Lee Reaper</t>
        </is>
      </c>
      <c r="E53" s="1156" t="inlineStr">
        <is>
          <t>Tech Manager, Merchandising &amp; WFM</t>
        </is>
      </c>
      <c r="F53" s="1157" t="inlineStr">
        <is>
          <t>Ampol Retail &amp; Z</t>
        </is>
      </c>
      <c r="G53" s="1158" t="inlineStr">
        <is>
          <t>Ampol Retail</t>
        </is>
      </c>
      <c r="H53" s="1156" t="inlineStr">
        <is>
          <t>Ampol Retail, Merch &amp; RTA</t>
        </is>
      </c>
      <c r="I53" s="1156" t="inlineStr">
        <is>
          <t>Retail</t>
        </is>
      </c>
      <c r="J53" s="1158" t="inlineStr">
        <is>
          <t>Above Store</t>
        </is>
      </c>
      <c r="K53" s="1158" t="inlineStr">
        <is>
          <t>Above Store</t>
        </is>
      </c>
      <c r="L53" s="1158" t="n"/>
      <c r="M53" s="1159" t="inlineStr">
        <is>
          <t>Australia</t>
        </is>
      </c>
      <c r="N53" s="1160" t="inlineStr">
        <is>
          <t>CIB</t>
        </is>
      </c>
      <c r="O53" s="1160" t="n">
        <v>1</v>
      </c>
      <c r="P53" s="1160" t="n"/>
      <c r="Q53" s="1160" t="inlineStr">
        <is>
          <t>Permanent - Full Time</t>
        </is>
      </c>
      <c r="R53" s="1162" t="n"/>
      <c r="S53" s="1162" t="n"/>
      <c r="T53" s="1162" t="n">
        <v>123240</v>
      </c>
      <c r="U53" s="1174" t="n">
        <v>123240</v>
      </c>
      <c r="V53" s="1166" t="n">
        <v>0.1</v>
      </c>
      <c r="W53" s="1170" t="n">
        <v>0.055</v>
      </c>
      <c r="X53" s="1170" t="n">
        <v>0.12</v>
      </c>
      <c r="Y53" s="1171" t="n"/>
      <c r="Z53" s="1170" t="n">
        <v>0.04</v>
      </c>
      <c r="AA53" s="1168">
        <f>IF(TRIM($B53)="","",IF(N($AU53)&gt;0,$AU53,IF(N($S53)&gt;0,$S53*Lists!$AG$15*(1+N($Z53)),N($U53)*(1+N($V53)+N($W53)+N($X53)+N($Z53))+N($Y53))))</f>
        <v>162060.6</v>
      </c>
      <c r="AJ53" s="865" t="str">
        <f>IF(TRIM($B53)="","",IF(IFERROR(INDEX(Lists!$AO$2:$AO$11,MATCH(ROW(),Lists!$AN$2:$AN$11,0)),"")&lt;&gt;"",IFERROR(INDEX(Lists!$AO$2:$AO$11,MATCH(ROW(),Lists!$AN$2:$AN$11,0)),""),IFERROR(INDEX(Lists!$U:$U,MATCH(TRIM($I53),Lists!$T:$T,0)),TRIM($I53))))</f>
        <v>Ampol Retail</v>
      </c>
      <c r="AK53" s="865" t="str">
        <f>IF(ISNUMBER(SEARCH("vacant",$B53)),"Vacant","Filled")</f>
        <v>Filled</v>
      </c>
      <c r="AL53" s="865" t="str">
        <f>IF($M53="NZ","NZ","AU")</f>
        <v>AU</v>
      </c>
      <c r="AM53" s="865">
        <f>COUNTIF($AJ$2:$AJ53,$AJ53)</f>
        <v>25</v>
      </c>
      <c r="AN53" s="865" t="str">
        <f>$AJ53&amp;"|"&amp;$AM53</f>
        <v>Ampol Retail|25</v>
      </c>
      <c r="AP53" s="865" t="str">
        <f>IF(TRIM($B53)="","",IF($AQ53=1,"Leadership",IFERROR(INDEX(Lists!$X:$X,MATCH(TRIM($K53),Lists!$W:$W,0)),IF(OR(TRIM($K53)="",LOWER(TRIM($K53))="na"),IF(TRIM($G53)="","Unassigned",TRIM($G53)),TRIM($K53)))))</f>
        <v>Above Store</v>
      </c>
      <c r="AQ53" s="865" t="b">
        <f>IF(TRIM($B53)="","",--OR(TRIM($K53)="Leadership",TRIM($J53)="Leadership"))</f>
        <v>0</v>
      </c>
      <c r="AR53" s="1136" t="str">
        <f>IF(TRIM($B53)="","",IF(IFERROR(INDEX(Lists!$AQ$2:$AQ$11,MATCH(ROW(),Lists!$AN$2:$AN$11,0)),"")&lt;&gt;"",IFERROR(INDEX(Lists!$AQ$2:$AQ$11,MATCH(ROW(),Lists!$AN$2:$AN$11,0)),""),IF(ISNUMBER(SEARCH("head of ",$C53)),"Head of Technology",IF(ISNUMBER(SEARCH("TDD BP",$C53)),"Business Partner",IF(OR(ISNUMBER(SEARCH("domain architect",$C53)),ISNUMBER(SEARCH("enterprise architect",$C53))),"Domain Architect",IF(ISNUMBER(SEARCH("delivery man",$C53)),"Delivery Manager",IF(OR(ISNUMBER(SEARCH("technology manager",$C53)),ISNUMBER(SEARCH("technology manger",$C53)),ISNUMBER(SEARCH("tech manager",$C53))),"Technology Manager","Squad")))))))</f>
        <v>Squad</v>
      </c>
      <c r="AS53" s="1136" t="str">
        <f>IF(TRIM($B53)="","",IFERROR(INDEX(Lists!$AA:$AA,MATCH($AP53,Lists!$Z:$Z,0)),$AP53))</f>
        <v>Above Store</v>
      </c>
      <c r="AT53" s="1136" t="str">
        <f>IF(TRIM($B53)="","",IF(IFERROR(INDEX(Lists!$AP$2:$AP$11,MATCH(ROW(),Lists!$AN$2:$AN$11,0)),"")&lt;&gt;"",IFERROR(INDEX(Lists!$AP$2:$AP$11,MATCH(ROW(),Lists!$AN$2:$AN$11,0)),""),IF(OR(LEFT($AJ53,3)="COE",$AJ53="EGI"),$AP53,IF($AR53&lt;&gt;"Squad",$AR53,$AP53))))</f>
        <v>Above Store</v>
      </c>
    </row>
    <row r="54" ht="18" customHeight="1" s="866">
      <c r="A54" s="1155" t="n">
        <v>90097</v>
      </c>
      <c r="B54" s="1156" t="inlineStr">
        <is>
          <t>Patrick Ericson Nario</t>
        </is>
      </c>
      <c r="C54" s="1156" t="inlineStr">
        <is>
          <t>Support Analyst - Field Operations</t>
        </is>
      </c>
      <c r="D54" s="1156" t="inlineStr">
        <is>
          <t>Ephriam Adan</t>
        </is>
      </c>
      <c r="E54" s="1156" t="inlineStr">
        <is>
          <t>Manager, AU Retail Operations</t>
        </is>
      </c>
      <c r="F54" s="1157" t="inlineStr">
        <is>
          <t>Ampol Retail &amp; Z</t>
        </is>
      </c>
      <c r="G54" s="1158" t="inlineStr">
        <is>
          <t>Ampol Retail</t>
        </is>
      </c>
      <c r="H54" s="1156" t="inlineStr">
        <is>
          <t>Ampol Retail, Technology</t>
        </is>
      </c>
      <c r="I54" s="1156" t="inlineStr">
        <is>
          <t>Retail</t>
        </is>
      </c>
      <c r="J54" s="1158" t="inlineStr">
        <is>
          <t>Store Operations</t>
        </is>
      </c>
      <c r="K54" s="1156" t="inlineStr">
        <is>
          <t>Store Operations</t>
        </is>
      </c>
      <c r="L54" s="1158" t="n"/>
      <c r="M54" s="1159" t="inlineStr">
        <is>
          <t>Australia</t>
        </is>
      </c>
      <c r="N54" s="1160" t="inlineStr">
        <is>
          <t>CIA</t>
        </is>
      </c>
      <c r="O54" s="1160" t="n">
        <v>1</v>
      </c>
      <c r="P54" s="1160" t="n"/>
      <c r="Q54" s="1160" t="inlineStr">
        <is>
          <t>Permanent - Full Time</t>
        </is>
      </c>
      <c r="R54" s="1162" t="n"/>
      <c r="S54" s="1162" t="n"/>
      <c r="T54" s="1162" t="n">
        <v>160460</v>
      </c>
      <c r="U54" s="1174" t="n">
        <v>160460</v>
      </c>
      <c r="V54" s="1166" t="n">
        <v>0.12</v>
      </c>
      <c r="W54" s="1170" t="n">
        <v>0.055</v>
      </c>
      <c r="X54" s="1170" t="n">
        <v>0.12</v>
      </c>
      <c r="Y54" s="1171" t="n"/>
      <c r="Z54" s="1170" t="n">
        <v>0.04</v>
      </c>
      <c r="AA54" s="1168">
        <f>IF(TRIM($B54)="","",IF(N($AU54)&gt;0,$AU54,IF(N($S54)&gt;0,$S54*Lists!$AG$15*(1+N($Z54)),N($U54)*(1+N($V54)+N($W54)+N($X54)+N($Z54))+N($Y54))))</f>
        <v>214214.1</v>
      </c>
      <c r="AJ54" s="865" t="str">
        <f>IF(TRIM($B54)="","",IF(IFERROR(INDEX(Lists!$AO$2:$AO$11,MATCH(ROW(),Lists!$AN$2:$AN$11,0)),"")&lt;&gt;"",IFERROR(INDEX(Lists!$AO$2:$AO$11,MATCH(ROW(),Lists!$AN$2:$AN$11,0)),""),IFERROR(INDEX(Lists!$U:$U,MATCH(TRIM($I54),Lists!$T:$T,0)),TRIM($I54))))</f>
        <v>Ampol Retail</v>
      </c>
      <c r="AK54" s="865" t="str">
        <f>IF(ISNUMBER(SEARCH("vacant",$B54)),"Vacant","Filled")</f>
        <v>Filled</v>
      </c>
      <c r="AL54" s="865" t="str">
        <f>IF($M54="NZ","NZ","AU")</f>
        <v>AU</v>
      </c>
      <c r="AM54" s="865">
        <f>COUNTIF($AJ$2:$AJ54,$AJ54)</f>
        <v>26</v>
      </c>
      <c r="AN54" s="865" t="str">
        <f>$AJ54&amp;"|"&amp;$AM54</f>
        <v>Ampol Retail|26</v>
      </c>
      <c r="AP54" s="865" t="str">
        <f>IF(TRIM($B54)="","",IF($AQ54=1,"Leadership",IFERROR(INDEX(Lists!$X:$X,MATCH(TRIM($K54),Lists!$W:$W,0)),IF(OR(TRIM($K54)="",LOWER(TRIM($K54))="na"),IF(TRIM($G54)="","Unassigned",TRIM($G54)),TRIM($K54)))))</f>
        <v>Store Operations</v>
      </c>
      <c r="AQ54" s="865" t="b">
        <f>IF(TRIM($B54)="","",--OR(TRIM($K54)="Leadership",TRIM($J54)="Leadership"))</f>
        <v>0</v>
      </c>
      <c r="AR54" s="1136" t="str">
        <f>IF(TRIM($B54)="","",IF(IFERROR(INDEX(Lists!$AQ$2:$AQ$11,MATCH(ROW(),Lists!$AN$2:$AN$11,0)),"")&lt;&gt;"",IFERROR(INDEX(Lists!$AQ$2:$AQ$11,MATCH(ROW(),Lists!$AN$2:$AN$11,0)),""),IF(ISNUMBER(SEARCH("head of ",$C54)),"Head of Technology",IF(ISNUMBER(SEARCH("TDD BP",$C54)),"Business Partner",IF(OR(ISNUMBER(SEARCH("domain architect",$C54)),ISNUMBER(SEARCH("enterprise architect",$C54))),"Domain Architect",IF(ISNUMBER(SEARCH("delivery man",$C54)),"Delivery Manager",IF(OR(ISNUMBER(SEARCH("technology manager",$C54)),ISNUMBER(SEARCH("technology manger",$C54)),ISNUMBER(SEARCH("tech manager",$C54))),"Technology Manager","Squad")))))))</f>
        <v>Squad</v>
      </c>
      <c r="AS54" s="1136" t="str">
        <f>IF(TRIM($B54)="","",IFERROR(INDEX(Lists!$AA:$AA,MATCH($AP54,Lists!$Z:$Z,0)),$AP54))</f>
        <v>Store Operations</v>
      </c>
      <c r="AT54" s="1136" t="str">
        <f>IF(TRIM($B54)="","",IF(IFERROR(INDEX(Lists!$AP$2:$AP$11,MATCH(ROW(),Lists!$AN$2:$AN$11,0)),"")&lt;&gt;"",IFERROR(INDEX(Lists!$AP$2:$AP$11,MATCH(ROW(),Lists!$AN$2:$AN$11,0)),""),IF(OR(LEFT($AJ54,3)="COE",$AJ54="EGI"),$AP54,IF($AR54&lt;&gt;"Squad",$AR54,$AP54))))</f>
        <v>Store Operations</v>
      </c>
    </row>
    <row r="55" ht="18" customHeight="1" s="866">
      <c r="A55" s="1155" t="n">
        <v>94420</v>
      </c>
      <c r="B55" s="1156" t="inlineStr">
        <is>
          <t>Peter Nicolopoulos</t>
        </is>
      </c>
      <c r="C55" s="1156" t="inlineStr">
        <is>
          <t>Systems Analyst</t>
        </is>
      </c>
      <c r="D55" s="1156" t="inlineStr">
        <is>
          <t>Vaishnavi Viswanathan</t>
        </is>
      </c>
      <c r="E55" s="1156" t="inlineStr">
        <is>
          <t>Technology Manager, Store Platform</t>
        </is>
      </c>
      <c r="F55" s="1157" t="inlineStr">
        <is>
          <t>Ampol Retail &amp; Z</t>
        </is>
      </c>
      <c r="G55" s="1158" t="inlineStr">
        <is>
          <t>Ampol Retail</t>
        </is>
      </c>
      <c r="H55" s="1156" t="inlineStr">
        <is>
          <t>Ampol Retail, Store Platforms</t>
        </is>
      </c>
      <c r="I55" s="1156" t="inlineStr">
        <is>
          <t>Retail</t>
        </is>
      </c>
      <c r="J55" s="1158" t="inlineStr">
        <is>
          <t>AMPOS</t>
        </is>
      </c>
      <c r="K55" s="1156" t="inlineStr">
        <is>
          <t>AmPos</t>
        </is>
      </c>
      <c r="L55" s="1158" t="n"/>
      <c r="M55" s="1159" t="inlineStr">
        <is>
          <t>Australia</t>
        </is>
      </c>
      <c r="N55" s="1160" t="inlineStr">
        <is>
          <t>CIB</t>
        </is>
      </c>
      <c r="O55" s="1160" t="n">
        <v>1</v>
      </c>
      <c r="P55" s="1160" t="n"/>
      <c r="Q55" s="1161" t="inlineStr">
        <is>
          <t>Permanent - Full Time</t>
        </is>
      </c>
      <c r="R55" s="1162" t="n"/>
      <c r="S55" s="1162" t="n"/>
      <c r="T55" s="1163" t="n">
        <v>127740</v>
      </c>
      <c r="U55" s="1164" t="n">
        <v>117520.8</v>
      </c>
      <c r="V55" s="1165" t="n">
        <v>0.15</v>
      </c>
      <c r="W55" s="1162" t="n"/>
      <c r="X55" s="1166" t="n">
        <v>0.05</v>
      </c>
      <c r="Y55" s="1907" t="n">
        <v>2910</v>
      </c>
      <c r="Z55" s="1166" t="n">
        <v>0.03</v>
      </c>
      <c r="AA55" s="1168">
        <f>IF(TRIM($B55)="","",IF(N($AU55)&gt;0,$AU55,IF(N($S55)&gt;0,$S55*Lists!$AG$15*(1+N($Z55)),N($U55)*(1+N($V55)+N($W55)+N($X55)+N($Z55))+N($Y55))))</f>
        <v>147460.584</v>
      </c>
      <c r="AJ55" s="865" t="str">
        <f>IF(TRIM($B55)="","",IF(IFERROR(INDEX(Lists!$AO$2:$AO$11,MATCH(ROW(),Lists!$AN$2:$AN$11,0)),"")&lt;&gt;"",IFERROR(INDEX(Lists!$AO$2:$AO$11,MATCH(ROW(),Lists!$AN$2:$AN$11,0)),""),IFERROR(INDEX(Lists!$U:$U,MATCH(TRIM($I55),Lists!$T:$T,0)),TRIM($I55))))</f>
        <v>Ampol Retail</v>
      </c>
      <c r="AK55" s="865" t="str">
        <f>IF(ISNUMBER(SEARCH("vacant",$B55)),"Vacant","Filled")</f>
        <v>Filled</v>
      </c>
      <c r="AL55" s="865" t="str">
        <f>IF($M55="NZ","NZ","AU")</f>
        <v>AU</v>
      </c>
      <c r="AM55" s="865">
        <f>COUNTIF($AJ$2:$AJ55,$AJ55)</f>
        <v>27</v>
      </c>
      <c r="AN55" s="865" t="str">
        <f>$AJ55&amp;"|"&amp;$AM55</f>
        <v>Ampol Retail|27</v>
      </c>
      <c r="AP55" s="865" t="str">
        <f>IF(TRIM($B55)="","",IF($AQ55=1,"Leadership",IFERROR(INDEX(Lists!$X:$X,MATCH(TRIM($K55),Lists!$W:$W,0)),IF(OR(TRIM($K55)="",LOWER(TRIM($K55))="na"),IF(TRIM($G55)="","Unassigned",TRIM($G55)),TRIM($K55)))))</f>
        <v>AmPOS</v>
      </c>
      <c r="AQ55" s="865" t="b">
        <f>IF(TRIM($B55)="","",--OR(TRIM($K55)="Leadership",TRIM($J55)="Leadership"))</f>
        <v>0</v>
      </c>
      <c r="AR55" s="1136" t="str">
        <f>IF(TRIM($B55)="","",IF(IFERROR(INDEX(Lists!$AQ$2:$AQ$11,MATCH(ROW(),Lists!$AN$2:$AN$11,0)),"")&lt;&gt;"",IFERROR(INDEX(Lists!$AQ$2:$AQ$11,MATCH(ROW(),Lists!$AN$2:$AN$11,0)),""),IF(ISNUMBER(SEARCH("head of ",$C55)),"Head of Technology",IF(ISNUMBER(SEARCH("TDD BP",$C55)),"Business Partner",IF(OR(ISNUMBER(SEARCH("domain architect",$C55)),ISNUMBER(SEARCH("enterprise architect",$C55))),"Domain Architect",IF(ISNUMBER(SEARCH("delivery man",$C55)),"Delivery Manager",IF(OR(ISNUMBER(SEARCH("technology manager",$C55)),ISNUMBER(SEARCH("technology manger",$C55)),ISNUMBER(SEARCH("tech manager",$C55))),"Technology Manager","Squad")))))))</f>
        <v>Squad</v>
      </c>
      <c r="AS55" s="1136" t="str">
        <f>IF(TRIM($B55)="","",IFERROR(INDEX(Lists!$AA:$AA,MATCH($AP55,Lists!$Z:$Z,0)),$AP55))</f>
        <v>AmPOS</v>
      </c>
      <c r="AT55" s="1136" t="str">
        <f>IF(TRIM($B55)="","",IF(IFERROR(INDEX(Lists!$AP$2:$AP$11,MATCH(ROW(),Lists!$AN$2:$AN$11,0)),"")&lt;&gt;"",IFERROR(INDEX(Lists!$AP$2:$AP$11,MATCH(ROW(),Lists!$AN$2:$AN$11,0)),""),IF(OR(LEFT($AJ55,3)="COE",$AJ55="EGI"),$AP55,IF($AR55&lt;&gt;"Squad",$AR55,$AP55))))</f>
        <v>AmPOS</v>
      </c>
    </row>
    <row r="56" ht="18" customHeight="1" s="866">
      <c r="A56" s="1155" t="n">
        <v>99999101650</v>
      </c>
      <c r="B56" s="1156" t="inlineStr">
        <is>
          <t>Sakshi Sachdeva</t>
        </is>
      </c>
      <c r="C56" s="1156" t="inlineStr">
        <is>
          <t xml:space="preserve">Senior Quality Assurance </t>
        </is>
      </c>
      <c r="D56" s="1156" t="inlineStr">
        <is>
          <t>Callan McLaughlin</t>
        </is>
      </c>
      <c r="E56" s="1156" t="inlineStr">
        <is>
          <t>Technology Manager,  Site Systems</t>
        </is>
      </c>
      <c r="F56" s="1157" t="inlineStr">
        <is>
          <t>Ampol Retail &amp; Z</t>
        </is>
      </c>
      <c r="G56" s="1158" t="inlineStr">
        <is>
          <t>Z &amp; Group Retail</t>
        </is>
      </c>
      <c r="H56" s="1156" t="inlineStr">
        <is>
          <t>Z &amp; Group Retail, Site Systems</t>
        </is>
      </c>
      <c r="I56" s="1156" t="inlineStr">
        <is>
          <t>Z</t>
        </is>
      </c>
      <c r="J56" s="1158" t="inlineStr">
        <is>
          <t>Z Customer</t>
        </is>
      </c>
      <c r="K56" s="1156" t="inlineStr">
        <is>
          <t>Site Systems</t>
        </is>
      </c>
      <c r="L56" s="1158" t="n"/>
      <c r="M56" s="1159" t="inlineStr">
        <is>
          <t>NZ</t>
        </is>
      </c>
      <c r="N56" s="1160" t="inlineStr">
        <is>
          <t>CIA</t>
        </is>
      </c>
      <c r="O56" s="1161" t="n">
        <v>1</v>
      </c>
      <c r="P56" s="1160" t="n"/>
      <c r="Q56" s="1160" t="inlineStr">
        <is>
          <t>Permanent - Full Time</t>
        </is>
      </c>
      <c r="R56" s="1162" t="n"/>
      <c r="S56" s="1162" t="n"/>
      <c r="T56" s="1163" t="n">
        <v>133110</v>
      </c>
      <c r="U56" s="1164" t="n">
        <v>133110</v>
      </c>
      <c r="V56" s="1166" t="n">
        <v>0.1</v>
      </c>
      <c r="W56" s="1170" t="n">
        <v>0.055</v>
      </c>
      <c r="X56" s="1170" t="n">
        <v>0.12</v>
      </c>
      <c r="Y56" s="1171" t="n"/>
      <c r="Z56" s="1170" t="n">
        <v>0.04</v>
      </c>
      <c r="AA56" s="1168">
        <f>IF(TRIM($B56)="","",IF(N($AU56)&gt;0,$AU56,IF(N($S56)&gt;0,$S56*Lists!$AG$15*(1+N($Z56)),N($U56)*(1+N($V56)+N($W56)+N($X56)+N($Z56))+N($Y56))))</f>
        <v>175039.65</v>
      </c>
      <c r="AJ56" s="865" t="str">
        <f>IF(TRIM($B56)="","",IF(IFERROR(INDEX(Lists!$AO$2:$AO$11,MATCH(ROW(),Lists!$AN$2:$AN$11,0)),"")&lt;&gt;"",IFERROR(INDEX(Lists!$AO$2:$AO$11,MATCH(ROW(),Lists!$AN$2:$AN$11,0)),""),IFERROR(INDEX(Lists!$U:$U,MATCH(TRIM($I56),Lists!$T:$T,0)),TRIM($I56))))</f>
        <v>Z Retail</v>
      </c>
      <c r="AK56" s="865" t="str">
        <f>IF(ISNUMBER(SEARCH("vacant",$B56)),"Vacant","Filled")</f>
        <v>Filled</v>
      </c>
      <c r="AL56" s="865" t="str">
        <f>IF($M56="NZ","NZ","AU")</f>
        <v>NZ</v>
      </c>
      <c r="AM56" s="865">
        <f>COUNTIF($AJ$2:$AJ56,$AJ56)</f>
        <v>28</v>
      </c>
      <c r="AN56" s="865" t="str">
        <f>$AJ56&amp;"|"&amp;$AM56</f>
        <v>Z Retail|28</v>
      </c>
      <c r="AP56" s="865" t="str">
        <f>IF(TRIM($B56)="","",IF($AQ56=1,"Leadership",IFERROR(INDEX(Lists!$X:$X,MATCH(TRIM($K56),Lists!$W:$W,0)),IF(OR(TRIM($K56)="",LOWER(TRIM($K56))="na"),IF(TRIM($G56)="","Unassigned",TRIM($G56)),TRIM($K56)))))</f>
        <v>Site Systems</v>
      </c>
      <c r="AQ56" s="865" t="b">
        <f>IF(TRIM($B56)="","",--OR(TRIM($K56)="Leadership",TRIM($J56)="Leadership"))</f>
        <v>0</v>
      </c>
      <c r="AR56" s="1136" t="str">
        <f>IF(TRIM($B56)="","",IF(IFERROR(INDEX(Lists!$AQ$2:$AQ$11,MATCH(ROW(),Lists!$AN$2:$AN$11,0)),"")&lt;&gt;"",IFERROR(INDEX(Lists!$AQ$2:$AQ$11,MATCH(ROW(),Lists!$AN$2:$AN$11,0)),""),IF(ISNUMBER(SEARCH("head of ",$C56)),"Head of Technology",IF(ISNUMBER(SEARCH("TDD BP",$C56)),"Business Partner",IF(OR(ISNUMBER(SEARCH("domain architect",$C56)),ISNUMBER(SEARCH("enterprise architect",$C56))),"Domain Architect",IF(ISNUMBER(SEARCH("delivery man",$C56)),"Delivery Manager",IF(OR(ISNUMBER(SEARCH("technology manager",$C56)),ISNUMBER(SEARCH("technology manger",$C56)),ISNUMBER(SEARCH("tech manager",$C56))),"Technology Manager","Squad")))))))</f>
        <v>Squad</v>
      </c>
      <c r="AS56" s="1136" t="str">
        <f>IF(TRIM($B56)="","",IFERROR(INDEX(Lists!$AA:$AA,MATCH($AP56,Lists!$Z:$Z,0)),$AP56))</f>
        <v>Site Systems</v>
      </c>
      <c r="AT56" s="1136" t="str">
        <f>IF(TRIM($B56)="","",IF(IFERROR(INDEX(Lists!$AP$2:$AP$11,MATCH(ROW(),Lists!$AN$2:$AN$11,0)),"")&lt;&gt;"",IFERROR(INDEX(Lists!$AP$2:$AP$11,MATCH(ROW(),Lists!$AN$2:$AN$11,0)),""),IF(OR(LEFT($AJ56,3)="COE",$AJ56="EGI"),$AP56,IF($AR56&lt;&gt;"Squad",$AR56,$AP56))))</f>
        <v>Site Systems</v>
      </c>
    </row>
    <row r="57" ht="18" customHeight="1" s="866">
      <c r="A57" s="1155" t="n">
        <v>107164</v>
      </c>
      <c r="B57" s="1156" t="inlineStr">
        <is>
          <t>Santiago Hernandez Arevalo</t>
        </is>
      </c>
      <c r="C57" s="1156" t="inlineStr">
        <is>
          <t>Systems Analyst</t>
        </is>
      </c>
      <c r="D57" s="1156" t="inlineStr">
        <is>
          <t>Vedran Jukic</t>
        </is>
      </c>
      <c r="E57" s="1156" t="inlineStr">
        <is>
          <t>Technology Manager, Retail</t>
        </is>
      </c>
      <c r="F57" s="1157" t="inlineStr">
        <is>
          <t>Ampol Retail &amp; Z</t>
        </is>
      </c>
      <c r="G57" s="1158" t="inlineStr">
        <is>
          <t>Ampol Retail</t>
        </is>
      </c>
      <c r="H57" s="1156" t="inlineStr">
        <is>
          <t>Ampol Retail, Technology</t>
        </is>
      </c>
      <c r="I57" s="1156" t="inlineStr">
        <is>
          <t>Retail</t>
        </is>
      </c>
      <c r="J57" s="1158" t="inlineStr">
        <is>
          <t>Network/QSR</t>
        </is>
      </c>
      <c r="K57" s="1156" t="inlineStr">
        <is>
          <t>Network &amp; QSR</t>
        </is>
      </c>
      <c r="L57" s="1158" t="n"/>
      <c r="M57" s="1159" t="inlineStr">
        <is>
          <t>Australia</t>
        </is>
      </c>
      <c r="N57" s="1160" t="inlineStr">
        <is>
          <t>CIA</t>
        </is>
      </c>
      <c r="O57" s="1160" t="n">
        <v>1</v>
      </c>
      <c r="P57" s="1162" t="n"/>
      <c r="Q57" s="1162" t="inlineStr">
        <is>
          <t>Permanent - Full Time</t>
        </is>
      </c>
      <c r="R57" s="1162" t="n"/>
      <c r="S57" s="1162" t="n"/>
      <c r="T57" s="1163" t="n">
        <v>154420</v>
      </c>
      <c r="U57" s="1164" t="n">
        <v>154420</v>
      </c>
      <c r="V57" s="1166" t="n">
        <v>0.12</v>
      </c>
      <c r="W57" s="1170" t="n">
        <v>0.055</v>
      </c>
      <c r="X57" s="1170" t="n">
        <v>0.12</v>
      </c>
      <c r="Y57" s="1171" t="n"/>
      <c r="Z57" s="1170" t="n">
        <v>0.04</v>
      </c>
      <c r="AA57" s="1168">
        <f>IF(TRIM($B57)="","",IF(N($AU57)&gt;0,$AU57,IF(N($S57)&gt;0,$S57*Lists!$AG$15*(1+N($Z57)),N($U57)*(1+N($V57)+N($W57)+N($X57)+N($Z57))+N($Y57))))</f>
        <v>206150.7</v>
      </c>
      <c r="AJ57" s="865" t="str">
        <f>IF(TRIM($B57)="","",IF(IFERROR(INDEX(Lists!$AO$2:$AO$11,MATCH(ROW(),Lists!$AN$2:$AN$11,0)),"")&lt;&gt;"",IFERROR(INDEX(Lists!$AO$2:$AO$11,MATCH(ROW(),Lists!$AN$2:$AN$11,0)),""),IFERROR(INDEX(Lists!$U:$U,MATCH(TRIM($I57),Lists!$T:$T,0)),TRIM($I57))))</f>
        <v>Ampol Retail</v>
      </c>
      <c r="AK57" s="865" t="str">
        <f>IF(ISNUMBER(SEARCH("vacant",$B57)),"Vacant","Filled")</f>
        <v>Filled</v>
      </c>
      <c r="AL57" s="865" t="str">
        <f>IF($M57="NZ","NZ","AU")</f>
        <v>AU</v>
      </c>
      <c r="AM57" s="865">
        <f>COUNTIF($AJ$2:$AJ57,$AJ57)</f>
        <v>28</v>
      </c>
      <c r="AN57" s="865" t="str">
        <f>$AJ57&amp;"|"&amp;$AM57</f>
        <v>Ampol Retail|28</v>
      </c>
      <c r="AP57" s="865" t="str">
        <f>IF(TRIM($B57)="","",IF($AQ57=1,"Leadership",IFERROR(INDEX(Lists!$X:$X,MATCH(TRIM($K57),Lists!$W:$W,0)),IF(OR(TRIM($K57)="",LOWER(TRIM($K57))="na"),IF(TRIM($G57)="","Unassigned",TRIM($G57)),TRIM($K57)))))</f>
        <v>Network &amp; QSR</v>
      </c>
      <c r="AQ57" s="865" t="b">
        <f>IF(TRIM($B57)="","",--OR(TRIM($K57)="Leadership",TRIM($J57)="Leadership"))</f>
        <v>0</v>
      </c>
      <c r="AR57" s="1136" t="str">
        <f>IF(TRIM($B57)="","",IF(IFERROR(INDEX(Lists!$AQ$2:$AQ$11,MATCH(ROW(),Lists!$AN$2:$AN$11,0)),"")&lt;&gt;"",IFERROR(INDEX(Lists!$AQ$2:$AQ$11,MATCH(ROW(),Lists!$AN$2:$AN$11,0)),""),IF(ISNUMBER(SEARCH("head of ",$C57)),"Head of Technology",IF(ISNUMBER(SEARCH("TDD BP",$C57)),"Business Partner",IF(OR(ISNUMBER(SEARCH("domain architect",$C57)),ISNUMBER(SEARCH("enterprise architect",$C57))),"Domain Architect",IF(ISNUMBER(SEARCH("delivery man",$C57)),"Delivery Manager",IF(OR(ISNUMBER(SEARCH("technology manager",$C57)),ISNUMBER(SEARCH("technology manger",$C57)),ISNUMBER(SEARCH("tech manager",$C57))),"Technology Manager","Squad")))))))</f>
        <v>Squad</v>
      </c>
      <c r="AS57" s="1136" t="str">
        <f>IF(TRIM($B57)="","",IFERROR(INDEX(Lists!$AA:$AA,MATCH($AP57,Lists!$Z:$Z,0)),$AP57))</f>
        <v>Network &amp; QSR</v>
      </c>
      <c r="AT57" s="1136" t="str">
        <f>IF(TRIM($B57)="","",IF(IFERROR(INDEX(Lists!$AP$2:$AP$11,MATCH(ROW(),Lists!$AN$2:$AN$11,0)),"")&lt;&gt;"",IFERROR(INDEX(Lists!$AP$2:$AP$11,MATCH(ROW(),Lists!$AN$2:$AN$11,0)),""),IF(OR(LEFT($AJ57,3)="COE",$AJ57="EGI"),$AP57,IF($AR57&lt;&gt;"Squad",$AR57,$AP57))))</f>
        <v>Network &amp; QSR</v>
      </c>
    </row>
    <row r="58" ht="18" customHeight="1" s="866">
      <c r="A58" s="1155" t="n">
        <v>11424</v>
      </c>
      <c r="B58" s="1156" t="inlineStr">
        <is>
          <t>Sao Keawprasit</t>
        </is>
      </c>
      <c r="C58" s="1156" t="inlineStr">
        <is>
          <t>Systems Analyst</t>
        </is>
      </c>
      <c r="D58" s="1156" t="inlineStr">
        <is>
          <t>Tracy Lee Reaper</t>
        </is>
      </c>
      <c r="E58" s="1156" t="inlineStr">
        <is>
          <t>Tech Manager, Merchandising &amp; WFM</t>
        </is>
      </c>
      <c r="F58" s="1157" t="inlineStr">
        <is>
          <t>Ampol Retail &amp; Z</t>
        </is>
      </c>
      <c r="G58" s="1158" t="inlineStr">
        <is>
          <t>Ampol Retail</t>
        </is>
      </c>
      <c r="H58" s="1156" t="inlineStr">
        <is>
          <t>Ampol Retail, Merch &amp; RTA</t>
        </is>
      </c>
      <c r="I58" s="1156" t="inlineStr">
        <is>
          <t>Retail</t>
        </is>
      </c>
      <c r="J58" s="1158" t="inlineStr">
        <is>
          <t>Above Store</t>
        </is>
      </c>
      <c r="K58" s="1158" t="inlineStr">
        <is>
          <t>Above Store</t>
        </is>
      </c>
      <c r="L58" s="1158" t="n"/>
      <c r="M58" s="1159" t="inlineStr">
        <is>
          <t>Australia</t>
        </is>
      </c>
      <c r="N58" s="1162" t="inlineStr">
        <is>
          <t>CIB</t>
        </is>
      </c>
      <c r="O58" s="1162" t="n">
        <v>1</v>
      </c>
      <c r="P58" s="1160" t="n"/>
      <c r="Q58" s="1160" t="inlineStr">
        <is>
          <t>Permanent - Full Time</t>
        </is>
      </c>
      <c r="R58" s="1162" t="n"/>
      <c r="S58" s="1162" t="n"/>
      <c r="T58" s="1163" t="n">
        <v>152220</v>
      </c>
      <c r="U58" s="1164" t="n">
        <v>152220</v>
      </c>
      <c r="V58" s="1166" t="n">
        <v>0.12</v>
      </c>
      <c r="W58" s="1170" t="n">
        <v>0.055</v>
      </c>
      <c r="X58" s="1170" t="n">
        <v>0.12</v>
      </c>
      <c r="Y58" s="1171" t="n"/>
      <c r="Z58" s="1170" t="n">
        <v>0.04</v>
      </c>
      <c r="AA58" s="1168">
        <f>IF(TRIM($B58)="","",IF(N($AU58)&gt;0,$AU58,IF(N($S58)&gt;0,$S58*Lists!$AG$15*(1+N($Z58)),N($U58)*(1+N($V58)+N($W58)+N($X58)+N($Z58))+N($Y58))))</f>
        <v>203213.7</v>
      </c>
      <c r="AJ58" s="865" t="str">
        <f>IF(TRIM($B58)="","",IF(IFERROR(INDEX(Lists!$AO$2:$AO$11,MATCH(ROW(),Lists!$AN$2:$AN$11,0)),"")&lt;&gt;"",IFERROR(INDEX(Lists!$AO$2:$AO$11,MATCH(ROW(),Lists!$AN$2:$AN$11,0)),""),IFERROR(INDEX(Lists!$U:$U,MATCH(TRIM($I58),Lists!$T:$T,0)),TRIM($I58))))</f>
        <v>Ampol Retail</v>
      </c>
      <c r="AK58" s="865" t="str">
        <f>IF(ISNUMBER(SEARCH("vacant",$B58)),"Vacant","Filled")</f>
        <v>Filled</v>
      </c>
      <c r="AL58" s="865" t="str">
        <f>IF($M58="NZ","NZ","AU")</f>
        <v>AU</v>
      </c>
      <c r="AM58" s="865">
        <f>COUNTIF($AJ$2:$AJ58,$AJ58)</f>
        <v>29</v>
      </c>
      <c r="AN58" s="865" t="str">
        <f>$AJ58&amp;"|"&amp;$AM58</f>
        <v>Ampol Retail|29</v>
      </c>
      <c r="AP58" s="865" t="str">
        <f>IF(TRIM($B58)="","",IF($AQ58=1,"Leadership",IFERROR(INDEX(Lists!$X:$X,MATCH(TRIM($K58),Lists!$W:$W,0)),IF(OR(TRIM($K58)="",LOWER(TRIM($K58))="na"),IF(TRIM($G58)="","Unassigned",TRIM($G58)),TRIM($K58)))))</f>
        <v>Above Store</v>
      </c>
      <c r="AQ58" s="865" t="b">
        <f>IF(TRIM($B58)="","",--OR(TRIM($K58)="Leadership",TRIM($J58)="Leadership"))</f>
        <v>0</v>
      </c>
      <c r="AR58" s="1136" t="str">
        <f>IF(TRIM($B58)="","",IF(IFERROR(INDEX(Lists!$AQ$2:$AQ$11,MATCH(ROW(),Lists!$AN$2:$AN$11,0)),"")&lt;&gt;"",IFERROR(INDEX(Lists!$AQ$2:$AQ$11,MATCH(ROW(),Lists!$AN$2:$AN$11,0)),""),IF(ISNUMBER(SEARCH("head of ",$C58)),"Head of Technology",IF(ISNUMBER(SEARCH("TDD BP",$C58)),"Business Partner",IF(OR(ISNUMBER(SEARCH("domain architect",$C58)),ISNUMBER(SEARCH("enterprise architect",$C58))),"Domain Architect",IF(ISNUMBER(SEARCH("delivery man",$C58)),"Delivery Manager",IF(OR(ISNUMBER(SEARCH("technology manager",$C58)),ISNUMBER(SEARCH("technology manger",$C58)),ISNUMBER(SEARCH("tech manager",$C58))),"Technology Manager","Squad")))))))</f>
        <v>Squad</v>
      </c>
      <c r="AS58" s="1136" t="str">
        <f>IF(TRIM($B58)="","",IFERROR(INDEX(Lists!$AA:$AA,MATCH($AP58,Lists!$Z:$Z,0)),$AP58))</f>
        <v>Above Store</v>
      </c>
      <c r="AT58" s="1136" t="str">
        <f>IF(TRIM($B58)="","",IF(IFERROR(INDEX(Lists!$AP$2:$AP$11,MATCH(ROW(),Lists!$AN$2:$AN$11,0)),"")&lt;&gt;"",IFERROR(INDEX(Lists!$AP$2:$AP$11,MATCH(ROW(),Lists!$AN$2:$AN$11,0)),""),IF(OR(LEFT($AJ58,3)="COE",$AJ58="EGI"),$AP58,IF($AR58&lt;&gt;"Squad",$AR58,$AP58))))</f>
        <v>Above Store</v>
      </c>
    </row>
    <row r="59" ht="18" customHeight="1" s="866">
      <c r="A59" s="1155" t="n">
        <v>114003</v>
      </c>
      <c r="B59" s="1156" t="inlineStr">
        <is>
          <t>Sayan Kar</t>
        </is>
      </c>
      <c r="C59" s="1156" t="inlineStr">
        <is>
          <t>Systems Analyst</t>
        </is>
      </c>
      <c r="D59" s="1156" t="inlineStr">
        <is>
          <t>Vaishnavi Viswanathan</t>
        </is>
      </c>
      <c r="E59" s="1156" t="inlineStr">
        <is>
          <t>Technology Manager, Store Platform</t>
        </is>
      </c>
      <c r="F59" s="1157" t="inlineStr">
        <is>
          <t>Ampol Retail &amp; Z</t>
        </is>
      </c>
      <c r="G59" s="1158" t="inlineStr">
        <is>
          <t>Ampol Retail</t>
        </is>
      </c>
      <c r="H59" s="1156" t="inlineStr">
        <is>
          <t>Ampol Retail, Store Platforms</t>
        </is>
      </c>
      <c r="I59" s="1156" t="inlineStr">
        <is>
          <t>Retail</t>
        </is>
      </c>
      <c r="J59" s="1158" t="inlineStr">
        <is>
          <t>Store Operations</t>
        </is>
      </c>
      <c r="K59" s="1156" t="inlineStr">
        <is>
          <t>Payments</t>
        </is>
      </c>
      <c r="L59" s="1158" t="n"/>
      <c r="M59" s="1159" t="inlineStr">
        <is>
          <t>Australia</t>
        </is>
      </c>
      <c r="N59" s="1160" t="inlineStr">
        <is>
          <t>CIB</t>
        </is>
      </c>
      <c r="O59" s="1160" t="n">
        <v>1</v>
      </c>
      <c r="P59" s="1160" t="n"/>
      <c r="Q59" s="1160" t="inlineStr">
        <is>
          <t>Permanent - Full Time</t>
        </is>
      </c>
      <c r="R59" s="1162" t="n"/>
      <c r="S59" s="1162" t="n"/>
      <c r="T59" s="1163" t="n">
        <v>194190</v>
      </c>
      <c r="U59" s="1174" t="n">
        <v>194190</v>
      </c>
      <c r="V59" s="1166" t="n">
        <v>0.12</v>
      </c>
      <c r="W59" s="1170" t="n">
        <v>0.055</v>
      </c>
      <c r="X59" s="1170" t="n">
        <v>0.12</v>
      </c>
      <c r="Y59" s="1171" t="n"/>
      <c r="Z59" s="1170" t="n">
        <v>0.04</v>
      </c>
      <c r="AA59" s="1168">
        <f>IF(TRIM($B59)="","",IF(N($AU59)&gt;0,$AU59,IF(N($S59)&gt;0,$S59*Lists!$AG$15*(1+N($Z59)),N($U59)*(1+N($V59)+N($W59)+N($X59)+N($Z59))+N($Y59))))</f>
        <v>259243.65</v>
      </c>
      <c r="AJ59" s="865" t="str">
        <f>IF(TRIM($B59)="","",IF(IFERROR(INDEX(Lists!$AO$2:$AO$11,MATCH(ROW(),Lists!$AN$2:$AN$11,0)),"")&lt;&gt;"",IFERROR(INDEX(Lists!$AO$2:$AO$11,MATCH(ROW(),Lists!$AN$2:$AN$11,0)),""),IFERROR(INDEX(Lists!$U:$U,MATCH(TRIM($I59),Lists!$T:$T,0)),TRIM($I59))))</f>
        <v>Ampol Retail</v>
      </c>
      <c r="AK59" s="865" t="str">
        <f>IF(ISNUMBER(SEARCH("vacant",$B59)),"Vacant","Filled")</f>
        <v>Filled</v>
      </c>
      <c r="AL59" s="865" t="str">
        <f>IF($M59="NZ","NZ","AU")</f>
        <v>AU</v>
      </c>
      <c r="AM59" s="865">
        <f>COUNTIF($AJ$2:$AJ59,$AJ59)</f>
        <v>30</v>
      </c>
      <c r="AN59" s="865" t="str">
        <f>$AJ59&amp;"|"&amp;$AM59</f>
        <v>Ampol Retail|30</v>
      </c>
      <c r="AP59" s="865" t="str">
        <f>IF(TRIM($B59)="","",IF($AQ59=1,"Leadership",IFERROR(INDEX(Lists!$X:$X,MATCH(TRIM($K59),Lists!$W:$W,0)),IF(OR(TRIM($K59)="",LOWER(TRIM($K59))="na"),IF(TRIM($G59)="","Unassigned",TRIM($G59)),TRIM($K59)))))</f>
        <v>Payments</v>
      </c>
      <c r="AQ59" s="865" t="b">
        <f>IF(TRIM($B59)="","",--OR(TRIM($K59)="Leadership",TRIM($J59)="Leadership"))</f>
        <v>0</v>
      </c>
      <c r="AR59" s="1136" t="str">
        <f>IF(TRIM($B59)="","",IF(IFERROR(INDEX(Lists!$AQ$2:$AQ$11,MATCH(ROW(),Lists!$AN$2:$AN$11,0)),"")&lt;&gt;"",IFERROR(INDEX(Lists!$AQ$2:$AQ$11,MATCH(ROW(),Lists!$AN$2:$AN$11,0)),""),IF(ISNUMBER(SEARCH("head of ",$C59)),"Head of Technology",IF(ISNUMBER(SEARCH("TDD BP",$C59)),"Business Partner",IF(OR(ISNUMBER(SEARCH("domain architect",$C59)),ISNUMBER(SEARCH("enterprise architect",$C59))),"Domain Architect",IF(ISNUMBER(SEARCH("delivery man",$C59)),"Delivery Manager",IF(OR(ISNUMBER(SEARCH("technology manager",$C59)),ISNUMBER(SEARCH("technology manger",$C59)),ISNUMBER(SEARCH("tech manager",$C59))),"Technology Manager","Squad")))))))</f>
        <v>Squad</v>
      </c>
      <c r="AS59" s="1136" t="str">
        <f>IF(TRIM($B59)="","",IFERROR(INDEX(Lists!$AA:$AA,MATCH($AP59,Lists!$Z:$Z,0)),$AP59))</f>
        <v>Payments</v>
      </c>
      <c r="AT59" s="1136" t="str">
        <f>IF(TRIM($B59)="","",IF(IFERROR(INDEX(Lists!$AP$2:$AP$11,MATCH(ROW(),Lists!$AN$2:$AN$11,0)),"")&lt;&gt;"",IFERROR(INDEX(Lists!$AP$2:$AP$11,MATCH(ROW(),Lists!$AN$2:$AN$11,0)),""),IF(OR(LEFT($AJ59,3)="COE",$AJ59="EGI"),$AP59,IF($AR59&lt;&gt;"Squad",$AR59,$AP59))))</f>
        <v>Payments</v>
      </c>
    </row>
    <row r="60" ht="18" customHeight="1" s="866">
      <c r="A60" s="1155" t="n">
        <v>98007</v>
      </c>
      <c r="B60" s="1156" t="inlineStr">
        <is>
          <t>Sendhil Vinayagam (75% EGI)</t>
        </is>
      </c>
      <c r="C60" s="1156" t="inlineStr">
        <is>
          <t>Solution Architect</t>
        </is>
      </c>
      <c r="D60" s="1156" t="inlineStr">
        <is>
          <t>Vedran Jukic</t>
        </is>
      </c>
      <c r="E60" s="1156" t="inlineStr">
        <is>
          <t>Technology Manager, Retail</t>
        </is>
      </c>
      <c r="F60" s="1157" t="inlineStr">
        <is>
          <t>Ampol Retail &amp; Z</t>
        </is>
      </c>
      <c r="G60" s="1158" t="inlineStr">
        <is>
          <t>Ampol Retail</t>
        </is>
      </c>
      <c r="H60" s="1156" t="inlineStr">
        <is>
          <t>Ampol Retail, Technology</t>
        </is>
      </c>
      <c r="I60" s="1156" t="inlineStr">
        <is>
          <t>Ampol Retail</t>
        </is>
      </c>
      <c r="J60" s="1158" t="inlineStr">
        <is>
          <t>EGI</t>
        </is>
      </c>
      <c r="K60" s="1156" t="inlineStr">
        <is>
          <t>EGI Retail</t>
        </is>
      </c>
      <c r="L60" s="1158" t="n"/>
      <c r="M60" s="1159" t="inlineStr">
        <is>
          <t>Australia</t>
        </is>
      </c>
      <c r="N60" s="1160" t="inlineStr">
        <is>
          <t>CIC</t>
        </is>
      </c>
      <c r="O60" s="1160" t="n">
        <v>1</v>
      </c>
      <c r="P60" s="1160" t="n"/>
      <c r="Q60" s="1160" t="inlineStr">
        <is>
          <t>Permanent - Full Time</t>
        </is>
      </c>
      <c r="R60" s="1162" t="n"/>
      <c r="S60" s="1162" t="n"/>
      <c r="T60" s="1163" t="n">
        <v>200410</v>
      </c>
      <c r="U60" s="1174" t="n">
        <v>200410</v>
      </c>
      <c r="V60" s="1166" t="n">
        <v>0.12</v>
      </c>
      <c r="W60" s="1170" t="n">
        <v>0.055</v>
      </c>
      <c r="X60" s="1170" t="n">
        <v>0.12</v>
      </c>
      <c r="Y60" s="1171" t="n"/>
      <c r="Z60" s="1170" t="n">
        <v>0.04</v>
      </c>
      <c r="AA60" s="1168">
        <f>IF(TRIM($B60)="","",IF(N($AU60)&gt;0,$AU60,IF(N($S60)&gt;0,$S60*Lists!$AG$15*(1+N($Z60)),N($U60)*(1+N($V60)+N($W60)+N($X60)+N($Z60))+N($Y60))))</f>
        <v>267547.35</v>
      </c>
      <c r="AJ60" s="865" t="str">
        <f>IF(TRIM($B60)="","",IF(IFERROR(INDEX(Lists!$AO$2:$AO$11,MATCH(ROW(),Lists!$AN$2:$AN$11,0)),"")&lt;&gt;"",IFERROR(INDEX(Lists!$AO$2:$AO$11,MATCH(ROW(),Lists!$AN$2:$AN$11,0)),""),IFERROR(INDEX(Lists!$U:$U,MATCH(TRIM($I60),Lists!$T:$T,0)),TRIM($I60))))</f>
        <v>Ampol Retail</v>
      </c>
      <c r="AK60" s="865" t="str">
        <f>IF(ISNUMBER(SEARCH("vacant",$B60)),"Vacant","Filled")</f>
        <v>Filled</v>
      </c>
      <c r="AL60" s="865" t="str">
        <f>IF($M60="NZ","NZ","AU")</f>
        <v>AU</v>
      </c>
      <c r="AM60" s="865">
        <f>COUNTIF($AJ$2:$AJ60,$AJ60)</f>
        <v>31</v>
      </c>
      <c r="AN60" s="865" t="str">
        <f>$AJ60&amp;"|"&amp;$AM60</f>
        <v>Ampol Retail|31</v>
      </c>
      <c r="AP60" s="865" t="str">
        <f>IF(TRIM($B60)="","",IF($AQ60=1,"Leadership",IFERROR(INDEX(Lists!$X:$X,MATCH(TRIM($K60),Lists!$W:$W,0)),IF(OR(TRIM($K60)="",LOWER(TRIM($K60))="na"),IF(TRIM($G60)="","Unassigned",TRIM($G60)),TRIM($K60)))))</f>
        <v>EGI Retail</v>
      </c>
      <c r="AQ60" s="865" t="b">
        <f>IF(TRIM($B60)="","",--OR(TRIM($K60)="Leadership",TRIM($J60)="Leadership"))</f>
        <v>0</v>
      </c>
      <c r="AR60" s="1136" t="str">
        <f>IF(TRIM($B60)="","",IF(IFERROR(INDEX(Lists!$AQ$2:$AQ$11,MATCH(ROW(),Lists!$AN$2:$AN$11,0)),"")&lt;&gt;"",IFERROR(INDEX(Lists!$AQ$2:$AQ$11,MATCH(ROW(),Lists!$AN$2:$AN$11,0)),""),IF(ISNUMBER(SEARCH("head of ",$C60)),"Head of Technology",IF(ISNUMBER(SEARCH("TDD BP",$C60)),"Business Partner",IF(OR(ISNUMBER(SEARCH("domain architect",$C60)),ISNUMBER(SEARCH("enterprise architect",$C60))),"Domain Architect",IF(ISNUMBER(SEARCH("delivery man",$C60)),"Delivery Manager",IF(OR(ISNUMBER(SEARCH("technology manager",$C60)),ISNUMBER(SEARCH("technology manger",$C60)),ISNUMBER(SEARCH("tech manager",$C60))),"Technology Manager","Squad")))))))</f>
        <v>Squad</v>
      </c>
      <c r="AS60" s="1136" t="str">
        <f>IF(TRIM($B60)="","",IFERROR(INDEX(Lists!$AA:$AA,MATCH($AP60,Lists!$Z:$Z,0)),$AP60))</f>
        <v>EGI Retail</v>
      </c>
      <c r="AT60" s="1136" t="str">
        <f>IF(TRIM($B60)="","",IF(IFERROR(INDEX(Lists!$AP$2:$AP$11,MATCH(ROW(),Lists!$AN$2:$AN$11,0)),"")&lt;&gt;"",IFERROR(INDEX(Lists!$AP$2:$AP$11,MATCH(ROW(),Lists!$AN$2:$AN$11,0)),""),IF(OR(LEFT($AJ60,3)="COE",$AJ60="EGI"),$AP60,IF($AR60&lt;&gt;"Squad",$AR60,$AP60))))</f>
        <v>EGI Retail</v>
      </c>
    </row>
    <row r="61" ht="18" customHeight="1" s="866">
      <c r="A61" s="1155" t="n">
        <v>95017</v>
      </c>
      <c r="B61" s="1199" t="inlineStr">
        <is>
          <t>Sjoerd Van Sluijs</t>
        </is>
      </c>
      <c r="C61" s="1156" t="inlineStr">
        <is>
          <t>Senior PM PEP1, PEP18</t>
        </is>
      </c>
      <c r="D61" s="1158" t="inlineStr">
        <is>
          <t>Greg Cassis</t>
        </is>
      </c>
      <c r="E61" s="1158" t="inlineStr">
        <is>
          <t>GM TDD, EGI</t>
        </is>
      </c>
      <c r="F61" s="1157" t="inlineStr">
        <is>
          <t>Ampol Retail &amp; Z</t>
        </is>
      </c>
      <c r="G61" s="1158" t="inlineStr">
        <is>
          <t>EGI</t>
        </is>
      </c>
      <c r="H61" s="1158" t="inlineStr">
        <is>
          <t>EGI</t>
        </is>
      </c>
      <c r="I61" s="1156" t="inlineStr">
        <is>
          <t>Ampol Retail</t>
        </is>
      </c>
      <c r="J61" s="1158" t="inlineStr">
        <is>
          <t>EGI</t>
        </is>
      </c>
      <c r="K61" s="1158" t="inlineStr">
        <is>
          <t>EGI Retail</t>
        </is>
      </c>
      <c r="L61" s="1158" t="n"/>
      <c r="M61" s="1159" t="inlineStr">
        <is>
          <t>Australia</t>
        </is>
      </c>
      <c r="N61" s="1160" t="inlineStr">
        <is>
          <t>CIC</t>
        </is>
      </c>
      <c r="O61" s="1160" t="n">
        <v>1</v>
      </c>
      <c r="P61" s="1160" t="n"/>
      <c r="Q61" s="1160" t="inlineStr">
        <is>
          <t>Permanent - Full Time</t>
        </is>
      </c>
      <c r="R61" s="1162" t="n"/>
      <c r="S61" s="1162" t="n"/>
      <c r="T61" s="1163" t="n">
        <v>118280</v>
      </c>
      <c r="U61" s="1174" t="n">
        <v>118280</v>
      </c>
      <c r="V61" s="1166" t="n">
        <v>0.1</v>
      </c>
      <c r="W61" s="1170" t="n">
        <v>0.055</v>
      </c>
      <c r="X61" s="1170" t="n">
        <v>0.12</v>
      </c>
      <c r="Y61" s="1171" t="n"/>
      <c r="Z61" s="1170" t="n">
        <v>0.04</v>
      </c>
      <c r="AA61" s="1168">
        <f>IF(TRIM($B61)="","",IF(N($AU61)&gt;0,$AU61,IF(N($S61)&gt;0,$S61*Lists!$AG$15*(1+N($Z61)),N($U61)*(1+N($V61)+N($W61)+N($X61)+N($Z61))+N($Y61))))</f>
        <v>155538.2</v>
      </c>
      <c r="AJ61" s="865" t="str">
        <f>IF(TRIM($B61)="","",IF(IFERROR(INDEX(Lists!$AO$2:$AO$11,MATCH(ROW(),Lists!$AN$2:$AN$11,0)),"")&lt;&gt;"",IFERROR(INDEX(Lists!$AO$2:$AO$11,MATCH(ROW(),Lists!$AN$2:$AN$11,0)),""),IFERROR(INDEX(Lists!$U:$U,MATCH(TRIM($I61),Lists!$T:$T,0)),TRIM($I61))))</f>
        <v>Ampol Retail</v>
      </c>
      <c r="AK61" s="865" t="str">
        <f>IF(ISNUMBER(SEARCH("vacant",$B61)),"Vacant","Filled")</f>
        <v>Filled</v>
      </c>
      <c r="AL61" s="865" t="str">
        <f>IF($M61="NZ","NZ","AU")</f>
        <v>AU</v>
      </c>
      <c r="AM61" s="865">
        <f>COUNTIF($AJ$2:$AJ61,$AJ61)</f>
        <v>32</v>
      </c>
      <c r="AN61" s="865" t="str">
        <f>$AJ61&amp;"|"&amp;$AM61</f>
        <v>Ampol Retail|32</v>
      </c>
      <c r="AP61" s="865" t="str">
        <f>IF(TRIM($B61)="","",IF($AQ61=1,"Leadership",IFERROR(INDEX(Lists!$X:$X,MATCH(TRIM($K61),Lists!$W:$W,0)),IF(OR(TRIM($K61)="",LOWER(TRIM($K61))="na"),IF(TRIM($G61)="","Unassigned",TRIM($G61)),TRIM($K61)))))</f>
        <v>EGI Retail</v>
      </c>
      <c r="AQ61" s="865" t="b">
        <f>IF(TRIM($B61)="","",--OR(TRIM($K61)="Leadership",TRIM($J61)="Leadership"))</f>
        <v>0</v>
      </c>
      <c r="AR61" s="1136" t="str">
        <f>IF(TRIM($B61)="","",IF(IFERROR(INDEX(Lists!$AQ$2:$AQ$11,MATCH(ROW(),Lists!$AN$2:$AN$11,0)),"")&lt;&gt;"",IFERROR(INDEX(Lists!$AQ$2:$AQ$11,MATCH(ROW(),Lists!$AN$2:$AN$11,0)),""),IF(ISNUMBER(SEARCH("head of ",$C61)),"Head of Technology",IF(ISNUMBER(SEARCH("TDD BP",$C61)),"Business Partner",IF(OR(ISNUMBER(SEARCH("domain architect",$C61)),ISNUMBER(SEARCH("enterprise architect",$C61))),"Domain Architect",IF(ISNUMBER(SEARCH("delivery man",$C61)),"Delivery Manager",IF(OR(ISNUMBER(SEARCH("technology manager",$C61)),ISNUMBER(SEARCH("technology manger",$C61)),ISNUMBER(SEARCH("tech manager",$C61))),"Technology Manager","Squad")))))))</f>
        <v>Squad</v>
      </c>
      <c r="AS61" s="1136" t="str">
        <f>IF(TRIM($B61)="","",IFERROR(INDEX(Lists!$AA:$AA,MATCH($AP61,Lists!$Z:$Z,0)),$AP61))</f>
        <v>EGI Retail</v>
      </c>
      <c r="AT61" s="1136" t="str">
        <f>IF(TRIM($B61)="","",IF(IFERROR(INDEX(Lists!$AP$2:$AP$11,MATCH(ROW(),Lists!$AN$2:$AN$11,0)),"")&lt;&gt;"",IFERROR(INDEX(Lists!$AP$2:$AP$11,MATCH(ROW(),Lists!$AN$2:$AN$11,0)),""),IF(OR(LEFT($AJ61,3)="COE",$AJ61="EGI"),$AP61,IF($AR61&lt;&gt;"Squad",$AR61,$AP61))))</f>
        <v>EGI Retail</v>
      </c>
    </row>
    <row r="62" ht="18" customHeight="1" s="866">
      <c r="A62" s="1155" t="n">
        <v>113783</v>
      </c>
      <c r="B62" s="1156" t="inlineStr">
        <is>
          <t>Tabitha Raharadjo</t>
        </is>
      </c>
      <c r="C62" s="1156" t="inlineStr">
        <is>
          <t>Project Coordinator</t>
        </is>
      </c>
      <c r="D62" s="1156" t="inlineStr">
        <is>
          <t>Vanessa Allen</t>
        </is>
      </c>
      <c r="E62" s="1156" t="inlineStr">
        <is>
          <t>Delivery Manager, Ampol Retail</t>
        </is>
      </c>
      <c r="F62" s="1157" t="inlineStr">
        <is>
          <t>Ampol Retail &amp; Z</t>
        </is>
      </c>
      <c r="G62" s="1158" t="inlineStr">
        <is>
          <t>Ampol Retail</t>
        </is>
      </c>
      <c r="H62" s="1156" t="inlineStr">
        <is>
          <t>Ampol Retail, Delivery</t>
        </is>
      </c>
      <c r="I62" s="1156" t="inlineStr">
        <is>
          <t>Retail</t>
        </is>
      </c>
      <c r="J62" s="1158" t="inlineStr">
        <is>
          <t>AMPOS</t>
        </is>
      </c>
      <c r="K62" s="1156" t="inlineStr">
        <is>
          <t>AmPos</t>
        </is>
      </c>
      <c r="L62" s="1158" t="n"/>
      <c r="M62" s="1159" t="inlineStr">
        <is>
          <t>Australia</t>
        </is>
      </c>
      <c r="N62" s="1160" t="inlineStr">
        <is>
          <t>CDC</t>
        </is>
      </c>
      <c r="O62" s="1160" t="n">
        <v>1</v>
      </c>
      <c r="P62" s="1160" t="n"/>
      <c r="Q62" s="1161" t="inlineStr">
        <is>
          <t>Permanent - Full Time</t>
        </is>
      </c>
      <c r="R62" s="1162" t="n"/>
      <c r="S62" s="1162" t="n"/>
      <c r="T62" s="1163" t="n">
        <v>173230</v>
      </c>
      <c r="U62" s="1174" t="n">
        <v>159371.6</v>
      </c>
      <c r="V62" s="1165" t="n">
        <v>0.15</v>
      </c>
      <c r="W62" s="1162" t="n"/>
      <c r="X62" s="1166" t="n">
        <v>0.05</v>
      </c>
      <c r="Y62" s="1907" t="n">
        <v>2910</v>
      </c>
      <c r="Z62" s="1166" t="n">
        <v>0.03</v>
      </c>
      <c r="AA62" s="1168">
        <f>IF(TRIM($B62)="","",IF(N($AU62)&gt;0,$AU62,IF(N($S62)&gt;0,$S62*Lists!$AG$15*(1+N($Z62)),N($U62)*(1+N($V62)+N($W62)+N($X62)+N($Z62))+N($Y62))))</f>
        <v>198937.068</v>
      </c>
      <c r="AJ62" s="865" t="str">
        <f>IF(TRIM($B62)="","",IF(IFERROR(INDEX(Lists!$AO$2:$AO$11,MATCH(ROW(),Lists!$AN$2:$AN$11,0)),"")&lt;&gt;"",IFERROR(INDEX(Lists!$AO$2:$AO$11,MATCH(ROW(),Lists!$AN$2:$AN$11,0)),""),IFERROR(INDEX(Lists!$U:$U,MATCH(TRIM($I62),Lists!$T:$T,0)),TRIM($I62))))</f>
        <v>Ampol Retail</v>
      </c>
      <c r="AK62" s="865" t="str">
        <f>IF(ISNUMBER(SEARCH("vacant",$B62)),"Vacant","Filled")</f>
        <v>Filled</v>
      </c>
      <c r="AL62" s="865" t="str">
        <f>IF($M62="NZ","NZ","AU")</f>
        <v>AU</v>
      </c>
      <c r="AM62" s="865">
        <f>COUNTIF($AJ$2:$AJ62,$AJ62)</f>
        <v>33</v>
      </c>
      <c r="AN62" s="865" t="str">
        <f>$AJ62&amp;"|"&amp;$AM62</f>
        <v>Ampol Retail|33</v>
      </c>
      <c r="AP62" s="865" t="str">
        <f>IF(TRIM($B62)="","",IF($AQ62=1,"Leadership",IFERROR(INDEX(Lists!$X:$X,MATCH(TRIM($K62),Lists!$W:$W,0)),IF(OR(TRIM($K62)="",LOWER(TRIM($K62))="na"),IF(TRIM($G62)="","Unassigned",TRIM($G62)),TRIM($K62)))))</f>
        <v>AmPOS</v>
      </c>
      <c r="AQ62" s="865" t="b">
        <f>IF(TRIM($B62)="","",--OR(TRIM($K62)="Leadership",TRIM($J62)="Leadership"))</f>
        <v>0</v>
      </c>
      <c r="AR62" s="1136" t="str">
        <f>IF(TRIM($B62)="","",IF(IFERROR(INDEX(Lists!$AQ$2:$AQ$11,MATCH(ROW(),Lists!$AN$2:$AN$11,0)),"")&lt;&gt;"",IFERROR(INDEX(Lists!$AQ$2:$AQ$11,MATCH(ROW(),Lists!$AN$2:$AN$11,0)),""),IF(ISNUMBER(SEARCH("head of ",$C62)),"Head of Technology",IF(ISNUMBER(SEARCH("TDD BP",$C62)),"Business Partner",IF(OR(ISNUMBER(SEARCH("domain architect",$C62)),ISNUMBER(SEARCH("enterprise architect",$C62))),"Domain Architect",IF(ISNUMBER(SEARCH("delivery man",$C62)),"Delivery Manager",IF(OR(ISNUMBER(SEARCH("technology manager",$C62)),ISNUMBER(SEARCH("technology manger",$C62)),ISNUMBER(SEARCH("tech manager",$C62))),"Technology Manager","Squad")))))))</f>
        <v>Squad</v>
      </c>
      <c r="AS62" s="1136" t="str">
        <f>IF(TRIM($B62)="","",IFERROR(INDEX(Lists!$AA:$AA,MATCH($AP62,Lists!$Z:$Z,0)),$AP62))</f>
        <v>AmPOS</v>
      </c>
      <c r="AT62" s="1136" t="str">
        <f>IF(TRIM($B62)="","",IF(IFERROR(INDEX(Lists!$AP$2:$AP$11,MATCH(ROW(),Lists!$AN$2:$AN$11,0)),"")&lt;&gt;"",IFERROR(INDEX(Lists!$AP$2:$AP$11,MATCH(ROW(),Lists!$AN$2:$AN$11,0)),""),IF(OR(LEFT($AJ62,3)="COE",$AJ62="EGI"),$AP62,IF($AR62&lt;&gt;"Squad",$AR62,$AP62))))</f>
        <v>AmPOS</v>
      </c>
    </row>
    <row r="63" ht="18" customHeight="1" s="866">
      <c r="A63" s="1155" t="n">
        <v>9999922690</v>
      </c>
      <c r="B63" s="1156" t="inlineStr">
        <is>
          <t>Tim Gurnsey</t>
        </is>
      </c>
      <c r="C63" s="1156" t="inlineStr">
        <is>
          <t>Delivery Lead</t>
        </is>
      </c>
      <c r="D63" s="1158" t="inlineStr">
        <is>
          <t>Vacant</t>
        </is>
      </c>
      <c r="E63" s="1156" t="inlineStr">
        <is>
          <t>Delivery Manager, Z and Retail Data</t>
        </is>
      </c>
      <c r="F63" s="1157" t="inlineStr">
        <is>
          <t>Ampol Retail &amp; Z</t>
        </is>
      </c>
      <c r="G63" s="1158" t="inlineStr">
        <is>
          <t>Z &amp; Group Retail</t>
        </is>
      </c>
      <c r="H63" s="1156" t="inlineStr">
        <is>
          <t>Z &amp; Group Retail, Delivery</t>
        </is>
      </c>
      <c r="I63" s="1156" t="inlineStr">
        <is>
          <t>Z</t>
        </is>
      </c>
      <c r="J63" s="1158" t="inlineStr">
        <is>
          <t>Z Customer</t>
        </is>
      </c>
      <c r="K63" s="1156" t="inlineStr">
        <is>
          <t>Site Systems</t>
        </is>
      </c>
      <c r="L63" s="1158" t="n"/>
      <c r="M63" s="1159" t="inlineStr">
        <is>
          <t>NZ</t>
        </is>
      </c>
      <c r="N63" s="1160" t="inlineStr">
        <is>
          <t>CIC</t>
        </is>
      </c>
      <c r="O63" s="1161" t="n">
        <v>1</v>
      </c>
      <c r="P63" s="1160" t="n"/>
      <c r="Q63" s="1160" t="inlineStr">
        <is>
          <t>Permanent - Full Time</t>
        </is>
      </c>
      <c r="R63" s="1162" t="n"/>
      <c r="S63" s="1162" t="n"/>
      <c r="T63" s="1163" t="n">
        <v>189604</v>
      </c>
      <c r="U63" s="1174" t="n">
        <v>189604</v>
      </c>
      <c r="V63" s="1166" t="n">
        <v>0.14</v>
      </c>
      <c r="W63" s="1170" t="n">
        <v>0.055</v>
      </c>
      <c r="X63" s="1170" t="n">
        <v>0.12</v>
      </c>
      <c r="Y63" s="1171" t="n"/>
      <c r="Z63" s="1170" t="n">
        <v>0.04</v>
      </c>
      <c r="AA63" s="1168">
        <f>IF(TRIM($B63)="","",IF(N($AU63)&gt;0,$AU63,IF(N($S63)&gt;0,$S63*Lists!$AG$15*(1+N($Z63)),N($U63)*(1+N($V63)+N($W63)+N($X63)+N($Z63))+N($Y63))))</f>
        <v>256913.42</v>
      </c>
      <c r="AJ63" s="865" t="str">
        <f>IF(TRIM($B63)="","",IF(IFERROR(INDEX(Lists!$AO$2:$AO$11,MATCH(ROW(),Lists!$AN$2:$AN$11,0)),"")&lt;&gt;"",IFERROR(INDEX(Lists!$AO$2:$AO$11,MATCH(ROW(),Lists!$AN$2:$AN$11,0)),""),IFERROR(INDEX(Lists!$U:$U,MATCH(TRIM($I63),Lists!$T:$T,0)),TRIM($I63))))</f>
        <v>Z Retail</v>
      </c>
      <c r="AK63" s="865" t="str">
        <f>IF(ISNUMBER(SEARCH("vacant",$B63)),"Vacant","Filled")</f>
        <v>Filled</v>
      </c>
      <c r="AL63" s="865" t="str">
        <f>IF($M63="NZ","NZ","AU")</f>
        <v>NZ</v>
      </c>
      <c r="AM63" s="865">
        <f>COUNTIF($AJ$2:$AJ63,$AJ63)</f>
        <v>29</v>
      </c>
      <c r="AN63" s="865" t="str">
        <f>$AJ63&amp;"|"&amp;$AM63</f>
        <v>Z Retail|29</v>
      </c>
      <c r="AP63" s="865" t="str">
        <f>IF(TRIM($B63)="","",IF($AQ63=1,"Leadership",IFERROR(INDEX(Lists!$X:$X,MATCH(TRIM($K63),Lists!$W:$W,0)),IF(OR(TRIM($K63)="",LOWER(TRIM($K63))="na"),IF(TRIM($G63)="","Unassigned",TRIM($G63)),TRIM($K63)))))</f>
        <v>Site Systems</v>
      </c>
      <c r="AQ63" s="865" t="b">
        <f>IF(TRIM($B63)="","",--OR(TRIM($K63)="Leadership",TRIM($J63)="Leadership"))</f>
        <v>0</v>
      </c>
      <c r="AR63" s="1136" t="str">
        <f>IF(TRIM($B63)="","",IF(IFERROR(INDEX(Lists!$AQ$2:$AQ$11,MATCH(ROW(),Lists!$AN$2:$AN$11,0)),"")&lt;&gt;"",IFERROR(INDEX(Lists!$AQ$2:$AQ$11,MATCH(ROW(),Lists!$AN$2:$AN$11,0)),""),IF(ISNUMBER(SEARCH("head of ",$C63)),"Head of Technology",IF(ISNUMBER(SEARCH("TDD BP",$C63)),"Business Partner",IF(OR(ISNUMBER(SEARCH("domain architect",$C63)),ISNUMBER(SEARCH("enterprise architect",$C63))),"Domain Architect",IF(ISNUMBER(SEARCH("delivery man",$C63)),"Delivery Manager",IF(OR(ISNUMBER(SEARCH("technology manager",$C63)),ISNUMBER(SEARCH("technology manger",$C63)),ISNUMBER(SEARCH("tech manager",$C63))),"Technology Manager","Squad")))))))</f>
        <v>Squad</v>
      </c>
      <c r="AS63" s="1136" t="str">
        <f>IF(TRIM($B63)="","",IFERROR(INDEX(Lists!$AA:$AA,MATCH($AP63,Lists!$Z:$Z,0)),$AP63))</f>
        <v>Site Systems</v>
      </c>
      <c r="AT63" s="1136" t="str">
        <f>IF(TRIM($B63)="","",IF(IFERROR(INDEX(Lists!$AP$2:$AP$11,MATCH(ROW(),Lists!$AN$2:$AN$11,0)),"")&lt;&gt;"",IFERROR(INDEX(Lists!$AP$2:$AP$11,MATCH(ROW(),Lists!$AN$2:$AN$11,0)),""),IF(OR(LEFT($AJ63,3)="COE",$AJ63="EGI"),$AP63,IF($AR63&lt;&gt;"Squad",$AR63,$AP63))))</f>
        <v>Site Systems</v>
      </c>
    </row>
    <row r="64" ht="18" customHeight="1" s="866">
      <c r="A64" s="1155" t="n">
        <v>95285</v>
      </c>
      <c r="B64" s="1156" t="inlineStr">
        <is>
          <t>Tracy Lee Reaper</t>
        </is>
      </c>
      <c r="C64" s="1156" t="inlineStr">
        <is>
          <t>Technology Manager, Merchandising &amp; WFM</t>
        </is>
      </c>
      <c r="D64" s="1158" t="inlineStr">
        <is>
          <t>Madan Murthy</t>
        </is>
      </c>
      <c r="E64" s="1156" t="inlineStr">
        <is>
          <t>Head of Technology,  Ampol Retail</t>
        </is>
      </c>
      <c r="F64" s="1157" t="inlineStr">
        <is>
          <t>Ampol Retail &amp; Z</t>
        </is>
      </c>
      <c r="G64" s="1158" t="inlineStr">
        <is>
          <t>Ampol Retail</t>
        </is>
      </c>
      <c r="H64" s="1156" t="inlineStr">
        <is>
          <t>Ampol Retail, Merch &amp; RTA</t>
        </is>
      </c>
      <c r="I64" s="1156" t="inlineStr">
        <is>
          <t>Retail</t>
        </is>
      </c>
      <c r="J64" s="1158" t="inlineStr">
        <is>
          <t>Above Store</t>
        </is>
      </c>
      <c r="K64" s="1158" t="inlineStr">
        <is>
          <t>Leadership</t>
        </is>
      </c>
      <c r="L64" s="1158" t="n"/>
      <c r="M64" s="1159" t="inlineStr">
        <is>
          <t>Australia</t>
        </is>
      </c>
      <c r="N64" s="1160" t="inlineStr">
        <is>
          <t>CSB</t>
        </is>
      </c>
      <c r="O64" s="1160" t="n">
        <v>1</v>
      </c>
      <c r="P64" s="1160" t="n"/>
      <c r="Q64" s="1161" t="inlineStr">
        <is>
          <t>Permanent - Full Time</t>
        </is>
      </c>
      <c r="R64" s="1162" t="n"/>
      <c r="S64" s="1162" t="n"/>
      <c r="T64" s="1163" t="n">
        <v>195680</v>
      </c>
      <c r="U64" s="1174" t="n">
        <v>180025.6</v>
      </c>
      <c r="V64" s="1165" t="n">
        <v>0.15</v>
      </c>
      <c r="W64" s="1162" t="n"/>
      <c r="X64" s="1166" t="n">
        <v>0.05</v>
      </c>
      <c r="Y64" s="1907" t="n">
        <v>2910</v>
      </c>
      <c r="Z64" s="1166" t="n">
        <v>0.03</v>
      </c>
      <c r="AA64" s="1168">
        <f>IF(TRIM($B64)="","",IF(N($AU64)&gt;0,$AU64,IF(N($S64)&gt;0,$S64*Lists!$AG$15*(1+N($Z64)),N($U64)*(1+N($V64)+N($W64)+N($X64)+N($Z64))+N($Y64))))</f>
        <v>224341.488</v>
      </c>
      <c r="AJ64" s="865" t="str">
        <f>IF(TRIM($B64)="","",IF(IFERROR(INDEX(Lists!$AO$2:$AO$11,MATCH(ROW(),Lists!$AN$2:$AN$11,0)),"")&lt;&gt;"",IFERROR(INDEX(Lists!$AO$2:$AO$11,MATCH(ROW(),Lists!$AN$2:$AN$11,0)),""),IFERROR(INDEX(Lists!$U:$U,MATCH(TRIM($I64),Lists!$T:$T,0)),TRIM($I64))))</f>
        <v>Ampol Retail</v>
      </c>
      <c r="AK64" s="865" t="str">
        <f>IF(ISNUMBER(SEARCH("vacant",$B64)),"Vacant","Filled")</f>
        <v>Filled</v>
      </c>
      <c r="AL64" s="865" t="str">
        <f>IF($M64="NZ","NZ","AU")</f>
        <v>AU</v>
      </c>
      <c r="AM64" s="865">
        <f>COUNTIF($AJ$2:$AJ64,$AJ64)</f>
        <v>34</v>
      </c>
      <c r="AN64" s="865" t="str">
        <f>$AJ64&amp;"|"&amp;$AM64</f>
        <v>Ampol Retail|34</v>
      </c>
      <c r="AP64" s="1136" t="str">
        <f>IF(TRIM($B64)="","",IF($AQ64=1,"Leadership",IFERROR(INDEX(Lists!$X:$X,MATCH(TRIM($K64),Lists!$W:$W,0)),IF(OR(TRIM($K64)="",LOWER(TRIM($K64))="na"),IF(TRIM($G64)="","Unassigned",TRIM($G64)),TRIM($K64)))))</f>
        <v>Leadership</v>
      </c>
      <c r="AQ64" s="865" t="b">
        <f>IF(TRIM($B64)="","",--OR(TRIM($K64)="Leadership",TRIM($J64)="Leadership"))</f>
        <v>1</v>
      </c>
      <c r="AR64" s="1136" t="str">
        <f>IF(TRIM($B64)="","",IF(IFERROR(INDEX(Lists!$AQ$2:$AQ$11,MATCH(ROW(),Lists!$AN$2:$AN$11,0)),"")&lt;&gt;"",IFERROR(INDEX(Lists!$AQ$2:$AQ$11,MATCH(ROW(),Lists!$AN$2:$AN$11,0)),""),IF(ISNUMBER(SEARCH("head of ",$C64)),"Head of Technology",IF(ISNUMBER(SEARCH("TDD BP",$C64)),"Business Partner",IF(OR(ISNUMBER(SEARCH("domain architect",$C64)),ISNUMBER(SEARCH("enterprise architect",$C64))),"Domain Architect",IF(ISNUMBER(SEARCH("delivery man",$C64)),"Delivery Manager",IF(OR(ISNUMBER(SEARCH("technology manager",$C64)),ISNUMBER(SEARCH("technology manger",$C64)),ISNUMBER(SEARCH("tech manager",$C64))),"Technology Manager","Squad")))))))</f>
        <v>Technology Manager</v>
      </c>
      <c r="AS64" s="1136" t="str">
        <f>IF(TRIM($B64)="","",IFERROR(INDEX(Lists!$AA:$AA,MATCH($AP64,Lists!$Z:$Z,0)),$AP64))</f>
        <v>Leadership</v>
      </c>
      <c r="AT64" s="1136" t="str">
        <f>IF(TRIM($B64)="","",IF(IFERROR(INDEX(Lists!$AP$2:$AP$11,MATCH(ROW(),Lists!$AN$2:$AN$11,0)),"")&lt;&gt;"",IFERROR(INDEX(Lists!$AP$2:$AP$11,MATCH(ROW(),Lists!$AN$2:$AN$11,0)),""),IF(OR(LEFT($AJ64,3)="COE",$AJ64="EGI"),$AP64,IF($AR64&lt;&gt;"Squad",$AR64,$AP64))))</f>
        <v>Technology Manager</v>
      </c>
    </row>
    <row r="65" ht="18" customHeight="1" s="866">
      <c r="A65" s="1155" t="n">
        <v>99999101426</v>
      </c>
      <c r="B65" s="1156" t="inlineStr">
        <is>
          <t>Trevor Weaver</t>
        </is>
      </c>
      <c r="C65" s="1156" t="inlineStr">
        <is>
          <t>Lead  Engineer - Software</t>
        </is>
      </c>
      <c r="D65" s="1156" t="inlineStr">
        <is>
          <t>Vacant</t>
        </is>
      </c>
      <c r="E65" s="1156" t="inlineStr">
        <is>
          <t>Technology Manager, Engineering</t>
        </is>
      </c>
      <c r="F65" s="1157" t="inlineStr">
        <is>
          <t>Ampol Retail &amp; Z</t>
        </is>
      </c>
      <c r="G65" s="1156" t="inlineStr">
        <is>
          <t>Z &amp; Group Retail</t>
        </is>
      </c>
      <c r="H65" s="1156" t="inlineStr">
        <is>
          <t>Z &amp; Group Retail, Engineering</t>
        </is>
      </c>
      <c r="I65" s="1156" t="inlineStr">
        <is>
          <t>Z</t>
        </is>
      </c>
      <c r="J65" s="1156" t="inlineStr">
        <is>
          <t>Z Customer</t>
        </is>
      </c>
      <c r="K65" s="1156" t="inlineStr">
        <is>
          <t xml:space="preserve">Z Retail Backend </t>
        </is>
      </c>
      <c r="L65" s="1158" t="n"/>
      <c r="M65" s="1159" t="inlineStr">
        <is>
          <t>NZ</t>
        </is>
      </c>
      <c r="N65" s="1160" t="inlineStr">
        <is>
          <t>CIC</t>
        </is>
      </c>
      <c r="O65" s="1161" t="n">
        <v>1</v>
      </c>
      <c r="P65" s="1162" t="n"/>
      <c r="Q65" s="1162" t="inlineStr">
        <is>
          <t>Permanent - Full Time</t>
        </is>
      </c>
      <c r="R65" s="1162" t="n"/>
      <c r="S65" s="1162" t="n"/>
      <c r="T65" s="1163" t="n">
        <v>133300</v>
      </c>
      <c r="U65" s="1174" t="n">
        <v>133300</v>
      </c>
      <c r="V65" s="1166" t="n">
        <v>0.1</v>
      </c>
      <c r="W65" s="1170" t="n">
        <v>0.055</v>
      </c>
      <c r="X65" s="1170" t="n">
        <v>0.12</v>
      </c>
      <c r="Y65" s="1171" t="n"/>
      <c r="Z65" s="1170" t="n">
        <v>0.04</v>
      </c>
      <c r="AA65" s="1168">
        <f>IF(TRIM($B65)="","",IF(N($AU65)&gt;0,$AU65,IF(N($S65)&gt;0,$S65*Lists!$AG$15*(1+N($Z65)),N($U65)*(1+N($V65)+N($W65)+N($X65)+N($Z65))+N($Y65))))</f>
        <v>175289.5</v>
      </c>
      <c r="AJ65" s="865" t="str">
        <f>IF(TRIM($B65)="","",IF(IFERROR(INDEX(Lists!$AO$2:$AO$11,MATCH(ROW(),Lists!$AN$2:$AN$11,0)),"")&lt;&gt;"",IFERROR(INDEX(Lists!$AO$2:$AO$11,MATCH(ROW(),Lists!$AN$2:$AN$11,0)),""),IFERROR(INDEX(Lists!$U:$U,MATCH(TRIM($I65),Lists!$T:$T,0)),TRIM($I65))))</f>
        <v>Z Retail</v>
      </c>
      <c r="AK65" s="865" t="str">
        <f>IF(ISNUMBER(SEARCH("vacant",$B65)),"Vacant","Filled")</f>
        <v>Filled</v>
      </c>
      <c r="AL65" s="865" t="str">
        <f>IF($M65="NZ","NZ","AU")</f>
        <v>NZ</v>
      </c>
      <c r="AM65" s="865">
        <f>COUNTIF($AJ$2:$AJ65,$AJ65)</f>
        <v>30</v>
      </c>
      <c r="AN65" s="865" t="str">
        <f>$AJ65&amp;"|"&amp;$AM65</f>
        <v>Z Retail|30</v>
      </c>
      <c r="AP65" s="865" t="str">
        <f>IF(TRIM($B65)="","",IF($AQ65=1,"Leadership",IFERROR(INDEX(Lists!$X:$X,MATCH(TRIM($K65),Lists!$W:$W,0)),IF(OR(TRIM($K65)="",LOWER(TRIM($K65))="na"),IF(TRIM($G65)="","Unassigned",TRIM($G65)),TRIM($K65)))))</f>
        <v>Z Retail Backend</v>
      </c>
      <c r="AQ65" s="865" t="b">
        <f>IF(TRIM($B65)="","",--OR(TRIM($K65)="Leadership",TRIM($J65)="Leadership"))</f>
        <v>0</v>
      </c>
      <c r="AR65" s="1136" t="str">
        <f>IF(TRIM($B65)="","",IF(IFERROR(INDEX(Lists!$AQ$2:$AQ$11,MATCH(ROW(),Lists!$AN$2:$AN$11,0)),"")&lt;&gt;"",IFERROR(INDEX(Lists!$AQ$2:$AQ$11,MATCH(ROW(),Lists!$AN$2:$AN$11,0)),""),IF(ISNUMBER(SEARCH("head of ",$C65)),"Head of Technology",IF(ISNUMBER(SEARCH("TDD BP",$C65)),"Business Partner",IF(OR(ISNUMBER(SEARCH("domain architect",$C65)),ISNUMBER(SEARCH("enterprise architect",$C65))),"Domain Architect",IF(ISNUMBER(SEARCH("delivery man",$C65)),"Delivery Manager",IF(OR(ISNUMBER(SEARCH("technology manager",$C65)),ISNUMBER(SEARCH("technology manger",$C65)),ISNUMBER(SEARCH("tech manager",$C65))),"Technology Manager","Squad")))))))</f>
        <v>Squad</v>
      </c>
      <c r="AS65" s="1136" t="str">
        <f>IF(TRIM($B65)="","",IFERROR(INDEX(Lists!$AA:$AA,MATCH($AP65,Lists!$Z:$Z,0)),$AP65))</f>
        <v>Z Retail Backend</v>
      </c>
      <c r="AT65" s="1136" t="str">
        <f>IF(TRIM($B65)="","",IF(IFERROR(INDEX(Lists!$AP$2:$AP$11,MATCH(ROW(),Lists!$AN$2:$AN$11,0)),"")&lt;&gt;"",IFERROR(INDEX(Lists!$AP$2:$AP$11,MATCH(ROW(),Lists!$AN$2:$AN$11,0)),""),IF(OR(LEFT($AJ65,3)="COE",$AJ65="EGI"),$AP65,IF($AR65&lt;&gt;"Squad",$AR65,$AP65))))</f>
        <v>Z Retail Backend</v>
      </c>
    </row>
    <row r="66" ht="18" customHeight="1" s="866">
      <c r="A66" s="1155" t="n">
        <v>85136</v>
      </c>
      <c r="B66" s="1156" t="inlineStr">
        <is>
          <t>Tuan Edwards</t>
        </is>
      </c>
      <c r="C66" s="1156" t="inlineStr">
        <is>
          <t>Field Systems Operations Lead - QLD</t>
        </is>
      </c>
      <c r="D66" s="1156" t="inlineStr">
        <is>
          <t>Ephraim Adan</t>
        </is>
      </c>
      <c r="E66" s="1156" t="inlineStr">
        <is>
          <t>Manager, AU Retail Operations</t>
        </is>
      </c>
      <c r="F66" s="1157" t="inlineStr">
        <is>
          <t>Ampol Retail &amp; Z</t>
        </is>
      </c>
      <c r="G66" s="1158" t="inlineStr">
        <is>
          <t>Ampol Retail</t>
        </is>
      </c>
      <c r="H66" s="1156" t="inlineStr">
        <is>
          <t>Ampol Retail, Technology</t>
        </is>
      </c>
      <c r="I66" s="1156" t="inlineStr">
        <is>
          <t>Retail</t>
        </is>
      </c>
      <c r="J66" s="1158" t="inlineStr">
        <is>
          <t>Store Operations</t>
        </is>
      </c>
      <c r="K66" s="1156" t="inlineStr">
        <is>
          <t>Store Operations</t>
        </is>
      </c>
      <c r="L66" s="1158" t="n"/>
      <c r="M66" s="1159" t="inlineStr">
        <is>
          <t>Australia</t>
        </is>
      </c>
      <c r="N66" s="1162" t="inlineStr">
        <is>
          <t>CIA</t>
        </is>
      </c>
      <c r="O66" s="1162" t="n">
        <v>1</v>
      </c>
      <c r="P66" s="1160" t="n"/>
      <c r="Q66" s="1160" t="inlineStr">
        <is>
          <t>V</t>
        </is>
      </c>
      <c r="R66" s="1162" t="n"/>
      <c r="S66" s="1162" t="n"/>
      <c r="T66" s="1163" t="n">
        <v>151950</v>
      </c>
      <c r="U66" s="1174" t="n">
        <v>151950</v>
      </c>
      <c r="V66" s="1166" t="n">
        <v>0.12</v>
      </c>
      <c r="W66" s="1170" t="n">
        <v>0.055</v>
      </c>
      <c r="X66" s="1170" t="n">
        <v>0.12</v>
      </c>
      <c r="Y66" s="1171" t="n"/>
      <c r="Z66" s="1170" t="n">
        <v>0.04</v>
      </c>
      <c r="AA66" s="1168">
        <f>IF(TRIM($B66)="","",IF(N($AU66)&gt;0,$AU66,IF(N($S66)&gt;0,$S66*Lists!$AG$15*(1+N($Z66)),N($U66)*(1+N($V66)+N($W66)+N($X66)+N($Z66))+N($Y66))))</f>
        <v>202853.25</v>
      </c>
      <c r="AJ66" s="865" t="str">
        <f>IF(TRIM($B66)="","",IF(IFERROR(INDEX(Lists!$AO$2:$AO$11,MATCH(ROW(),Lists!$AN$2:$AN$11,0)),"")&lt;&gt;"",IFERROR(INDEX(Lists!$AO$2:$AO$11,MATCH(ROW(),Lists!$AN$2:$AN$11,0)),""),IFERROR(INDEX(Lists!$U:$U,MATCH(TRIM($I66),Lists!$T:$T,0)),TRIM($I66))))</f>
        <v>Ampol Retail</v>
      </c>
      <c r="AK66" s="865" t="str">
        <f>IF(ISNUMBER(SEARCH("vacant",$B66)),"Vacant","Filled")</f>
        <v>Filled</v>
      </c>
      <c r="AL66" s="865" t="str">
        <f>IF($M66="NZ","NZ","AU")</f>
        <v>AU</v>
      </c>
      <c r="AM66" s="865">
        <f>COUNTIF($AJ$2:$AJ66,$AJ66)</f>
        <v>35</v>
      </c>
      <c r="AN66" s="865" t="str">
        <f>$AJ66&amp;"|"&amp;$AM66</f>
        <v>Ampol Retail|35</v>
      </c>
      <c r="AP66" s="865" t="str">
        <f>IF(TRIM($B66)="","",IF($AQ66=1,"Leadership",IFERROR(INDEX(Lists!$X:$X,MATCH(TRIM($K66),Lists!$W:$W,0)),IF(OR(TRIM($K66)="",LOWER(TRIM($K66))="na"),IF(TRIM($G66)="","Unassigned",TRIM($G66)),TRIM($K66)))))</f>
        <v>Store Operations</v>
      </c>
      <c r="AQ66" s="865" t="b">
        <f>IF(TRIM($B66)="","",--OR(TRIM($K66)="Leadership",TRIM($J66)="Leadership"))</f>
        <v>0</v>
      </c>
      <c r="AR66" s="1136" t="str">
        <f>IF(TRIM($B66)="","",IF(IFERROR(INDEX(Lists!$AQ$2:$AQ$11,MATCH(ROW(),Lists!$AN$2:$AN$11,0)),"")&lt;&gt;"",IFERROR(INDEX(Lists!$AQ$2:$AQ$11,MATCH(ROW(),Lists!$AN$2:$AN$11,0)),""),IF(ISNUMBER(SEARCH("head of ",$C66)),"Head of Technology",IF(ISNUMBER(SEARCH("TDD BP",$C66)),"Business Partner",IF(OR(ISNUMBER(SEARCH("domain architect",$C66)),ISNUMBER(SEARCH("enterprise architect",$C66))),"Domain Architect",IF(ISNUMBER(SEARCH("delivery man",$C66)),"Delivery Manager",IF(OR(ISNUMBER(SEARCH("technology manager",$C66)),ISNUMBER(SEARCH("technology manger",$C66)),ISNUMBER(SEARCH("tech manager",$C66))),"Technology Manager","Squad")))))))</f>
        <v>Squad</v>
      </c>
      <c r="AS66" s="1136" t="str">
        <f>IF(TRIM($B66)="","",IFERROR(INDEX(Lists!$AA:$AA,MATCH($AP66,Lists!$Z:$Z,0)),$AP66))</f>
        <v>Store Operations</v>
      </c>
      <c r="AT66" s="1136" t="str">
        <f>IF(TRIM($B66)="","",IF(IFERROR(INDEX(Lists!$AP$2:$AP$11,MATCH(ROW(),Lists!$AN$2:$AN$11,0)),"")&lt;&gt;"",IFERROR(INDEX(Lists!$AP$2:$AP$11,MATCH(ROW(),Lists!$AN$2:$AN$11,0)),""),IF(OR(LEFT($AJ66,3)="COE",$AJ66="EGI"),$AP66,IF($AR66&lt;&gt;"Squad",$AR66,$AP66))))</f>
        <v>Store Operations</v>
      </c>
    </row>
    <row r="67" ht="18" customHeight="1" s="866">
      <c r="A67" s="1155" t="inlineStr">
        <is>
          <t>V</t>
        </is>
      </c>
      <c r="B67" s="1156" t="inlineStr">
        <is>
          <t>Vacant</t>
        </is>
      </c>
      <c r="C67" s="1156" t="inlineStr">
        <is>
          <t>Business Analyst</t>
        </is>
      </c>
      <c r="D67" s="1156" t="inlineStr">
        <is>
          <t>Vanessa Allen</t>
        </is>
      </c>
      <c r="E67" s="1156" t="inlineStr">
        <is>
          <t>Delivery Manager, Ampol Retail</t>
        </is>
      </c>
      <c r="F67" s="1157" t="inlineStr">
        <is>
          <t>Ampol Retail &amp; Z</t>
        </is>
      </c>
      <c r="G67" s="1158" t="inlineStr">
        <is>
          <t>Ampol Retail</t>
        </is>
      </c>
      <c r="H67" s="1156" t="inlineStr">
        <is>
          <t>Ampol Retail, Delivery</t>
        </is>
      </c>
      <c r="I67" s="1156" t="inlineStr">
        <is>
          <t>Retail</t>
        </is>
      </c>
      <c r="J67" s="1158" t="inlineStr">
        <is>
          <t>Above Store</t>
        </is>
      </c>
      <c r="K67" s="1158" t="inlineStr">
        <is>
          <t>Above Store</t>
        </is>
      </c>
      <c r="L67" s="1158" t="n"/>
      <c r="M67" s="1159" t="inlineStr">
        <is>
          <t>Australia</t>
        </is>
      </c>
      <c r="N67" s="1160" t="inlineStr">
        <is>
          <t>CIB</t>
        </is>
      </c>
      <c r="O67" s="1160" t="n">
        <v>1</v>
      </c>
      <c r="P67" s="1160" t="n"/>
      <c r="Q67" s="1160" t="inlineStr">
        <is>
          <t>V</t>
        </is>
      </c>
      <c r="R67" s="1162" t="n"/>
      <c r="S67" s="1162" t="n"/>
      <c r="T67" s="1163" t="n">
        <v>151950</v>
      </c>
      <c r="U67" s="1174" t="n">
        <v>151950</v>
      </c>
      <c r="V67" s="1166" t="n">
        <v>0.12</v>
      </c>
      <c r="W67" s="1170" t="n">
        <v>0.055</v>
      </c>
      <c r="X67" s="1170" t="n">
        <v>0.12</v>
      </c>
      <c r="Y67" s="1171" t="n"/>
      <c r="Z67" s="1170" t="n">
        <v>0.04</v>
      </c>
      <c r="AA67" s="1168">
        <f>IF(TRIM($B67)="","",IF(N($AU67)&gt;0,$AU67,IF(N($S67)&gt;0,$S67*Lists!$AG$15*(1+N($Z67)),N($U67)*(1+N($V67)+N($W67)+N($X67)+N($Z67))+N($Y67))))</f>
        <v>202853.25</v>
      </c>
      <c r="AJ67" s="865" t="str">
        <f>IF(TRIM($B67)="","",IF(IFERROR(INDEX(Lists!$AO$2:$AO$11,MATCH(ROW(),Lists!$AN$2:$AN$11,0)),"")&lt;&gt;"",IFERROR(INDEX(Lists!$AO$2:$AO$11,MATCH(ROW(),Lists!$AN$2:$AN$11,0)),""),IFERROR(INDEX(Lists!$U:$U,MATCH(TRIM($I67),Lists!$T:$T,0)),TRIM($I67))))</f>
        <v>Ampol Retail</v>
      </c>
      <c r="AK67" s="865" t="str">
        <f>IF(ISNUMBER(SEARCH("vacant",$B67)),"Vacant","Filled")</f>
        <v>Vacant</v>
      </c>
      <c r="AL67" s="865" t="str">
        <f>IF($M67="NZ","NZ","AU")</f>
        <v>AU</v>
      </c>
      <c r="AM67" s="865">
        <f>COUNTIF($AJ$2:$AJ67,$AJ67)</f>
        <v>36</v>
      </c>
      <c r="AN67" s="865" t="str">
        <f>$AJ67&amp;"|"&amp;$AM67</f>
        <v>Ampol Retail|36</v>
      </c>
      <c r="AP67" s="865" t="str">
        <f>IF(TRIM($B67)="","",IF($AQ67=1,"Leadership",IFERROR(INDEX(Lists!$X:$X,MATCH(TRIM($K67),Lists!$W:$W,0)),IF(OR(TRIM($K67)="",LOWER(TRIM($K67))="na"),IF(TRIM($G67)="","Unassigned",TRIM($G67)),TRIM($K67)))))</f>
        <v>Above Store</v>
      </c>
      <c r="AQ67" s="865" t="b">
        <f>IF(TRIM($B67)="","",--OR(TRIM($K67)="Leadership",TRIM($J67)="Leadership"))</f>
        <v>0</v>
      </c>
      <c r="AR67" s="1136" t="str">
        <f>IF(TRIM($B67)="","",IF(IFERROR(INDEX(Lists!$AQ$2:$AQ$11,MATCH(ROW(),Lists!$AN$2:$AN$11,0)),"")&lt;&gt;"",IFERROR(INDEX(Lists!$AQ$2:$AQ$11,MATCH(ROW(),Lists!$AN$2:$AN$11,0)),""),IF(ISNUMBER(SEARCH("head of ",$C67)),"Head of Technology",IF(ISNUMBER(SEARCH("TDD BP",$C67)),"Business Partner",IF(OR(ISNUMBER(SEARCH("domain architect",$C67)),ISNUMBER(SEARCH("enterprise architect",$C67))),"Domain Architect",IF(ISNUMBER(SEARCH("delivery man",$C67)),"Delivery Manager",IF(OR(ISNUMBER(SEARCH("technology manager",$C67)),ISNUMBER(SEARCH("technology manger",$C67)),ISNUMBER(SEARCH("tech manager",$C67))),"Technology Manager","Squad")))))))</f>
        <v>Squad</v>
      </c>
      <c r="AS67" s="1136" t="str">
        <f>IF(TRIM($B67)="","",IFERROR(INDEX(Lists!$AA:$AA,MATCH($AP67,Lists!$Z:$Z,0)),$AP67))</f>
        <v>Above Store</v>
      </c>
      <c r="AT67" s="1136" t="str">
        <f>IF(TRIM($B67)="","",IF(IFERROR(INDEX(Lists!$AP$2:$AP$11,MATCH(ROW(),Lists!$AN$2:$AN$11,0)),"")&lt;&gt;"",IFERROR(INDEX(Lists!$AP$2:$AP$11,MATCH(ROW(),Lists!$AN$2:$AN$11,0)),""),IF(OR(LEFT($AJ67,3)="COE",$AJ67="EGI"),$AP67,IF($AR67&lt;&gt;"Squad",$AR67,$AP67))))</f>
        <v>Above Store</v>
      </c>
    </row>
    <row r="68" ht="18" customHeight="1" s="866">
      <c r="A68" s="1155" t="inlineStr">
        <is>
          <t>V</t>
        </is>
      </c>
      <c r="B68" s="1156" t="inlineStr">
        <is>
          <t>Vacant</t>
        </is>
      </c>
      <c r="C68" s="1156" t="inlineStr">
        <is>
          <t>Business Analyst</t>
        </is>
      </c>
      <c r="D68" s="1156" t="inlineStr">
        <is>
          <t>Vanessa Allen</t>
        </is>
      </c>
      <c r="E68" s="1156" t="inlineStr">
        <is>
          <t>Delivery Manager, Ampol Retail</t>
        </is>
      </c>
      <c r="F68" s="1157" t="inlineStr">
        <is>
          <t>Ampol Retail &amp; Z</t>
        </is>
      </c>
      <c r="G68" s="1158" t="inlineStr">
        <is>
          <t>Ampol Retail</t>
        </is>
      </c>
      <c r="H68" s="1156" t="inlineStr">
        <is>
          <t>Ampol Retail, Delivery</t>
        </is>
      </c>
      <c r="I68" s="1156" t="inlineStr">
        <is>
          <t>Retail</t>
        </is>
      </c>
      <c r="J68" s="1158" t="inlineStr">
        <is>
          <t>Network/QSR</t>
        </is>
      </c>
      <c r="K68" s="1156" t="inlineStr">
        <is>
          <t>Network &amp; QSR</t>
        </is>
      </c>
      <c r="L68" s="1158" t="n"/>
      <c r="M68" s="1159" t="inlineStr">
        <is>
          <t>Australia</t>
        </is>
      </c>
      <c r="N68" s="1160" t="inlineStr">
        <is>
          <t>CIB</t>
        </is>
      </c>
      <c r="O68" s="1160" t="n">
        <v>1</v>
      </c>
      <c r="P68" s="1160" t="n"/>
      <c r="Q68" s="1160" t="inlineStr">
        <is>
          <t>V</t>
        </is>
      </c>
      <c r="R68" s="1162" t="n"/>
      <c r="S68" s="1162" t="n"/>
      <c r="T68" s="1163" t="n">
        <v>151950</v>
      </c>
      <c r="U68" s="1174" t="n">
        <v>151950</v>
      </c>
      <c r="V68" s="1166" t="n">
        <v>0.12</v>
      </c>
      <c r="W68" s="1170" t="n">
        <v>0.055</v>
      </c>
      <c r="X68" s="1170" t="n">
        <v>0.12</v>
      </c>
      <c r="Y68" s="1171" t="n"/>
      <c r="Z68" s="1170" t="n">
        <v>0.04</v>
      </c>
      <c r="AA68" s="1168">
        <f>IF(TRIM($B68)="","",IF(N($AU68)&gt;0,$AU68,IF(N($S68)&gt;0,$S68*Lists!$AG$15*(1+N($Z68)),N($U68)*(1+N($V68)+N($W68)+N($X68)+N($Z68))+N($Y68))))</f>
        <v>202853.25</v>
      </c>
      <c r="AJ68" s="865" t="str">
        <f>IF(TRIM($B68)="","",IF(IFERROR(INDEX(Lists!$AO$2:$AO$11,MATCH(ROW(),Lists!$AN$2:$AN$11,0)),"")&lt;&gt;"",IFERROR(INDEX(Lists!$AO$2:$AO$11,MATCH(ROW(),Lists!$AN$2:$AN$11,0)),""),IFERROR(INDEX(Lists!$U:$U,MATCH(TRIM($I68),Lists!$T:$T,0)),TRIM($I68))))</f>
        <v>Ampol Retail</v>
      </c>
      <c r="AK68" s="865" t="str">
        <f>IF(ISNUMBER(SEARCH("vacant",$B68)),"Vacant","Filled")</f>
        <v>Vacant</v>
      </c>
      <c r="AL68" s="865" t="str">
        <f>IF($M68="NZ","NZ","AU")</f>
        <v>AU</v>
      </c>
      <c r="AM68" s="865">
        <f>COUNTIF($AJ$2:$AJ68,$AJ68)</f>
        <v>37</v>
      </c>
      <c r="AN68" s="865" t="str">
        <f>$AJ68&amp;"|"&amp;$AM68</f>
        <v>Ampol Retail|37</v>
      </c>
      <c r="AP68" s="865" t="str">
        <f>IF(TRIM($B68)="","",IF($AQ68=1,"Leadership",IFERROR(INDEX(Lists!$X:$X,MATCH(TRIM($K68),Lists!$W:$W,0)),IF(OR(TRIM($K68)="",LOWER(TRIM($K68))="na"),IF(TRIM($G68)="","Unassigned",TRIM($G68)),TRIM($K68)))))</f>
        <v>Network &amp; QSR</v>
      </c>
      <c r="AQ68" s="865" t="b">
        <f>IF(TRIM($B68)="","",--OR(TRIM($K68)="Leadership",TRIM($J68)="Leadership"))</f>
        <v>0</v>
      </c>
      <c r="AR68" s="1136" t="str">
        <f>IF(TRIM($B68)="","",IF(IFERROR(INDEX(Lists!$AQ$2:$AQ$11,MATCH(ROW(),Lists!$AN$2:$AN$11,0)),"")&lt;&gt;"",IFERROR(INDEX(Lists!$AQ$2:$AQ$11,MATCH(ROW(),Lists!$AN$2:$AN$11,0)),""),IF(ISNUMBER(SEARCH("head of ",$C68)),"Head of Technology",IF(ISNUMBER(SEARCH("TDD BP",$C68)),"Business Partner",IF(OR(ISNUMBER(SEARCH("domain architect",$C68)),ISNUMBER(SEARCH("enterprise architect",$C68))),"Domain Architect",IF(ISNUMBER(SEARCH("delivery man",$C68)),"Delivery Manager",IF(OR(ISNUMBER(SEARCH("technology manager",$C68)),ISNUMBER(SEARCH("technology manger",$C68)),ISNUMBER(SEARCH("tech manager",$C68))),"Technology Manager","Squad")))))))</f>
        <v>Squad</v>
      </c>
      <c r="AS68" s="1136" t="str">
        <f>IF(TRIM($B68)="","",IFERROR(INDEX(Lists!$AA:$AA,MATCH($AP68,Lists!$Z:$Z,0)),$AP68))</f>
        <v>Network &amp; QSR</v>
      </c>
      <c r="AT68" s="1136" t="str">
        <f>IF(TRIM($B68)="","",IF(IFERROR(INDEX(Lists!$AP$2:$AP$11,MATCH(ROW(),Lists!$AN$2:$AN$11,0)),"")&lt;&gt;"",IFERROR(INDEX(Lists!$AP$2:$AP$11,MATCH(ROW(),Lists!$AN$2:$AN$11,0)),""),IF(OR(LEFT($AJ68,3)="COE",$AJ68="EGI"),$AP68,IF($AR68&lt;&gt;"Squad",$AR68,$AP68))))</f>
        <v>Network &amp; QSR</v>
      </c>
    </row>
    <row r="69" ht="18" customHeight="1" s="866">
      <c r="A69" s="1155" t="inlineStr">
        <is>
          <t>V</t>
        </is>
      </c>
      <c r="B69" s="1156" t="inlineStr">
        <is>
          <t>Vacant</t>
        </is>
      </c>
      <c r="C69" s="1156" t="inlineStr">
        <is>
          <t>Business Analyst</t>
        </is>
      </c>
      <c r="D69" s="1156" t="inlineStr">
        <is>
          <t>Vanessa Allen</t>
        </is>
      </c>
      <c r="E69" s="1156" t="inlineStr">
        <is>
          <t>Delivery Manager, Ampol Retail</t>
        </is>
      </c>
      <c r="F69" s="1157" t="inlineStr">
        <is>
          <t>Ampol Retail &amp; Z</t>
        </is>
      </c>
      <c r="G69" s="1158" t="inlineStr">
        <is>
          <t>Ampol Retail</t>
        </is>
      </c>
      <c r="H69" s="1156" t="inlineStr">
        <is>
          <t>Ampol Retail, Delivery</t>
        </is>
      </c>
      <c r="I69" s="1156" t="inlineStr">
        <is>
          <t>Retail</t>
        </is>
      </c>
      <c r="J69" s="1158" t="inlineStr">
        <is>
          <t>Store Operations</t>
        </is>
      </c>
      <c r="K69" s="1156" t="inlineStr">
        <is>
          <t>POS</t>
        </is>
      </c>
      <c r="L69" s="1158" t="n"/>
      <c r="M69" s="1159" t="inlineStr">
        <is>
          <t>Australia</t>
        </is>
      </c>
      <c r="N69" s="1160" t="inlineStr">
        <is>
          <t>CIB</t>
        </is>
      </c>
      <c r="O69" s="1160" t="n">
        <v>1</v>
      </c>
      <c r="P69" s="1160" t="n"/>
      <c r="Q69" s="1160" t="inlineStr">
        <is>
          <t>v</t>
        </is>
      </c>
      <c r="R69" s="1162" t="n"/>
      <c r="S69" s="1162" t="n"/>
      <c r="T69" s="1163" t="n">
        <v>129659</v>
      </c>
      <c r="U69" s="1174" t="n">
        <v>129659</v>
      </c>
      <c r="V69" s="1166" t="n">
        <v>0.1</v>
      </c>
      <c r="W69" s="1170" t="n">
        <v>0.055</v>
      </c>
      <c r="X69" s="1170" t="n">
        <v>0.12</v>
      </c>
      <c r="Y69" s="1171" t="n"/>
      <c r="Z69" s="1170" t="n">
        <v>0.04</v>
      </c>
      <c r="AA69" s="1168">
        <f>IF(TRIM($B69)="","",IF(N($AU69)&gt;0,$AU69,IF(N($S69)&gt;0,$S69*Lists!$AG$15*(1+N($Z69)),N($U69)*(1+N($V69)+N($W69)+N($X69)+N($Z69))+N($Y69))))</f>
        <v>170501.585</v>
      </c>
      <c r="AJ69" s="865" t="str">
        <f>IF(TRIM($B69)="","",IF(IFERROR(INDEX(Lists!$AO$2:$AO$11,MATCH(ROW(),Lists!$AN$2:$AN$11,0)),"")&lt;&gt;"",IFERROR(INDEX(Lists!$AO$2:$AO$11,MATCH(ROW(),Lists!$AN$2:$AN$11,0)),""),IFERROR(INDEX(Lists!$U:$U,MATCH(TRIM($I69),Lists!$T:$T,0)),TRIM($I69))))</f>
        <v>Ampol Retail</v>
      </c>
      <c r="AK69" s="865" t="str">
        <f>IF(ISNUMBER(SEARCH("vacant",$B69)),"Vacant","Filled")</f>
        <v>Vacant</v>
      </c>
      <c r="AL69" s="865" t="str">
        <f>IF($M69="NZ","NZ","AU")</f>
        <v>AU</v>
      </c>
      <c r="AM69" s="865">
        <f>COUNTIF($AJ$2:$AJ69,$AJ69)</f>
        <v>38</v>
      </c>
      <c r="AN69" s="865" t="str">
        <f>$AJ69&amp;"|"&amp;$AM69</f>
        <v>Ampol Retail|38</v>
      </c>
      <c r="AP69" s="865" t="str">
        <f>IF(TRIM($B69)="","",IF($AQ69=1,"Leadership",IFERROR(INDEX(Lists!$X:$X,MATCH(TRIM($K69),Lists!$W:$W,0)),IF(OR(TRIM($K69)="",LOWER(TRIM($K69))="na"),IF(TRIM($G69)="","Unassigned",TRIM($G69)),TRIM($K69)))))</f>
        <v>POS</v>
      </c>
      <c r="AQ69" s="865" t="b">
        <f>IF(TRIM($B69)="","",--OR(TRIM($K69)="Leadership",TRIM($J69)="Leadership"))</f>
        <v>0</v>
      </c>
      <c r="AR69" s="1136" t="str">
        <f>IF(TRIM($B69)="","",IF(IFERROR(INDEX(Lists!$AQ$2:$AQ$11,MATCH(ROW(),Lists!$AN$2:$AN$11,0)),"")&lt;&gt;"",IFERROR(INDEX(Lists!$AQ$2:$AQ$11,MATCH(ROW(),Lists!$AN$2:$AN$11,0)),""),IF(ISNUMBER(SEARCH("head of ",$C69)),"Head of Technology",IF(ISNUMBER(SEARCH("TDD BP",$C69)),"Business Partner",IF(OR(ISNUMBER(SEARCH("domain architect",$C69)),ISNUMBER(SEARCH("enterprise architect",$C69))),"Domain Architect",IF(ISNUMBER(SEARCH("delivery man",$C69)),"Delivery Manager",IF(OR(ISNUMBER(SEARCH("technology manager",$C69)),ISNUMBER(SEARCH("technology manger",$C69)),ISNUMBER(SEARCH("tech manager",$C69))),"Technology Manager","Squad")))))))</f>
        <v>Squad</v>
      </c>
      <c r="AS69" s="1136" t="str">
        <f>IF(TRIM($B69)="","",IFERROR(INDEX(Lists!$AA:$AA,MATCH($AP69,Lists!$Z:$Z,0)),$AP69))</f>
        <v>POS</v>
      </c>
      <c r="AT69" s="1136" t="str">
        <f>IF(TRIM($B69)="","",IF(IFERROR(INDEX(Lists!$AP$2:$AP$11,MATCH(ROW(),Lists!$AN$2:$AN$11,0)),"")&lt;&gt;"",IFERROR(INDEX(Lists!$AP$2:$AP$11,MATCH(ROW(),Lists!$AN$2:$AN$11,0)),""),IF(OR(LEFT($AJ69,3)="COE",$AJ69="EGI"),$AP69,IF($AR69&lt;&gt;"Squad",$AR69,$AP69))))</f>
        <v>POS</v>
      </c>
    </row>
    <row r="70" ht="18" customHeight="1" s="866">
      <c r="A70" s="1155" t="inlineStr">
        <is>
          <t>V</t>
        </is>
      </c>
      <c r="B70" s="1156" t="inlineStr">
        <is>
          <t>Vacant</t>
        </is>
      </c>
      <c r="C70" s="1156" t="inlineStr">
        <is>
          <t>Data Analyst</t>
        </is>
      </c>
      <c r="D70" s="1158" t="inlineStr">
        <is>
          <t>Vacant</t>
        </is>
      </c>
      <c r="E70" s="1156" t="inlineStr">
        <is>
          <t>Technology Manager, Data</t>
        </is>
      </c>
      <c r="F70" s="1157" t="inlineStr">
        <is>
          <t>Ampol Retail &amp; Z</t>
        </is>
      </c>
      <c r="G70" s="1158" t="inlineStr">
        <is>
          <t>Z &amp; Group Retail</t>
        </is>
      </c>
      <c r="H70" s="1156" t="inlineStr">
        <is>
          <t>Z &amp; Group Retail, Data</t>
        </is>
      </c>
      <c r="I70" s="1156" t="inlineStr">
        <is>
          <t>Retail</t>
        </is>
      </c>
      <c r="J70" s="1158" t="inlineStr">
        <is>
          <t>(All Retail)</t>
        </is>
      </c>
      <c r="K70" s="1156" t="inlineStr">
        <is>
          <t>Data - AU</t>
        </is>
      </c>
      <c r="L70" s="1158" t="n"/>
      <c r="M70" s="1159" t="inlineStr">
        <is>
          <t>Australia</t>
        </is>
      </c>
      <c r="N70" s="1160" t="inlineStr">
        <is>
          <t>CIB</t>
        </is>
      </c>
      <c r="O70" s="1160" t="n">
        <v>1</v>
      </c>
      <c r="P70" s="1160" t="n"/>
      <c r="Q70" s="1160" t="inlineStr">
        <is>
          <t>V</t>
        </is>
      </c>
      <c r="R70" s="1162" t="n"/>
      <c r="S70" s="1162" t="n"/>
      <c r="T70" s="1163" t="n">
        <v>151000</v>
      </c>
      <c r="U70" s="1174" t="n">
        <v>151000</v>
      </c>
      <c r="V70" s="1166" t="n">
        <v>0.12</v>
      </c>
      <c r="W70" s="1170" t="n">
        <v>0.055</v>
      </c>
      <c r="X70" s="1170" t="n">
        <v>0.12</v>
      </c>
      <c r="Y70" s="1171" t="n"/>
      <c r="Z70" s="1170" t="n">
        <v>0.04</v>
      </c>
      <c r="AA70" s="1168">
        <f>IF(TRIM($B70)="","",IF(N($AU70)&gt;0,$AU70,IF(N($S70)&gt;0,$S70*Lists!$AG$15*(1+N($Z70)),N($U70)*(1+N($V70)+N($W70)+N($X70)+N($Z70))+N($Y70))))</f>
        <v>201585</v>
      </c>
      <c r="AJ70" s="865" t="str">
        <f>IF(TRIM($B70)="","",IF(IFERROR(INDEX(Lists!$AO$2:$AO$11,MATCH(ROW(),Lists!$AN$2:$AN$11,0)),"")&lt;&gt;"",IFERROR(INDEX(Lists!$AO$2:$AO$11,MATCH(ROW(),Lists!$AN$2:$AN$11,0)),""),IFERROR(INDEX(Lists!$U:$U,MATCH(TRIM($I70),Lists!$T:$T,0)),TRIM($I70))))</f>
        <v>Ampol Retail</v>
      </c>
      <c r="AK70" s="865" t="str">
        <f>IF(ISNUMBER(SEARCH("vacant",$B70)),"Vacant","Filled")</f>
        <v>Vacant</v>
      </c>
      <c r="AL70" s="865" t="str">
        <f>IF($M70="NZ","NZ","AU")</f>
        <v>AU</v>
      </c>
      <c r="AM70" s="865">
        <f>COUNTIF($AJ$2:$AJ70,$AJ70)</f>
        <v>39</v>
      </c>
      <c r="AN70" s="865" t="str">
        <f>$AJ70&amp;"|"&amp;$AM70</f>
        <v>Ampol Retail|39</v>
      </c>
      <c r="AP70" s="865" t="str">
        <f>IF(TRIM($B70)="","",IF($AQ70=1,"Leadership",IFERROR(INDEX(Lists!$X:$X,MATCH(TRIM($K70),Lists!$W:$W,0)),IF(OR(TRIM($K70)="",LOWER(TRIM($K70))="na"),IF(TRIM($G70)="","Unassigned",TRIM($G70)),TRIM($K70)))))</f>
        <v>Data AU</v>
      </c>
      <c r="AQ70" s="865" t="b">
        <f>IF(TRIM($B70)="","",--OR(TRIM($K70)="Leadership",TRIM($J70)="Leadership"))</f>
        <v>0</v>
      </c>
      <c r="AR70" s="1136" t="str">
        <f>IF(TRIM($B70)="","",IF(IFERROR(INDEX(Lists!$AQ$2:$AQ$11,MATCH(ROW(),Lists!$AN$2:$AN$11,0)),"")&lt;&gt;"",IFERROR(INDEX(Lists!$AQ$2:$AQ$11,MATCH(ROW(),Lists!$AN$2:$AN$11,0)),""),IF(ISNUMBER(SEARCH("head of ",$C70)),"Head of Technology",IF(ISNUMBER(SEARCH("TDD BP",$C70)),"Business Partner",IF(OR(ISNUMBER(SEARCH("domain architect",$C70)),ISNUMBER(SEARCH("enterprise architect",$C70))),"Domain Architect",IF(ISNUMBER(SEARCH("delivery man",$C70)),"Delivery Manager",IF(OR(ISNUMBER(SEARCH("technology manager",$C70)),ISNUMBER(SEARCH("technology manger",$C70)),ISNUMBER(SEARCH("tech manager",$C70))),"Technology Manager","Squad")))))))</f>
        <v>Squad</v>
      </c>
      <c r="AS70" s="1136" t="str">
        <f>IF(TRIM($B70)="","",IFERROR(INDEX(Lists!$AA:$AA,MATCH($AP70,Lists!$Z:$Z,0)),$AP70))</f>
        <v>Data AU</v>
      </c>
      <c r="AT70" s="1136" t="str">
        <f>IF(TRIM($B70)="","",IF(IFERROR(INDEX(Lists!$AP$2:$AP$11,MATCH(ROW(),Lists!$AN$2:$AN$11,0)),"")&lt;&gt;"",IFERROR(INDEX(Lists!$AP$2:$AP$11,MATCH(ROW(),Lists!$AN$2:$AN$11,0)),""),IF(OR(LEFT($AJ70,3)="COE",$AJ70="EGI"),$AP70,IF($AR70&lt;&gt;"Squad",$AR70,$AP70))))</f>
        <v>Data AU</v>
      </c>
    </row>
    <row r="71" ht="18" customHeight="1" s="866">
      <c r="A71" s="1155" t="inlineStr">
        <is>
          <t>V</t>
        </is>
      </c>
      <c r="B71" s="1156" t="inlineStr">
        <is>
          <t>Vacant</t>
        </is>
      </c>
      <c r="C71" s="1156" t="inlineStr">
        <is>
          <t>Data Analyst</t>
        </is>
      </c>
      <c r="D71" s="1158" t="inlineStr">
        <is>
          <t>Vacant</t>
        </is>
      </c>
      <c r="E71" s="1156" t="inlineStr">
        <is>
          <t>Technology Manager, Data</t>
        </is>
      </c>
      <c r="F71" s="1157" t="inlineStr">
        <is>
          <t>Ampol Retail &amp; Z</t>
        </is>
      </c>
      <c r="G71" s="1158" t="inlineStr">
        <is>
          <t>Z &amp; Group Retail</t>
        </is>
      </c>
      <c r="H71" s="1156" t="inlineStr">
        <is>
          <t>Z &amp; Group Retail, Data</t>
        </is>
      </c>
      <c r="I71" s="1156" t="inlineStr">
        <is>
          <t>Retail</t>
        </is>
      </c>
      <c r="J71" s="1158" t="inlineStr">
        <is>
          <t>(All Retail)</t>
        </is>
      </c>
      <c r="K71" s="1156" t="inlineStr">
        <is>
          <t>Data - AU</t>
        </is>
      </c>
      <c r="L71" s="1158" t="n"/>
      <c r="M71" s="1159" t="inlineStr">
        <is>
          <t>Australia</t>
        </is>
      </c>
      <c r="N71" s="1160" t="inlineStr">
        <is>
          <t>CIB</t>
        </is>
      </c>
      <c r="O71" s="1160" t="n">
        <v>1</v>
      </c>
      <c r="P71" s="1160" t="n"/>
      <c r="Q71" s="1160" t="inlineStr">
        <is>
          <t>V</t>
        </is>
      </c>
      <c r="R71" s="1162" t="n"/>
      <c r="S71" s="1162" t="n"/>
      <c r="T71" s="1163" t="n">
        <v>173550</v>
      </c>
      <c r="U71" s="1174" t="n">
        <v>173550</v>
      </c>
      <c r="V71" s="1166" t="n">
        <v>0.12</v>
      </c>
      <c r="W71" s="1170" t="n">
        <v>0.055</v>
      </c>
      <c r="X71" s="1170" t="n">
        <v>0.12</v>
      </c>
      <c r="Y71" s="1171" t="n"/>
      <c r="Z71" s="1170" t="n">
        <v>0.04</v>
      </c>
      <c r="AA71" s="1168">
        <f>IF(TRIM($B71)="","",IF(N($AU71)&gt;0,$AU71,IF(N($S71)&gt;0,$S71*Lists!$AG$15*(1+N($Z71)),N($U71)*(1+N($V71)+N($W71)+N($X71)+N($Z71))+N($Y71))))</f>
        <v>231689.25</v>
      </c>
      <c r="AJ71" s="865" t="str">
        <f>IF(TRIM($B71)="","",IF(IFERROR(INDEX(Lists!$AO$2:$AO$11,MATCH(ROW(),Lists!$AN$2:$AN$11,0)),"")&lt;&gt;"",IFERROR(INDEX(Lists!$AO$2:$AO$11,MATCH(ROW(),Lists!$AN$2:$AN$11,0)),""),IFERROR(INDEX(Lists!$U:$U,MATCH(TRIM($I71),Lists!$T:$T,0)),TRIM($I71))))</f>
        <v>Ampol Retail</v>
      </c>
      <c r="AK71" s="865" t="str">
        <f>IF(ISNUMBER(SEARCH("vacant",$B71)),"Vacant","Filled")</f>
        <v>Vacant</v>
      </c>
      <c r="AL71" s="865" t="str">
        <f>IF($M71="NZ","NZ","AU")</f>
        <v>AU</v>
      </c>
      <c r="AM71" s="865">
        <f>COUNTIF($AJ$2:$AJ71,$AJ71)</f>
        <v>40</v>
      </c>
      <c r="AN71" s="865" t="str">
        <f>$AJ71&amp;"|"&amp;$AM71</f>
        <v>Ampol Retail|40</v>
      </c>
      <c r="AP71" s="865" t="str">
        <f>IF(TRIM($B71)="","",IF($AQ71=1,"Leadership",IFERROR(INDEX(Lists!$X:$X,MATCH(TRIM($K71),Lists!$W:$W,0)),IF(OR(TRIM($K71)="",LOWER(TRIM($K71))="na"),IF(TRIM($G71)="","Unassigned",TRIM($G71)),TRIM($K71)))))</f>
        <v>Data AU</v>
      </c>
      <c r="AQ71" s="865" t="b">
        <f>IF(TRIM($B71)="","",--OR(TRIM($K71)="Leadership",TRIM($J71)="Leadership"))</f>
        <v>0</v>
      </c>
      <c r="AR71" s="1136" t="str">
        <f>IF(TRIM($B71)="","",IF(IFERROR(INDEX(Lists!$AQ$2:$AQ$11,MATCH(ROW(),Lists!$AN$2:$AN$11,0)),"")&lt;&gt;"",IFERROR(INDEX(Lists!$AQ$2:$AQ$11,MATCH(ROW(),Lists!$AN$2:$AN$11,0)),""),IF(ISNUMBER(SEARCH("head of ",$C71)),"Head of Technology",IF(ISNUMBER(SEARCH("TDD BP",$C71)),"Business Partner",IF(OR(ISNUMBER(SEARCH("domain architect",$C71)),ISNUMBER(SEARCH("enterprise architect",$C71))),"Domain Architect",IF(ISNUMBER(SEARCH("delivery man",$C71)),"Delivery Manager",IF(OR(ISNUMBER(SEARCH("technology manager",$C71)),ISNUMBER(SEARCH("technology manger",$C71)),ISNUMBER(SEARCH("tech manager",$C71))),"Technology Manager","Squad")))))))</f>
        <v>Squad</v>
      </c>
      <c r="AS71" s="1136" t="str">
        <f>IF(TRIM($B71)="","",IFERROR(INDEX(Lists!$AA:$AA,MATCH($AP71,Lists!$Z:$Z,0)),$AP71))</f>
        <v>Data AU</v>
      </c>
      <c r="AT71" s="1136" t="str">
        <f>IF(TRIM($B71)="","",IF(IFERROR(INDEX(Lists!$AP$2:$AP$11,MATCH(ROW(),Lists!$AN$2:$AN$11,0)),"")&lt;&gt;"",IFERROR(INDEX(Lists!$AP$2:$AP$11,MATCH(ROW(),Lists!$AN$2:$AN$11,0)),""),IF(OR(LEFT($AJ71,3)="COE",$AJ71="EGI"),$AP71,IF($AR71&lt;&gt;"Squad",$AR71,$AP71))))</f>
        <v>Data AU</v>
      </c>
    </row>
    <row r="72" ht="18" customFormat="1" customHeight="1" s="1201">
      <c r="A72" s="1155" t="inlineStr">
        <is>
          <t>V</t>
        </is>
      </c>
      <c r="B72" s="1156" t="inlineStr">
        <is>
          <t>Vacant</t>
        </is>
      </c>
      <c r="C72" s="1156" t="inlineStr">
        <is>
          <t>Delivery Lead</t>
        </is>
      </c>
      <c r="D72" s="1158" t="inlineStr">
        <is>
          <t>Vacant</t>
        </is>
      </c>
      <c r="E72" s="1202" t="inlineStr">
        <is>
          <t>Delivery Manager, Z and Retail Data</t>
        </is>
      </c>
      <c r="F72" s="1157" t="inlineStr">
        <is>
          <t>Ampol Retail &amp; Z</t>
        </is>
      </c>
      <c r="G72" s="1158" t="inlineStr">
        <is>
          <t>Z &amp; Group Retail</t>
        </is>
      </c>
      <c r="H72" s="1156" t="inlineStr">
        <is>
          <t>Z &amp; Group Retail, Delivery</t>
        </is>
      </c>
      <c r="I72" s="1156" t="inlineStr">
        <is>
          <t>Retail</t>
        </is>
      </c>
      <c r="J72" s="1158" t="inlineStr">
        <is>
          <t>(All Retail)</t>
        </is>
      </c>
      <c r="K72" s="1156" t="inlineStr">
        <is>
          <t>Data - AU</t>
        </is>
      </c>
      <c r="L72" s="1158" t="n"/>
      <c r="M72" s="1159" t="inlineStr">
        <is>
          <t>Australia</t>
        </is>
      </c>
      <c r="N72" s="1160" t="inlineStr">
        <is>
          <t>CIC</t>
        </is>
      </c>
      <c r="O72" s="1160" t="n">
        <v>1</v>
      </c>
      <c r="P72" s="1160" t="n"/>
      <c r="Q72" s="1160" t="inlineStr">
        <is>
          <t>V</t>
        </is>
      </c>
      <c r="R72" s="1162" t="n"/>
      <c r="S72" s="1162" t="n"/>
      <c r="T72" s="1163" t="n">
        <v>151950</v>
      </c>
      <c r="U72" s="1174" t="n">
        <v>151950</v>
      </c>
      <c r="V72" s="1166" t="n">
        <v>0.12</v>
      </c>
      <c r="W72" s="1170" t="n">
        <v>0.055</v>
      </c>
      <c r="X72" s="1170" t="n">
        <v>0.12</v>
      </c>
      <c r="Y72" s="1171" t="n"/>
      <c r="Z72" s="1170" t="n">
        <v>0.04</v>
      </c>
      <c r="AA72" s="1168">
        <f>IF(TRIM($B72)="","",IF(N($AU72)&gt;0,$AU72,IF(N($S72)&gt;0,$S72*Lists!$AG$15*(1+N($Z72)),N($U72)*(1+N($V72)+N($W72)+N($X72)+N($Z72))+N($Y72))))</f>
        <v>202853.25</v>
      </c>
      <c r="AB72" s="1136" t="n"/>
      <c r="AC72" s="1136" t="n"/>
      <c r="AH72" s="1136" t="n"/>
      <c r="AJ72" s="865" t="str">
        <f>IF(TRIM($B72)="","",IF(IFERROR(INDEX(Lists!$AO$2:$AO$11,MATCH(ROW(),Lists!$AN$2:$AN$11,0)),"")&lt;&gt;"",IFERROR(INDEX(Lists!$AO$2:$AO$11,MATCH(ROW(),Lists!$AN$2:$AN$11,0)),""),IFERROR(INDEX(Lists!$U:$U,MATCH(TRIM($I72),Lists!$T:$T,0)),TRIM($I72))))</f>
        <v>Ampol Retail</v>
      </c>
      <c r="AK72" s="865" t="str">
        <f>IF(ISNUMBER(SEARCH("vacant",$B72)),"Vacant","Filled")</f>
        <v>Vacant</v>
      </c>
      <c r="AL72" s="865" t="str">
        <f>IF($M72="NZ","NZ","AU")</f>
        <v>AU</v>
      </c>
      <c r="AM72" s="865">
        <f>COUNTIF($AJ$2:$AJ72,$AJ72)</f>
        <v>41</v>
      </c>
      <c r="AN72" s="865" t="str">
        <f>$AJ72&amp;"|"&amp;$AM72</f>
        <v>Ampol Retail|41</v>
      </c>
      <c r="AP72" s="865" t="str">
        <f>IF(TRIM($B72)="","",IF($AQ72=1,"Leadership",IFERROR(INDEX(Lists!$X:$X,MATCH(TRIM($K72),Lists!$W:$W,0)),IF(OR(TRIM($K72)="",LOWER(TRIM($K72))="na"),IF(TRIM($G72)="","Unassigned",TRIM($G72)),TRIM($K72)))))</f>
        <v>Data AU</v>
      </c>
      <c r="AQ72" s="865" t="b">
        <f>IF(TRIM($B72)="","",--OR(TRIM($K72)="Leadership",TRIM($J72)="Leadership"))</f>
        <v>0</v>
      </c>
      <c r="AR72" s="1201" t="str">
        <f>IF(TRIM($B72)="","",IF(IFERROR(INDEX(Lists!$AQ$2:$AQ$11,MATCH(ROW(),Lists!$AN$2:$AN$11,0)),"")&lt;&gt;"",IFERROR(INDEX(Lists!$AQ$2:$AQ$11,MATCH(ROW(),Lists!$AN$2:$AN$11,0)),""),IF(ISNUMBER(SEARCH("head of ",$C72)),"Head of Technology",IF(ISNUMBER(SEARCH("TDD BP",$C72)),"Business Partner",IF(OR(ISNUMBER(SEARCH("domain architect",$C72)),ISNUMBER(SEARCH("enterprise architect",$C72))),"Domain Architect",IF(ISNUMBER(SEARCH("delivery man",$C72)),"Delivery Manager",IF(OR(ISNUMBER(SEARCH("technology manager",$C72)),ISNUMBER(SEARCH("technology manger",$C72)),ISNUMBER(SEARCH("tech manager",$C72))),"Technology Manager","Squad")))))))</f>
        <v>Squad</v>
      </c>
      <c r="AS72" s="1201" t="str">
        <f>IF(TRIM($B72)="","",IFERROR(INDEX(Lists!$AA:$AA,MATCH($AP72,Lists!$Z:$Z,0)),$AP72))</f>
        <v>Data AU</v>
      </c>
      <c r="AT72" s="1201" t="str">
        <f>IF(TRIM($B72)="","",IF(IFERROR(INDEX(Lists!$AP$2:$AP$11,MATCH(ROW(),Lists!$AN$2:$AN$11,0)),"")&lt;&gt;"",IFERROR(INDEX(Lists!$AP$2:$AP$11,MATCH(ROW(),Lists!$AN$2:$AN$11,0)),""),IF(OR(LEFT($AJ72,3)="COE",$AJ72="EGI"),$AP72,IF($AR72&lt;&gt;"Squad",$AR72,$AP72))))</f>
        <v>Data AU</v>
      </c>
    </row>
    <row r="73" ht="18" customHeight="1" s="866">
      <c r="A73" s="1155" t="inlineStr">
        <is>
          <t>V</t>
        </is>
      </c>
      <c r="B73" s="1156" t="inlineStr">
        <is>
          <t>Vacant</t>
        </is>
      </c>
      <c r="C73" s="1156" t="inlineStr">
        <is>
          <t>Delivery Lead</t>
        </is>
      </c>
      <c r="D73" s="1158" t="inlineStr">
        <is>
          <t>Vacant</t>
        </is>
      </c>
      <c r="E73" s="1156" t="inlineStr">
        <is>
          <t>Delivery Manager, Z and Retail Data</t>
        </is>
      </c>
      <c r="F73" s="1157" t="inlineStr">
        <is>
          <t>Ampol Retail &amp; Z</t>
        </is>
      </c>
      <c r="G73" s="1158" t="inlineStr">
        <is>
          <t>Z &amp; Group Retail</t>
        </is>
      </c>
      <c r="H73" s="1156" t="inlineStr">
        <is>
          <t>Z &amp; Group Retail, Delivery</t>
        </is>
      </c>
      <c r="I73" s="1156" t="inlineStr">
        <is>
          <t>Z</t>
        </is>
      </c>
      <c r="J73" s="1158" t="inlineStr">
        <is>
          <t>Z Customer &amp; Z Supply</t>
        </is>
      </c>
      <c r="K73" s="1156" t="inlineStr">
        <is>
          <t>Data - NZ</t>
        </is>
      </c>
      <c r="L73" s="1158" t="n"/>
      <c r="M73" s="1159" t="inlineStr">
        <is>
          <t>Australia</t>
        </is>
      </c>
      <c r="N73" s="1160" t="inlineStr">
        <is>
          <t>CIC</t>
        </is>
      </c>
      <c r="O73" s="1160" t="n">
        <v>1</v>
      </c>
      <c r="P73" s="1160" t="n"/>
      <c r="Q73" s="1160" t="inlineStr">
        <is>
          <t>V</t>
        </is>
      </c>
      <c r="R73" s="1162" t="n"/>
      <c r="S73" s="1162" t="n"/>
      <c r="T73" s="1163" t="n">
        <v>203550</v>
      </c>
      <c r="U73" s="1174" t="n">
        <v>203550</v>
      </c>
      <c r="V73" s="1166" t="n">
        <v>0.14</v>
      </c>
      <c r="W73" s="1170" t="n">
        <v>0.055</v>
      </c>
      <c r="X73" s="1170" t="n">
        <v>0.12</v>
      </c>
      <c r="Y73" s="1171" t="n"/>
      <c r="Z73" s="1170" t="n">
        <v>0.04</v>
      </c>
      <c r="AA73" s="1168">
        <f>IF(TRIM($B73)="","",IF(N($AU73)&gt;0,$AU73,IF(N($S73)&gt;0,$S73*Lists!$AG$15*(1+N($Z73)),N($U73)*(1+N($V73)+N($W73)+N($X73)+N($Z73))+N($Y73))))</f>
        <v>275810.25</v>
      </c>
      <c r="AJ73" s="865" t="str">
        <f>IF(TRIM($B73)="","",IF(IFERROR(INDEX(Lists!$AO$2:$AO$11,MATCH(ROW(),Lists!$AN$2:$AN$11,0)),"")&lt;&gt;"",IFERROR(INDEX(Lists!$AO$2:$AO$11,MATCH(ROW(),Lists!$AN$2:$AN$11,0)),""),IFERROR(INDEX(Lists!$U:$U,MATCH(TRIM($I73),Lists!$T:$T,0)),TRIM($I73))))</f>
        <v>Z Retail</v>
      </c>
      <c r="AK73" s="865" t="str">
        <f>IF(ISNUMBER(SEARCH("vacant",$B73)),"Vacant","Filled")</f>
        <v>Vacant</v>
      </c>
      <c r="AL73" s="865" t="str">
        <f>IF($M73="NZ","NZ","AU")</f>
        <v>AU</v>
      </c>
      <c r="AM73" s="865">
        <f>COUNTIF($AJ$2:$AJ73,$AJ73)</f>
        <v>31</v>
      </c>
      <c r="AN73" s="865" t="str">
        <f>$AJ73&amp;"|"&amp;$AM73</f>
        <v>Z Retail|31</v>
      </c>
      <c r="AP73" s="865" t="str">
        <f>IF(TRIM($B73)="","",IF($AQ73=1,"Leadership",IFERROR(INDEX(Lists!$X:$X,MATCH(TRIM($K73),Lists!$W:$W,0)),IF(OR(TRIM($K73)="",LOWER(TRIM($K73))="na"),IF(TRIM($G73)="","Unassigned",TRIM($G73)),TRIM($K73)))))</f>
        <v>Data NZ</v>
      </c>
      <c r="AQ73" s="865" t="b">
        <f>IF(TRIM($B73)="","",--OR(TRIM($K73)="Leadership",TRIM($J73)="Leadership"))</f>
        <v>0</v>
      </c>
      <c r="AR73" s="1136" t="str">
        <f>IF(TRIM($B73)="","",IF(IFERROR(INDEX(Lists!$AQ$2:$AQ$11,MATCH(ROW(),Lists!$AN$2:$AN$11,0)),"")&lt;&gt;"",IFERROR(INDEX(Lists!$AQ$2:$AQ$11,MATCH(ROW(),Lists!$AN$2:$AN$11,0)),""),IF(ISNUMBER(SEARCH("head of ",$C73)),"Head of Technology",IF(ISNUMBER(SEARCH("TDD BP",$C73)),"Business Partner",IF(OR(ISNUMBER(SEARCH("domain architect",$C73)),ISNUMBER(SEARCH("enterprise architect",$C73))),"Domain Architect",IF(ISNUMBER(SEARCH("delivery man",$C73)),"Delivery Manager",IF(OR(ISNUMBER(SEARCH("technology manager",$C73)),ISNUMBER(SEARCH("technology manger",$C73)),ISNUMBER(SEARCH("tech manager",$C73))),"Technology Manager","Squad")))))))</f>
        <v>Squad</v>
      </c>
      <c r="AS73" s="1136" t="str">
        <f>IF(TRIM($B73)="","",IFERROR(INDEX(Lists!$AA:$AA,MATCH($AP73,Lists!$Z:$Z,0)),$AP73))</f>
        <v>Data NZ</v>
      </c>
      <c r="AT73" s="1136" t="str">
        <f>IF(TRIM($B73)="","",IF(IFERROR(INDEX(Lists!$AP$2:$AP$11,MATCH(ROW(),Lists!$AN$2:$AN$11,0)),"")&lt;&gt;"",IFERROR(INDEX(Lists!$AP$2:$AP$11,MATCH(ROW(),Lists!$AN$2:$AN$11,0)),""),IF(OR(LEFT($AJ73,3)="COE",$AJ73="EGI"),$AP73,IF($AR73&lt;&gt;"Squad",$AR73,$AP73))))</f>
        <v>Data NZ</v>
      </c>
    </row>
    <row r="74" ht="18" customHeight="1" s="866">
      <c r="A74" s="1155" t="inlineStr">
        <is>
          <t>V</t>
        </is>
      </c>
      <c r="B74" s="1156" t="inlineStr">
        <is>
          <t>Vacant</t>
        </is>
      </c>
      <c r="C74" s="1156" t="inlineStr">
        <is>
          <t>Delivery Manager</t>
        </is>
      </c>
      <c r="D74" s="1158" t="inlineStr">
        <is>
          <t>Vacant</t>
        </is>
      </c>
      <c r="E74" s="1156" t="inlineStr">
        <is>
          <t>Head of Technology, Z and Group Retail Platforms</t>
        </is>
      </c>
      <c r="F74" s="1157" t="inlineStr">
        <is>
          <t>Ampol Retail &amp; Z</t>
        </is>
      </c>
      <c r="G74" s="1158" t="inlineStr">
        <is>
          <t>Z &amp; Group Retail</t>
        </is>
      </c>
      <c r="H74" s="1158" t="inlineStr">
        <is>
          <t>Z &amp; Group Retail, Delivery</t>
        </is>
      </c>
      <c r="I74" s="1158" t="inlineStr">
        <is>
          <t>Z</t>
        </is>
      </c>
      <c r="J74" s="1156" t="inlineStr">
        <is>
          <t>Z Customer &amp; Z Supply</t>
        </is>
      </c>
      <c r="K74" s="1158" t="inlineStr">
        <is>
          <t>Leadership</t>
        </is>
      </c>
      <c r="L74" s="1158" t="n"/>
      <c r="M74" s="1159" t="inlineStr">
        <is>
          <t>Australia</t>
        </is>
      </c>
      <c r="N74" s="1160" t="inlineStr">
        <is>
          <t>CSB</t>
        </is>
      </c>
      <c r="O74" s="1160" t="n">
        <v>1</v>
      </c>
      <c r="P74" s="1160" t="n"/>
      <c r="Q74" s="1160" t="inlineStr">
        <is>
          <t>V</t>
        </is>
      </c>
      <c r="R74" s="1162" t="n"/>
      <c r="S74" s="1162" t="n"/>
      <c r="T74" s="1163" t="n">
        <v>151950</v>
      </c>
      <c r="U74" s="1174" t="n">
        <v>151950</v>
      </c>
      <c r="V74" s="1166" t="n">
        <v>0.12</v>
      </c>
      <c r="W74" s="1170" t="n">
        <v>0.055</v>
      </c>
      <c r="X74" s="1170" t="n">
        <v>0.12</v>
      </c>
      <c r="Y74" s="1171" t="n"/>
      <c r="Z74" s="1170" t="n">
        <v>0.04</v>
      </c>
      <c r="AA74" s="1168">
        <f>IF(TRIM($B74)="","",IF(N($AU74)&gt;0,$AU74,IF(N($S74)&gt;0,$S74*Lists!$AG$15*(1+N($Z74)),N($U74)*(1+N($V74)+N($W74)+N($X74)+N($Z74))+N($Y74))))</f>
        <v>202853.25</v>
      </c>
      <c r="AJ74" s="865" t="str">
        <f>IF(TRIM($B74)="","",IF(IFERROR(INDEX(Lists!$AO$2:$AO$11,MATCH(ROW(),Lists!$AN$2:$AN$11,0)),"")&lt;&gt;"",IFERROR(INDEX(Lists!$AO$2:$AO$11,MATCH(ROW(),Lists!$AN$2:$AN$11,0)),""),IFERROR(INDEX(Lists!$U:$U,MATCH(TRIM($I74),Lists!$T:$T,0)),TRIM($I74))))</f>
        <v>Z Retail</v>
      </c>
      <c r="AK74" s="865" t="str">
        <f>IF(ISNUMBER(SEARCH("vacant",$B74)),"Vacant","Filled")</f>
        <v>Vacant</v>
      </c>
      <c r="AL74" s="865" t="str">
        <f>IF($M74="NZ","NZ","AU")</f>
        <v>AU</v>
      </c>
      <c r="AM74" s="865">
        <f>COUNTIF($AJ$2:$AJ74,$AJ74)</f>
        <v>32</v>
      </c>
      <c r="AN74" s="865" t="str">
        <f>$AJ74&amp;"|"&amp;$AM74</f>
        <v>Z Retail|32</v>
      </c>
      <c r="AP74" s="1136" t="str">
        <f>IF(TRIM($B74)="","",IF($AQ74=1,"Leadership",IFERROR(INDEX(Lists!$X:$X,MATCH(TRIM($K74),Lists!$W:$W,0)),IF(OR(TRIM($K74)="",LOWER(TRIM($K74))="na"),IF(TRIM($G74)="","Unassigned",TRIM($G74)),TRIM($K74)))))</f>
        <v>Leadership</v>
      </c>
      <c r="AQ74" s="865" t="b">
        <f>IF(TRIM($B74)="","",--OR(TRIM($K74)="Leadership",TRIM($J74)="Leadership"))</f>
        <v>1</v>
      </c>
      <c r="AR74" s="1136" t="str">
        <f>IF(TRIM($B74)="","",IF(IFERROR(INDEX(Lists!$AQ$2:$AQ$11,MATCH(ROW(),Lists!$AN$2:$AN$11,0)),"")&lt;&gt;"",IFERROR(INDEX(Lists!$AQ$2:$AQ$11,MATCH(ROW(),Lists!$AN$2:$AN$11,0)),""),IF(ISNUMBER(SEARCH("head of ",$C74)),"Head of Technology",IF(ISNUMBER(SEARCH("TDD BP",$C74)),"Business Partner",IF(OR(ISNUMBER(SEARCH("domain architect",$C74)),ISNUMBER(SEARCH("enterprise architect",$C74))),"Domain Architect",IF(ISNUMBER(SEARCH("delivery man",$C74)),"Delivery Manager",IF(OR(ISNUMBER(SEARCH("technology manager",$C74)),ISNUMBER(SEARCH("technology manger",$C74)),ISNUMBER(SEARCH("tech manager",$C74))),"Technology Manager","Squad")))))))</f>
        <v>Delivery Manager</v>
      </c>
      <c r="AS74" s="1136" t="str">
        <f>IF(TRIM($B74)="","",IFERROR(INDEX(Lists!$AA:$AA,MATCH($AP74,Lists!$Z:$Z,0)),$AP74))</f>
        <v>Leadership</v>
      </c>
      <c r="AT74" s="1136" t="str">
        <f>IF(TRIM($B74)="","",IF(IFERROR(INDEX(Lists!$AP$2:$AP$11,MATCH(ROW(),Lists!$AN$2:$AN$11,0)),"")&lt;&gt;"",IFERROR(INDEX(Lists!$AP$2:$AP$11,MATCH(ROW(),Lists!$AN$2:$AN$11,0)),""),IF(OR(LEFT($AJ74,3)="COE",$AJ74="EGI"),$AP74,IF($AR74&lt;&gt;"Squad",$AR74,$AP74))))</f>
        <v>Delivery Manager</v>
      </c>
    </row>
    <row r="75" ht="18" customHeight="1" s="866">
      <c r="A75" s="1155" t="inlineStr">
        <is>
          <t>V</t>
        </is>
      </c>
      <c r="B75" s="1156" t="inlineStr">
        <is>
          <t>Vacant</t>
        </is>
      </c>
      <c r="C75" s="1156" t="inlineStr">
        <is>
          <t>Engineer - Data</t>
        </is>
      </c>
      <c r="D75" s="1158" t="inlineStr">
        <is>
          <t>Vacant</t>
        </is>
      </c>
      <c r="E75" s="1202" t="inlineStr">
        <is>
          <t>Technology Manager, Data</t>
        </is>
      </c>
      <c r="F75" s="1157" t="inlineStr">
        <is>
          <t>Ampol Retail &amp; Z</t>
        </is>
      </c>
      <c r="G75" s="1158" t="inlineStr">
        <is>
          <t>Z &amp; Group Retail</t>
        </is>
      </c>
      <c r="H75" s="1156" t="inlineStr">
        <is>
          <t>Z &amp; Group Retail, Data</t>
        </is>
      </c>
      <c r="I75" s="1156" t="inlineStr">
        <is>
          <t>Retail</t>
        </is>
      </c>
      <c r="J75" s="1158" t="inlineStr">
        <is>
          <t>(All Retail)</t>
        </is>
      </c>
      <c r="K75" s="1156" t="inlineStr">
        <is>
          <t>Data - AU</t>
        </is>
      </c>
      <c r="L75" s="1158" t="n"/>
      <c r="M75" s="1159" t="inlineStr">
        <is>
          <t>Australia</t>
        </is>
      </c>
      <c r="N75" s="1160" t="inlineStr">
        <is>
          <t>CIB</t>
        </is>
      </c>
      <c r="O75" s="1160" t="n">
        <v>1</v>
      </c>
      <c r="P75" s="1160" t="n"/>
      <c r="Q75" s="1160" t="inlineStr">
        <is>
          <t>V</t>
        </is>
      </c>
      <c r="R75" s="1162" t="n"/>
      <c r="S75" s="1162" t="n"/>
      <c r="T75" s="1163" t="n">
        <v>151950</v>
      </c>
      <c r="U75" s="1174" t="n">
        <v>151950</v>
      </c>
      <c r="V75" s="1166" t="n">
        <v>0.12</v>
      </c>
      <c r="W75" s="1170" t="n">
        <v>0.055</v>
      </c>
      <c r="X75" s="1170" t="n">
        <v>0.12</v>
      </c>
      <c r="Y75" s="1171" t="n"/>
      <c r="Z75" s="1170" t="n">
        <v>0.04</v>
      </c>
      <c r="AA75" s="1168">
        <f>IF(TRIM($B75)="","",IF(N($AU75)&gt;0,$AU75,IF(N($S75)&gt;0,$S75*Lists!$AG$15*(1+N($Z75)),N($U75)*(1+N($V75)+N($W75)+N($X75)+N($Z75))+N($Y75))))</f>
        <v>202853.25</v>
      </c>
      <c r="AJ75" s="865" t="str">
        <f>IF(TRIM($B75)="","",IF(IFERROR(INDEX(Lists!$AO$2:$AO$11,MATCH(ROW(),Lists!$AN$2:$AN$11,0)),"")&lt;&gt;"",IFERROR(INDEX(Lists!$AO$2:$AO$11,MATCH(ROW(),Lists!$AN$2:$AN$11,0)),""),IFERROR(INDEX(Lists!$U:$U,MATCH(TRIM($I75),Lists!$T:$T,0)),TRIM($I75))))</f>
        <v>Ampol Retail</v>
      </c>
      <c r="AK75" s="865" t="str">
        <f>IF(ISNUMBER(SEARCH("vacant",$B75)),"Vacant","Filled")</f>
        <v>Vacant</v>
      </c>
      <c r="AL75" s="865" t="str">
        <f>IF($M75="NZ","NZ","AU")</f>
        <v>AU</v>
      </c>
      <c r="AM75" s="865">
        <f>COUNTIF($AJ$2:$AJ75,$AJ75)</f>
        <v>42</v>
      </c>
      <c r="AN75" s="865" t="str">
        <f>$AJ75&amp;"|"&amp;$AM75</f>
        <v>Ampol Retail|42</v>
      </c>
      <c r="AP75" s="865" t="str">
        <f>IF(TRIM($B75)="","",IF($AQ75=1,"Leadership",IFERROR(INDEX(Lists!$X:$X,MATCH(TRIM($K75),Lists!$W:$W,0)),IF(OR(TRIM($K75)="",LOWER(TRIM($K75))="na"),IF(TRIM($G75)="","Unassigned",TRIM($G75)),TRIM($K75)))))</f>
        <v>Data AU</v>
      </c>
      <c r="AQ75" s="865" t="b">
        <f>IF(TRIM($B75)="","",--OR(TRIM($K75)="Leadership",TRIM($J75)="Leadership"))</f>
        <v>0</v>
      </c>
      <c r="AR75" s="1136" t="str">
        <f>IF(TRIM($B75)="","",IF(IFERROR(INDEX(Lists!$AQ$2:$AQ$11,MATCH(ROW(),Lists!$AN$2:$AN$11,0)),"")&lt;&gt;"",IFERROR(INDEX(Lists!$AQ$2:$AQ$11,MATCH(ROW(),Lists!$AN$2:$AN$11,0)),""),IF(ISNUMBER(SEARCH("head of ",$C75)),"Head of Technology",IF(ISNUMBER(SEARCH("TDD BP",$C75)),"Business Partner",IF(OR(ISNUMBER(SEARCH("domain architect",$C75)),ISNUMBER(SEARCH("enterprise architect",$C75))),"Domain Architect",IF(ISNUMBER(SEARCH("delivery man",$C75)),"Delivery Manager",IF(OR(ISNUMBER(SEARCH("technology manager",$C75)),ISNUMBER(SEARCH("technology manger",$C75)),ISNUMBER(SEARCH("tech manager",$C75))),"Technology Manager","Squad")))))))</f>
        <v>Squad</v>
      </c>
      <c r="AS75" s="1136" t="str">
        <f>IF(TRIM($B75)="","",IFERROR(INDEX(Lists!$AA:$AA,MATCH($AP75,Lists!$Z:$Z,0)),$AP75))</f>
        <v>Data AU</v>
      </c>
      <c r="AT75" s="1136" t="str">
        <f>IF(TRIM($B75)="","",IF(IFERROR(INDEX(Lists!$AP$2:$AP$11,MATCH(ROW(),Lists!$AN$2:$AN$11,0)),"")&lt;&gt;"",IFERROR(INDEX(Lists!$AP$2:$AP$11,MATCH(ROW(),Lists!$AN$2:$AN$11,0)),""),IF(OR(LEFT($AJ75,3)="COE",$AJ75="EGI"),$AP75,IF($AR75&lt;&gt;"Squad",$AR75,$AP75))))</f>
        <v>Data AU</v>
      </c>
    </row>
    <row r="76" ht="18" customHeight="1" s="866">
      <c r="A76" s="1155" t="inlineStr">
        <is>
          <t>V</t>
        </is>
      </c>
      <c r="B76" s="1156" t="inlineStr">
        <is>
          <t>Vacant</t>
        </is>
      </c>
      <c r="C76" s="1156" t="inlineStr">
        <is>
          <t>Engineer - Data</t>
        </is>
      </c>
      <c r="D76" s="1158" t="inlineStr">
        <is>
          <t>Vacant</t>
        </is>
      </c>
      <c r="E76" s="1156" t="inlineStr">
        <is>
          <t>Technology Manager, Data</t>
        </is>
      </c>
      <c r="F76" s="1157" t="inlineStr">
        <is>
          <t>Ampol Retail &amp; Z</t>
        </is>
      </c>
      <c r="G76" s="1158" t="inlineStr">
        <is>
          <t>Z &amp; Group Retail</t>
        </is>
      </c>
      <c r="H76" s="1156" t="inlineStr">
        <is>
          <t>Z &amp; Group Retail, Data</t>
        </is>
      </c>
      <c r="I76" s="1156" t="inlineStr">
        <is>
          <t>Retail</t>
        </is>
      </c>
      <c r="J76" s="1158" t="inlineStr">
        <is>
          <t>(All Retail)</t>
        </is>
      </c>
      <c r="K76" s="1156" t="inlineStr">
        <is>
          <t>Data - AU</t>
        </is>
      </c>
      <c r="L76" s="1158" t="n"/>
      <c r="M76" s="1159" t="inlineStr">
        <is>
          <t>Australia</t>
        </is>
      </c>
      <c r="N76" s="1160" t="inlineStr">
        <is>
          <t>CIB</t>
        </is>
      </c>
      <c r="O76" s="1160" t="n">
        <v>1</v>
      </c>
      <c r="P76" s="1160" t="n"/>
      <c r="Q76" s="1160" t="inlineStr">
        <is>
          <t>V</t>
        </is>
      </c>
      <c r="R76" s="1162" t="n"/>
      <c r="S76" s="1162" t="n"/>
      <c r="T76" s="1163" t="n">
        <v>151950</v>
      </c>
      <c r="U76" s="1174" t="n">
        <v>151950</v>
      </c>
      <c r="V76" s="1166" t="n">
        <v>0.12</v>
      </c>
      <c r="W76" s="1170" t="n">
        <v>0.055</v>
      </c>
      <c r="X76" s="1170" t="n">
        <v>0.12</v>
      </c>
      <c r="Y76" s="1171" t="n"/>
      <c r="Z76" s="1170" t="n">
        <v>0.04</v>
      </c>
      <c r="AA76" s="1168">
        <f>IF(TRIM($B76)="","",IF(N($AU76)&gt;0,$AU76,IF(N($S76)&gt;0,$S76*Lists!$AG$15*(1+N($Z76)),N($U76)*(1+N($V76)+N($W76)+N($X76)+N($Z76))+N($Y76))))</f>
        <v>202853.25</v>
      </c>
      <c r="AJ76" s="865" t="str">
        <f>IF(TRIM($B76)="","",IF(IFERROR(INDEX(Lists!$AO$2:$AO$11,MATCH(ROW(),Lists!$AN$2:$AN$11,0)),"")&lt;&gt;"",IFERROR(INDEX(Lists!$AO$2:$AO$11,MATCH(ROW(),Lists!$AN$2:$AN$11,0)),""),IFERROR(INDEX(Lists!$U:$U,MATCH(TRIM($I76),Lists!$T:$T,0)),TRIM($I76))))</f>
        <v>Ampol Retail</v>
      </c>
      <c r="AK76" s="865" t="str">
        <f>IF(ISNUMBER(SEARCH("vacant",$B76)),"Vacant","Filled")</f>
        <v>Vacant</v>
      </c>
      <c r="AL76" s="865" t="str">
        <f>IF($M76="NZ","NZ","AU")</f>
        <v>AU</v>
      </c>
      <c r="AM76" s="865">
        <f>COUNTIF($AJ$2:$AJ76,$AJ76)</f>
        <v>43</v>
      </c>
      <c r="AN76" s="865" t="str">
        <f>$AJ76&amp;"|"&amp;$AM76</f>
        <v>Ampol Retail|43</v>
      </c>
      <c r="AP76" s="865" t="str">
        <f>IF(TRIM($B76)="","",IF($AQ76=1,"Leadership",IFERROR(INDEX(Lists!$X:$X,MATCH(TRIM($K76),Lists!$W:$W,0)),IF(OR(TRIM($K76)="",LOWER(TRIM($K76))="na"),IF(TRIM($G76)="","Unassigned",TRIM($G76)),TRIM($K76)))))</f>
        <v>Data AU</v>
      </c>
      <c r="AQ76" s="865" t="b">
        <f>IF(TRIM($B76)="","",--OR(TRIM($K76)="Leadership",TRIM($J76)="Leadership"))</f>
        <v>0</v>
      </c>
      <c r="AR76" s="1136" t="str">
        <f>IF(TRIM($B76)="","",IF(IFERROR(INDEX(Lists!$AQ$2:$AQ$11,MATCH(ROW(),Lists!$AN$2:$AN$11,0)),"")&lt;&gt;"",IFERROR(INDEX(Lists!$AQ$2:$AQ$11,MATCH(ROW(),Lists!$AN$2:$AN$11,0)),""),IF(ISNUMBER(SEARCH("head of ",$C76)),"Head of Technology",IF(ISNUMBER(SEARCH("TDD BP",$C76)),"Business Partner",IF(OR(ISNUMBER(SEARCH("domain architect",$C76)),ISNUMBER(SEARCH("enterprise architect",$C76))),"Domain Architect",IF(ISNUMBER(SEARCH("delivery man",$C76)),"Delivery Manager",IF(OR(ISNUMBER(SEARCH("technology manager",$C76)),ISNUMBER(SEARCH("technology manger",$C76)),ISNUMBER(SEARCH("tech manager",$C76))),"Technology Manager","Squad")))))))</f>
        <v>Squad</v>
      </c>
      <c r="AS76" s="1136" t="str">
        <f>IF(TRIM($B76)="","",IFERROR(INDEX(Lists!$AA:$AA,MATCH($AP76,Lists!$Z:$Z,0)),$AP76))</f>
        <v>Data AU</v>
      </c>
      <c r="AT76" s="1136" t="str">
        <f>IF(TRIM($B76)="","",IF(IFERROR(INDEX(Lists!$AP$2:$AP$11,MATCH(ROW(),Lists!$AN$2:$AN$11,0)),"")&lt;&gt;"",IFERROR(INDEX(Lists!$AP$2:$AP$11,MATCH(ROW(),Lists!$AN$2:$AN$11,0)),""),IF(OR(LEFT($AJ76,3)="COE",$AJ76="EGI"),$AP76,IF($AR76&lt;&gt;"Squad",$AR76,$AP76))))</f>
        <v>Data AU</v>
      </c>
    </row>
    <row r="77" ht="18" customHeight="1" s="866">
      <c r="A77" s="1155" t="inlineStr">
        <is>
          <t>V</t>
        </is>
      </c>
      <c r="B77" s="1156" t="inlineStr">
        <is>
          <t>Vacant</t>
        </is>
      </c>
      <c r="C77" s="1156" t="inlineStr">
        <is>
          <t>Engineer - Data</t>
        </is>
      </c>
      <c r="D77" s="1158" t="inlineStr">
        <is>
          <t>Vacant</t>
        </is>
      </c>
      <c r="E77" s="1156" t="inlineStr">
        <is>
          <t>Technology Manager, Data</t>
        </is>
      </c>
      <c r="F77" s="1157" t="inlineStr">
        <is>
          <t>Ampol Retail &amp; Z</t>
        </is>
      </c>
      <c r="G77" s="1158" t="inlineStr">
        <is>
          <t>Z &amp; Group Retail</t>
        </is>
      </c>
      <c r="H77" s="1156" t="inlineStr">
        <is>
          <t>Z &amp; Group Retail, Data</t>
        </is>
      </c>
      <c r="I77" s="1156" t="inlineStr">
        <is>
          <t>Retail</t>
        </is>
      </c>
      <c r="J77" s="1158" t="inlineStr">
        <is>
          <t>(All Retail)</t>
        </is>
      </c>
      <c r="K77" s="1156" t="inlineStr">
        <is>
          <t>Data - AU</t>
        </is>
      </c>
      <c r="L77" s="1158" t="n"/>
      <c r="M77" s="1159" t="inlineStr">
        <is>
          <t>Australia</t>
        </is>
      </c>
      <c r="N77" s="1160" t="inlineStr">
        <is>
          <t>CIB</t>
        </is>
      </c>
      <c r="O77" s="1160" t="n">
        <v>1</v>
      </c>
      <c r="P77" s="1160" t="n"/>
      <c r="Q77" s="1160" t="inlineStr">
        <is>
          <t>v</t>
        </is>
      </c>
      <c r="R77" s="1162" t="n"/>
      <c r="S77" s="1162" t="n"/>
      <c r="T77" s="1163" t="n">
        <v>129650</v>
      </c>
      <c r="U77" s="1174" t="n">
        <v>129650</v>
      </c>
      <c r="V77" s="1166" t="n">
        <v>0.1</v>
      </c>
      <c r="W77" s="1170" t="n">
        <v>0.055</v>
      </c>
      <c r="X77" s="1170" t="n">
        <v>0.12</v>
      </c>
      <c r="Y77" s="1171" t="n"/>
      <c r="Z77" s="1170" t="n">
        <v>0.04</v>
      </c>
      <c r="AA77" s="1168">
        <f>IF(TRIM($B77)="","",IF(N($AU77)&gt;0,$AU77,IF(N($S77)&gt;0,$S77*Lists!$AG$15*(1+N($Z77)),N($U77)*(1+N($V77)+N($W77)+N($X77)+N($Z77))+N($Y77))))</f>
        <v>170489.75</v>
      </c>
      <c r="AJ77" s="865" t="str">
        <f>IF(TRIM($B77)="","",IF(IFERROR(INDEX(Lists!$AO$2:$AO$11,MATCH(ROW(),Lists!$AN$2:$AN$11,0)),"")&lt;&gt;"",IFERROR(INDEX(Lists!$AO$2:$AO$11,MATCH(ROW(),Lists!$AN$2:$AN$11,0)),""),IFERROR(INDEX(Lists!$U:$U,MATCH(TRIM($I77),Lists!$T:$T,0)),TRIM($I77))))</f>
        <v>Ampol Retail</v>
      </c>
      <c r="AK77" s="865" t="str">
        <f>IF(ISNUMBER(SEARCH("vacant",$B77)),"Vacant","Filled")</f>
        <v>Vacant</v>
      </c>
      <c r="AL77" s="865" t="str">
        <f>IF($M77="NZ","NZ","AU")</f>
        <v>AU</v>
      </c>
      <c r="AM77" s="865">
        <f>COUNTIF($AJ$2:$AJ77,$AJ77)</f>
        <v>44</v>
      </c>
      <c r="AN77" s="865" t="str">
        <f>$AJ77&amp;"|"&amp;$AM77</f>
        <v>Ampol Retail|44</v>
      </c>
      <c r="AP77" s="865" t="str">
        <f>IF(TRIM($B77)="","",IF($AQ77=1,"Leadership",IFERROR(INDEX(Lists!$X:$X,MATCH(TRIM($K77),Lists!$W:$W,0)),IF(OR(TRIM($K77)="",LOWER(TRIM($K77))="na"),IF(TRIM($G77)="","Unassigned",TRIM($G77)),TRIM($K77)))))</f>
        <v>Data AU</v>
      </c>
      <c r="AQ77" s="865" t="b">
        <f>IF(TRIM($B77)="","",--OR(TRIM($K77)="Leadership",TRIM($J77)="Leadership"))</f>
        <v>0</v>
      </c>
      <c r="AR77" s="1136" t="str">
        <f>IF(TRIM($B77)="","",IF(IFERROR(INDEX(Lists!$AQ$2:$AQ$11,MATCH(ROW(),Lists!$AN$2:$AN$11,0)),"")&lt;&gt;"",IFERROR(INDEX(Lists!$AQ$2:$AQ$11,MATCH(ROW(),Lists!$AN$2:$AN$11,0)),""),IF(ISNUMBER(SEARCH("head of ",$C77)),"Head of Technology",IF(ISNUMBER(SEARCH("TDD BP",$C77)),"Business Partner",IF(OR(ISNUMBER(SEARCH("domain architect",$C77)),ISNUMBER(SEARCH("enterprise architect",$C77))),"Domain Architect",IF(ISNUMBER(SEARCH("delivery man",$C77)),"Delivery Manager",IF(OR(ISNUMBER(SEARCH("technology manager",$C77)),ISNUMBER(SEARCH("technology manger",$C77)),ISNUMBER(SEARCH("tech manager",$C77))),"Technology Manager","Squad")))))))</f>
        <v>Squad</v>
      </c>
      <c r="AS77" s="1136" t="str">
        <f>IF(TRIM($B77)="","",IFERROR(INDEX(Lists!$AA:$AA,MATCH($AP77,Lists!$Z:$Z,0)),$AP77))</f>
        <v>Data AU</v>
      </c>
      <c r="AT77" s="1136" t="str">
        <f>IF(TRIM($B77)="","",IF(IFERROR(INDEX(Lists!$AP$2:$AP$11,MATCH(ROW(),Lists!$AN$2:$AN$11,0)),"")&lt;&gt;"",IFERROR(INDEX(Lists!$AP$2:$AP$11,MATCH(ROW(),Lists!$AN$2:$AN$11,0)),""),IF(OR(LEFT($AJ77,3)="COE",$AJ77="EGI"),$AP77,IF($AR77&lt;&gt;"Squad",$AR77,$AP77))))</f>
        <v>Data AU</v>
      </c>
    </row>
    <row r="78" ht="18" customHeight="1" s="866">
      <c r="A78" s="1155" t="inlineStr">
        <is>
          <t>V</t>
        </is>
      </c>
      <c r="B78" s="1156" t="inlineStr">
        <is>
          <t>Vacant</t>
        </is>
      </c>
      <c r="C78" s="1156" t="inlineStr">
        <is>
          <t>Engineer - Data</t>
        </is>
      </c>
      <c r="D78" s="1158" t="inlineStr">
        <is>
          <t>Vacant</t>
        </is>
      </c>
      <c r="E78" s="1156" t="inlineStr">
        <is>
          <t>Technology Manager, Data</t>
        </is>
      </c>
      <c r="F78" s="1157" t="inlineStr">
        <is>
          <t>Ampol Retail &amp; Z</t>
        </is>
      </c>
      <c r="G78" s="1158" t="inlineStr">
        <is>
          <t>Z &amp; Group Retail</t>
        </is>
      </c>
      <c r="H78" s="1156" t="inlineStr">
        <is>
          <t>Z &amp; Group Retail, Data</t>
        </is>
      </c>
      <c r="I78" s="1156" t="inlineStr">
        <is>
          <t>Z</t>
        </is>
      </c>
      <c r="J78" s="1158" t="inlineStr">
        <is>
          <t>Z Customer &amp; Z Supply</t>
        </is>
      </c>
      <c r="K78" s="1156" t="inlineStr">
        <is>
          <t>Data - NZ</t>
        </is>
      </c>
      <c r="L78" s="1158" t="n"/>
      <c r="M78" s="1159" t="inlineStr">
        <is>
          <t>Australia</t>
        </is>
      </c>
      <c r="N78" s="1160" t="inlineStr">
        <is>
          <t>CIB</t>
        </is>
      </c>
      <c r="O78" s="1160" t="n">
        <v>1</v>
      </c>
      <c r="P78" s="1160" t="n"/>
      <c r="Q78" s="1160" t="inlineStr">
        <is>
          <t>V</t>
        </is>
      </c>
      <c r="R78" s="1162" t="n"/>
      <c r="S78" s="1162" t="n"/>
      <c r="T78" s="1163" t="n">
        <v>151950</v>
      </c>
      <c r="U78" s="1174" t="n">
        <v>151950</v>
      </c>
      <c r="V78" s="1166" t="n">
        <v>0.12</v>
      </c>
      <c r="W78" s="1170" t="n">
        <v>0.055</v>
      </c>
      <c r="X78" s="1170" t="n">
        <v>0.12</v>
      </c>
      <c r="Y78" s="1171" t="n"/>
      <c r="Z78" s="1170" t="n">
        <v>0.04</v>
      </c>
      <c r="AA78" s="1168">
        <f>IF(TRIM($B78)="","",IF(N($AU78)&gt;0,$AU78,IF(N($S78)&gt;0,$S78*Lists!$AG$15*(1+N($Z78)),N($U78)*(1+N($V78)+N($W78)+N($X78)+N($Z78))+N($Y78))))</f>
        <v>202853.25</v>
      </c>
      <c r="AH78" s="1201" t="n"/>
      <c r="AJ78" s="865" t="str">
        <f>IF(TRIM($B78)="","",IF(IFERROR(INDEX(Lists!$AO$2:$AO$11,MATCH(ROW(),Lists!$AN$2:$AN$11,0)),"")&lt;&gt;"",IFERROR(INDEX(Lists!$AO$2:$AO$11,MATCH(ROW(),Lists!$AN$2:$AN$11,0)),""),IFERROR(INDEX(Lists!$U:$U,MATCH(TRIM($I78),Lists!$T:$T,0)),TRIM($I78))))</f>
        <v>Z Retail</v>
      </c>
      <c r="AK78" s="865" t="str">
        <f>IF(ISNUMBER(SEARCH("vacant",$B78)),"Vacant","Filled")</f>
        <v>Vacant</v>
      </c>
      <c r="AL78" s="865" t="str">
        <f>IF($M78="NZ","NZ","AU")</f>
        <v>AU</v>
      </c>
      <c r="AM78" s="865">
        <f>COUNTIF($AJ$2:$AJ78,$AJ78)</f>
        <v>33</v>
      </c>
      <c r="AN78" s="865" t="str">
        <f>$AJ78&amp;"|"&amp;$AM78</f>
        <v>Z Retail|33</v>
      </c>
      <c r="AP78" s="865" t="str">
        <f>IF(TRIM($B78)="","",IF($AQ78=1,"Leadership",IFERROR(INDEX(Lists!$X:$X,MATCH(TRIM($K78),Lists!$W:$W,0)),IF(OR(TRIM($K78)="",LOWER(TRIM($K78))="na"),IF(TRIM($G78)="","Unassigned",TRIM($G78)),TRIM($K78)))))</f>
        <v>Data NZ</v>
      </c>
      <c r="AQ78" s="865" t="b">
        <f>IF(TRIM($B78)="","",--OR(TRIM($K78)="Leadership",TRIM($J78)="Leadership"))</f>
        <v>0</v>
      </c>
      <c r="AR78" s="1136" t="str">
        <f>IF(TRIM($B78)="","",IF(IFERROR(INDEX(Lists!$AQ$2:$AQ$11,MATCH(ROW(),Lists!$AN$2:$AN$11,0)),"")&lt;&gt;"",IFERROR(INDEX(Lists!$AQ$2:$AQ$11,MATCH(ROW(),Lists!$AN$2:$AN$11,0)),""),IF(ISNUMBER(SEARCH("head of ",$C78)),"Head of Technology",IF(ISNUMBER(SEARCH("TDD BP",$C78)),"Business Partner",IF(OR(ISNUMBER(SEARCH("domain architect",$C78)),ISNUMBER(SEARCH("enterprise architect",$C78))),"Domain Architect",IF(ISNUMBER(SEARCH("delivery man",$C78)),"Delivery Manager",IF(OR(ISNUMBER(SEARCH("technology manager",$C78)),ISNUMBER(SEARCH("technology manger",$C78)),ISNUMBER(SEARCH("tech manager",$C78))),"Technology Manager","Squad")))))))</f>
        <v>Squad</v>
      </c>
      <c r="AS78" s="1136" t="str">
        <f>IF(TRIM($B78)="","",IFERROR(INDEX(Lists!$AA:$AA,MATCH($AP78,Lists!$Z:$Z,0)),$AP78))</f>
        <v>Data NZ</v>
      </c>
      <c r="AT78" s="1136" t="str">
        <f>IF(TRIM($B78)="","",IF(IFERROR(INDEX(Lists!$AP$2:$AP$11,MATCH(ROW(),Lists!$AN$2:$AN$11,0)),"")&lt;&gt;"",IFERROR(INDEX(Lists!$AP$2:$AP$11,MATCH(ROW(),Lists!$AN$2:$AN$11,0)),""),IF(OR(LEFT($AJ78,3)="COE",$AJ78="EGI"),$AP78,IF($AR78&lt;&gt;"Squad",$AR78,$AP78))))</f>
        <v>Data NZ</v>
      </c>
    </row>
    <row r="79" ht="18" customHeight="1" s="866">
      <c r="A79" s="1155" t="inlineStr">
        <is>
          <t>V</t>
        </is>
      </c>
      <c r="B79" s="1156" t="inlineStr">
        <is>
          <t>Vacant</t>
        </is>
      </c>
      <c r="C79" s="1156" t="inlineStr">
        <is>
          <t>Engineer - Integration</t>
        </is>
      </c>
      <c r="D79" s="1156" t="inlineStr">
        <is>
          <t>Tracy Lee Reaper</t>
        </is>
      </c>
      <c r="E79" s="1156" t="inlineStr">
        <is>
          <t>Tech Manager, Merchandising &amp; WFM</t>
        </is>
      </c>
      <c r="F79" s="1157" t="inlineStr">
        <is>
          <t>Ampol Retail &amp; Z</t>
        </is>
      </c>
      <c r="G79" s="1158" t="inlineStr">
        <is>
          <t>Ampol Retail</t>
        </is>
      </c>
      <c r="H79" s="1156" t="inlineStr">
        <is>
          <t>Ampol Retail, Merch &amp; RTA</t>
        </is>
      </c>
      <c r="I79" s="1156" t="inlineStr">
        <is>
          <t>Retail</t>
        </is>
      </c>
      <c r="J79" s="1158" t="inlineStr">
        <is>
          <t>Above Store</t>
        </is>
      </c>
      <c r="K79" s="1158" t="inlineStr">
        <is>
          <t>Above Store</t>
        </is>
      </c>
      <c r="L79" s="1158" t="n"/>
      <c r="M79" s="1159" t="inlineStr">
        <is>
          <t>Australia</t>
        </is>
      </c>
      <c r="N79" s="1160" t="inlineStr">
        <is>
          <t>CIB</t>
        </is>
      </c>
      <c r="O79" s="1160" t="n">
        <v>1</v>
      </c>
      <c r="P79" s="1160" t="n"/>
      <c r="Q79" s="1160" t="inlineStr">
        <is>
          <t>v</t>
        </is>
      </c>
      <c r="R79" s="1162" t="n"/>
      <c r="S79" s="1162" t="n"/>
      <c r="T79" s="1163" t="n">
        <v>129650</v>
      </c>
      <c r="U79" s="1174" t="n">
        <v>129650</v>
      </c>
      <c r="V79" s="1166" t="n">
        <v>0.1</v>
      </c>
      <c r="W79" s="1170" t="n">
        <v>0.055</v>
      </c>
      <c r="X79" s="1170" t="n">
        <v>0.12</v>
      </c>
      <c r="Y79" s="1171" t="n"/>
      <c r="Z79" s="1170" t="n">
        <v>0.04</v>
      </c>
      <c r="AA79" s="1168">
        <f>IF(TRIM($B79)="","",IF(N($AU79)&gt;0,$AU79,IF(N($S79)&gt;0,$S79*Lists!$AG$15*(1+N($Z79)),N($U79)*(1+N($V79)+N($W79)+N($X79)+N($Z79))+N($Y79))))</f>
        <v>170489.75</v>
      </c>
      <c r="AJ79" s="865" t="str">
        <f>IF(TRIM($B79)="","",IF(IFERROR(INDEX(Lists!$AO$2:$AO$11,MATCH(ROW(),Lists!$AN$2:$AN$11,0)),"")&lt;&gt;"",IFERROR(INDEX(Lists!$AO$2:$AO$11,MATCH(ROW(),Lists!$AN$2:$AN$11,0)),""),IFERROR(INDEX(Lists!$U:$U,MATCH(TRIM($I79),Lists!$T:$T,0)),TRIM($I79))))</f>
        <v>Ampol Retail</v>
      </c>
      <c r="AK79" s="865" t="str">
        <f>IF(ISNUMBER(SEARCH("vacant",$B79)),"Vacant","Filled")</f>
        <v>Vacant</v>
      </c>
      <c r="AL79" s="865" t="str">
        <f>IF($M79="NZ","NZ","AU")</f>
        <v>AU</v>
      </c>
      <c r="AM79" s="865">
        <f>COUNTIF($AJ$2:$AJ79,$AJ79)</f>
        <v>45</v>
      </c>
      <c r="AN79" s="865" t="str">
        <f>$AJ79&amp;"|"&amp;$AM79</f>
        <v>Ampol Retail|45</v>
      </c>
      <c r="AP79" s="865" t="str">
        <f>IF(TRIM($B79)="","",IF($AQ79=1,"Leadership",IFERROR(INDEX(Lists!$X:$X,MATCH(TRIM($K79),Lists!$W:$W,0)),IF(OR(TRIM($K79)="",LOWER(TRIM($K79))="na"),IF(TRIM($G79)="","Unassigned",TRIM($G79)),TRIM($K79)))))</f>
        <v>Above Store</v>
      </c>
      <c r="AQ79" s="865" t="b">
        <f>IF(TRIM($B79)="","",--OR(TRIM($K79)="Leadership",TRIM($J79)="Leadership"))</f>
        <v>0</v>
      </c>
      <c r="AR79" s="1136" t="str">
        <f>IF(TRIM($B79)="","",IF(IFERROR(INDEX(Lists!$AQ$2:$AQ$11,MATCH(ROW(),Lists!$AN$2:$AN$11,0)),"")&lt;&gt;"",IFERROR(INDEX(Lists!$AQ$2:$AQ$11,MATCH(ROW(),Lists!$AN$2:$AN$11,0)),""),IF(ISNUMBER(SEARCH("head of ",$C79)),"Head of Technology",IF(ISNUMBER(SEARCH("TDD BP",$C79)),"Business Partner",IF(OR(ISNUMBER(SEARCH("domain architect",$C79)),ISNUMBER(SEARCH("enterprise architect",$C79))),"Domain Architect",IF(ISNUMBER(SEARCH("delivery man",$C79)),"Delivery Manager",IF(OR(ISNUMBER(SEARCH("technology manager",$C79)),ISNUMBER(SEARCH("technology manger",$C79)),ISNUMBER(SEARCH("tech manager",$C79))),"Technology Manager","Squad")))))))</f>
        <v>Squad</v>
      </c>
      <c r="AS79" s="1136" t="str">
        <f>IF(TRIM($B79)="","",IFERROR(INDEX(Lists!$AA:$AA,MATCH($AP79,Lists!$Z:$Z,0)),$AP79))</f>
        <v>Above Store</v>
      </c>
      <c r="AT79" s="1136" t="str">
        <f>IF(TRIM($B79)="","",IF(IFERROR(INDEX(Lists!$AP$2:$AP$11,MATCH(ROW(),Lists!$AN$2:$AN$11,0)),"")&lt;&gt;"",IFERROR(INDEX(Lists!$AP$2:$AP$11,MATCH(ROW(),Lists!$AN$2:$AN$11,0)),""),IF(OR(LEFT($AJ79,3)="COE",$AJ79="EGI"),$AP79,IF($AR79&lt;&gt;"Squad",$AR79,$AP79))))</f>
        <v>Above Store</v>
      </c>
    </row>
    <row r="80" ht="18" customHeight="1" s="866">
      <c r="A80" s="1155" t="inlineStr">
        <is>
          <t>V</t>
        </is>
      </c>
      <c r="B80" s="1156" t="inlineStr">
        <is>
          <t>Vacant</t>
        </is>
      </c>
      <c r="C80" s="1156" t="inlineStr">
        <is>
          <t>Engineer - Software</t>
        </is>
      </c>
      <c r="D80" s="1156" t="inlineStr">
        <is>
          <t>Vacant</t>
        </is>
      </c>
      <c r="E80" s="1156" t="inlineStr">
        <is>
          <t>Technology Manager, Engineering</t>
        </is>
      </c>
      <c r="F80" s="1157" t="inlineStr">
        <is>
          <t>Ampol Retail &amp; Z</t>
        </is>
      </c>
      <c r="G80" s="1158" t="inlineStr">
        <is>
          <t>Z &amp; Group Retail</t>
        </is>
      </c>
      <c r="H80" s="1156" t="inlineStr">
        <is>
          <t>Z &amp; Group Retail, Engineering</t>
        </is>
      </c>
      <c r="I80" s="1156" t="inlineStr">
        <is>
          <t>Z</t>
        </is>
      </c>
      <c r="J80" s="1156" t="inlineStr">
        <is>
          <t>Z Customer</t>
        </is>
      </c>
      <c r="K80" s="1156" t="inlineStr">
        <is>
          <t xml:space="preserve">Z Retail Backend </t>
        </is>
      </c>
      <c r="L80" s="1158" t="n"/>
      <c r="M80" s="1159" t="inlineStr">
        <is>
          <t>australia</t>
        </is>
      </c>
      <c r="N80" s="1160" t="inlineStr">
        <is>
          <t>cib</t>
        </is>
      </c>
      <c r="O80" s="1160" t="n">
        <v>1</v>
      </c>
      <c r="P80" s="1160" t="n"/>
      <c r="Q80" s="1160" t="inlineStr">
        <is>
          <t>v</t>
        </is>
      </c>
      <c r="R80" s="1162" t="n"/>
      <c r="S80" s="1162" t="n"/>
      <c r="T80" s="1163" t="n">
        <v>173550</v>
      </c>
      <c r="U80" s="1174" t="n">
        <v>173550</v>
      </c>
      <c r="V80" s="1166" t="n">
        <v>0.12</v>
      </c>
      <c r="W80" s="1170" t="n">
        <v>0.055</v>
      </c>
      <c r="X80" s="1170" t="n">
        <v>0.12</v>
      </c>
      <c r="Y80" s="1171" t="n"/>
      <c r="Z80" s="1170" t="n">
        <v>0.04</v>
      </c>
      <c r="AA80" s="1168">
        <f>IF(TRIM($B80)="","",IF(N($AU80)&gt;0,$AU80,IF(N($S80)&gt;0,$S80*Lists!$AG$15*(1+N($Z80)),N($U80)*(1+N($V80)+N($W80)+N($X80)+N($Z80))+N($Y80))))</f>
        <v>231689.25</v>
      </c>
      <c r="AJ80" s="865" t="str">
        <f>IF(TRIM($B80)="","",IF(IFERROR(INDEX(Lists!$AO$2:$AO$11,MATCH(ROW(),Lists!$AN$2:$AN$11,0)),"")&lt;&gt;"",IFERROR(INDEX(Lists!$AO$2:$AO$11,MATCH(ROW(),Lists!$AN$2:$AN$11,0)),""),IFERROR(INDEX(Lists!$U:$U,MATCH(TRIM($I80),Lists!$T:$T,0)),TRIM($I80))))</f>
        <v>Z Retail</v>
      </c>
      <c r="AK80" s="865" t="str">
        <f>IF(ISNUMBER(SEARCH("vacant",$B80)),"Vacant","Filled")</f>
        <v>Vacant</v>
      </c>
      <c r="AL80" s="865" t="str">
        <f>IF($M80="NZ","NZ","AU")</f>
        <v>AU</v>
      </c>
      <c r="AM80" s="865">
        <f>COUNTIF($AJ$2:$AJ80,$AJ80)</f>
        <v>34</v>
      </c>
      <c r="AN80" s="865" t="str">
        <f>$AJ80&amp;"|"&amp;$AM80</f>
        <v>Z Retail|34</v>
      </c>
      <c r="AP80" s="865" t="str">
        <f>IF(TRIM($B80)="","",IF($AQ80=1,"Leadership",IFERROR(INDEX(Lists!$X:$X,MATCH(TRIM($K80),Lists!$W:$W,0)),IF(OR(TRIM($K80)="",LOWER(TRIM($K80))="na"),IF(TRIM($G80)="","Unassigned",TRIM($G80)),TRIM($K80)))))</f>
        <v>Z Retail Backend</v>
      </c>
      <c r="AQ80" s="865" t="b">
        <f>IF(TRIM($B80)="","",--OR(TRIM($K80)="Leadership",TRIM($J80)="Leadership"))</f>
        <v>0</v>
      </c>
      <c r="AR80" s="1136" t="str">
        <f>IF(TRIM($B80)="","",IF(IFERROR(INDEX(Lists!$AQ$2:$AQ$11,MATCH(ROW(),Lists!$AN$2:$AN$11,0)),"")&lt;&gt;"",IFERROR(INDEX(Lists!$AQ$2:$AQ$11,MATCH(ROW(),Lists!$AN$2:$AN$11,0)),""),IF(ISNUMBER(SEARCH("head of ",$C80)),"Head of Technology",IF(ISNUMBER(SEARCH("TDD BP",$C80)),"Business Partner",IF(OR(ISNUMBER(SEARCH("domain architect",$C80)),ISNUMBER(SEARCH("enterprise architect",$C80))),"Domain Architect",IF(ISNUMBER(SEARCH("delivery man",$C80)),"Delivery Manager",IF(OR(ISNUMBER(SEARCH("technology manager",$C80)),ISNUMBER(SEARCH("technology manger",$C80)),ISNUMBER(SEARCH("tech manager",$C80))),"Technology Manager","Squad")))))))</f>
        <v>Squad</v>
      </c>
      <c r="AS80" s="1136" t="str">
        <f>IF(TRIM($B80)="","",IFERROR(INDEX(Lists!$AA:$AA,MATCH($AP80,Lists!$Z:$Z,0)),$AP80))</f>
        <v>Z Retail Backend</v>
      </c>
      <c r="AT80" s="1136" t="str">
        <f>IF(TRIM($B80)="","",IF(IFERROR(INDEX(Lists!$AP$2:$AP$11,MATCH(ROW(),Lists!$AN$2:$AN$11,0)),"")&lt;&gt;"",IFERROR(INDEX(Lists!$AP$2:$AP$11,MATCH(ROW(),Lists!$AN$2:$AN$11,0)),""),IF(OR(LEFT($AJ80,3)="COE",$AJ80="EGI"),$AP80,IF($AR80&lt;&gt;"Squad",$AR80,$AP80))))</f>
        <v>Z Retail Backend</v>
      </c>
    </row>
    <row r="81" ht="18" customHeight="1" s="866">
      <c r="A81" s="1155" t="inlineStr">
        <is>
          <t>V</t>
        </is>
      </c>
      <c r="B81" s="1156" t="inlineStr">
        <is>
          <t>Vacant</t>
        </is>
      </c>
      <c r="C81" s="1156" t="inlineStr">
        <is>
          <t>Engineer Integration</t>
        </is>
      </c>
      <c r="D81" s="1156" t="inlineStr">
        <is>
          <t>Vaishnavi Viswanathan</t>
        </is>
      </c>
      <c r="E81" s="1156" t="inlineStr">
        <is>
          <t>Technology Manager, Store Platform</t>
        </is>
      </c>
      <c r="F81" s="1157" t="inlineStr">
        <is>
          <t>Ampol Retail &amp; Z</t>
        </is>
      </c>
      <c r="G81" s="1158" t="inlineStr">
        <is>
          <t>Ampol Retail</t>
        </is>
      </c>
      <c r="H81" s="1156" t="inlineStr">
        <is>
          <t>Ampol Retail, Store Platforms</t>
        </is>
      </c>
      <c r="I81" s="1156" t="inlineStr">
        <is>
          <t>Retail</t>
        </is>
      </c>
      <c r="J81" s="1158" t="inlineStr">
        <is>
          <t>Store Operations</t>
        </is>
      </c>
      <c r="K81" s="1156" t="inlineStr">
        <is>
          <t>POS</t>
        </is>
      </c>
      <c r="L81" s="1158" t="n"/>
      <c r="M81" s="1159" t="inlineStr">
        <is>
          <t>Australia</t>
        </is>
      </c>
      <c r="N81" s="1160" t="inlineStr">
        <is>
          <t>CIB</t>
        </is>
      </c>
      <c r="O81" s="1160" t="n">
        <v>1</v>
      </c>
      <c r="P81" s="1160" t="n"/>
      <c r="Q81" s="1160" t="inlineStr">
        <is>
          <t>v</t>
        </is>
      </c>
      <c r="R81" s="1162" t="n"/>
      <c r="S81" s="1162" t="n"/>
      <c r="T81" s="1163" t="n">
        <v>173550</v>
      </c>
      <c r="U81" s="1174" t="n">
        <v>173550</v>
      </c>
      <c r="V81" s="1166" t="n">
        <v>0.12</v>
      </c>
      <c r="W81" s="1170" t="n">
        <v>0.055</v>
      </c>
      <c r="X81" s="1170" t="n">
        <v>0.12</v>
      </c>
      <c r="Y81" s="1171" t="n"/>
      <c r="Z81" s="1170" t="n">
        <v>0.04</v>
      </c>
      <c r="AA81" s="1168">
        <f>IF(TRIM($B81)="","",IF(N($AU81)&gt;0,$AU81,IF(N($S81)&gt;0,$S81*Lists!$AG$15*(1+N($Z81)),N($U81)*(1+N($V81)+N($W81)+N($X81)+N($Z81))+N($Y81))))</f>
        <v>231689.25</v>
      </c>
      <c r="AJ81" s="865" t="str">
        <f>IF(TRIM($B81)="","",IF(IFERROR(INDEX(Lists!$AO$2:$AO$11,MATCH(ROW(),Lists!$AN$2:$AN$11,0)),"")&lt;&gt;"",IFERROR(INDEX(Lists!$AO$2:$AO$11,MATCH(ROW(),Lists!$AN$2:$AN$11,0)),""),IFERROR(INDEX(Lists!$U:$U,MATCH(TRIM($I81),Lists!$T:$T,0)),TRIM($I81))))</f>
        <v>Ampol Retail</v>
      </c>
      <c r="AK81" s="865" t="str">
        <f>IF(ISNUMBER(SEARCH("vacant",$B81)),"Vacant","Filled")</f>
        <v>Vacant</v>
      </c>
      <c r="AL81" s="865" t="str">
        <f>IF($M81="NZ","NZ","AU")</f>
        <v>AU</v>
      </c>
      <c r="AM81" s="865">
        <f>COUNTIF($AJ$2:$AJ81,$AJ81)</f>
        <v>46</v>
      </c>
      <c r="AN81" s="865" t="str">
        <f>$AJ81&amp;"|"&amp;$AM81</f>
        <v>Ampol Retail|46</v>
      </c>
      <c r="AP81" s="865" t="str">
        <f>IF(TRIM($B81)="","",IF($AQ81=1,"Leadership",IFERROR(INDEX(Lists!$X:$X,MATCH(TRIM($K81),Lists!$W:$W,0)),IF(OR(TRIM($K81)="",LOWER(TRIM($K81))="na"),IF(TRIM($G81)="","Unassigned",TRIM($G81)),TRIM($K81)))))</f>
        <v>POS</v>
      </c>
      <c r="AQ81" s="865" t="b">
        <f>IF(TRIM($B81)="","",--OR(TRIM($K81)="Leadership",TRIM($J81)="Leadership"))</f>
        <v>0</v>
      </c>
      <c r="AR81" s="1136" t="str">
        <f>IF(TRIM($B81)="","",IF(IFERROR(INDEX(Lists!$AQ$2:$AQ$11,MATCH(ROW(),Lists!$AN$2:$AN$11,0)),"")&lt;&gt;"",IFERROR(INDEX(Lists!$AQ$2:$AQ$11,MATCH(ROW(),Lists!$AN$2:$AN$11,0)),""),IF(ISNUMBER(SEARCH("head of ",$C81)),"Head of Technology",IF(ISNUMBER(SEARCH("TDD BP",$C81)),"Business Partner",IF(OR(ISNUMBER(SEARCH("domain architect",$C81)),ISNUMBER(SEARCH("enterprise architect",$C81))),"Domain Architect",IF(ISNUMBER(SEARCH("delivery man",$C81)),"Delivery Manager",IF(OR(ISNUMBER(SEARCH("technology manager",$C81)),ISNUMBER(SEARCH("technology manger",$C81)),ISNUMBER(SEARCH("tech manager",$C81))),"Technology Manager","Squad")))))))</f>
        <v>Squad</v>
      </c>
      <c r="AS81" s="1136" t="str">
        <f>IF(TRIM($B81)="","",IFERROR(INDEX(Lists!$AA:$AA,MATCH($AP81,Lists!$Z:$Z,0)),$AP81))</f>
        <v>POS</v>
      </c>
      <c r="AT81" s="1136" t="str">
        <f>IF(TRIM($B81)="","",IF(IFERROR(INDEX(Lists!$AP$2:$AP$11,MATCH(ROW(),Lists!$AN$2:$AN$11,0)),"")&lt;&gt;"",IFERROR(INDEX(Lists!$AP$2:$AP$11,MATCH(ROW(),Lists!$AN$2:$AN$11,0)),""),IF(OR(LEFT($AJ81,3)="COE",$AJ81="EGI"),$AP81,IF($AR81&lt;&gt;"Squad",$AR81,$AP81))))</f>
        <v>POS</v>
      </c>
    </row>
    <row r="82" ht="18" customHeight="1" s="866">
      <c r="A82" s="1155" t="inlineStr">
        <is>
          <t>V</t>
        </is>
      </c>
      <c r="B82" s="1156" t="inlineStr">
        <is>
          <t>Vacant</t>
        </is>
      </c>
      <c r="C82" s="1156" t="inlineStr">
        <is>
          <t>Head of Technology, Z and Group Retail Platforms</t>
        </is>
      </c>
      <c r="D82" s="1156" t="inlineStr">
        <is>
          <t>Vance Anderson</t>
        </is>
      </c>
      <c r="E82" s="1158" t="inlineStr">
        <is>
          <t>GM TDD, Ampol Retail &amp; Z</t>
        </is>
      </c>
      <c r="F82" s="1157" t="inlineStr">
        <is>
          <t>Ampol Retail &amp; Z</t>
        </is>
      </c>
      <c r="G82" s="1158" t="inlineStr">
        <is>
          <t>Z &amp; Group Retail</t>
        </is>
      </c>
      <c r="H82" s="1156" t="inlineStr">
        <is>
          <t>na</t>
        </is>
      </c>
      <c r="I82" s="1156" t="inlineStr">
        <is>
          <t>Z</t>
        </is>
      </c>
      <c r="J82" s="1156" t="inlineStr">
        <is>
          <t>Z Customer &amp; Z Supply</t>
        </is>
      </c>
      <c r="K82" s="1158" t="inlineStr">
        <is>
          <t>Leadership</t>
        </is>
      </c>
      <c r="L82" s="1158" t="n"/>
      <c r="M82" s="1159" t="inlineStr">
        <is>
          <t>NZ</t>
        </is>
      </c>
      <c r="N82" s="1160" t="inlineStr">
        <is>
          <t>CSC</t>
        </is>
      </c>
      <c r="O82" s="1160" t="n">
        <v>1</v>
      </c>
      <c r="P82" s="1160" t="n"/>
      <c r="Q82" s="1160" t="inlineStr">
        <is>
          <t>v</t>
        </is>
      </c>
      <c r="R82" s="1162" t="n"/>
      <c r="S82" s="1162" t="n"/>
      <c r="T82" s="1163" t="n">
        <v>245000</v>
      </c>
      <c r="U82" s="1174" t="n">
        <v>225400</v>
      </c>
      <c r="V82" s="1165" t="n">
        <v>0.2</v>
      </c>
      <c r="W82" s="1162" t="n"/>
      <c r="X82" s="1166" t="n">
        <v>0.05</v>
      </c>
      <c r="Y82" s="1907" t="n">
        <v>2910</v>
      </c>
      <c r="Z82" s="1166" t="n">
        <v>0.03</v>
      </c>
      <c r="AA82" s="1168">
        <f>IF(TRIM($B82)="","",IF(N($AU82)&gt;0,$AU82,IF(N($S82)&gt;0,$S82*Lists!$AG$15*(1+N($Z82)),N($U82)*(1+N($V82)+N($W82)+N($X82)+N($Z82))+N($Y82))))</f>
        <v>291422</v>
      </c>
      <c r="AJ82" s="865" t="str">
        <f>IF(TRIM($B82)="","",IF(IFERROR(INDEX(Lists!$AO$2:$AO$11,MATCH(ROW(),Lists!$AN$2:$AN$11,0)),"")&lt;&gt;"",IFERROR(INDEX(Lists!$AO$2:$AO$11,MATCH(ROW(),Lists!$AN$2:$AN$11,0)),""),IFERROR(INDEX(Lists!$U:$U,MATCH(TRIM($I82),Lists!$T:$T,0)),TRIM($I82))))</f>
        <v>Z Retail</v>
      </c>
      <c r="AK82" s="865" t="str">
        <f>IF(ISNUMBER(SEARCH("vacant",$B82)),"Vacant","Filled")</f>
        <v>Vacant</v>
      </c>
      <c r="AL82" s="865" t="str">
        <f>IF($M82="NZ","NZ","AU")</f>
        <v>NZ</v>
      </c>
      <c r="AM82" s="865">
        <f>COUNTIF($AJ$2:$AJ82,$AJ82)</f>
        <v>35</v>
      </c>
      <c r="AN82" s="865" t="str">
        <f>$AJ82&amp;"|"&amp;$AM82</f>
        <v>Z Retail|35</v>
      </c>
      <c r="AP82" s="1136" t="str">
        <f>IF(TRIM($B82)="","",IF($AQ82=1,"Leadership",IFERROR(INDEX(Lists!$X:$X,MATCH(TRIM($K82),Lists!$W:$W,0)),IF(OR(TRIM($K82)="",LOWER(TRIM($K82))="na"),IF(TRIM($G82)="","Unassigned",TRIM($G82)),TRIM($K82)))))</f>
        <v>Leadership</v>
      </c>
      <c r="AQ82" s="865" t="b">
        <f>IF(TRIM($B82)="","",--OR(TRIM($K82)="Leadership",TRIM($J82)="Leadership"))</f>
        <v>1</v>
      </c>
      <c r="AR82" s="1136" t="str">
        <f>IF(TRIM($B82)="","",IF(IFERROR(INDEX(Lists!$AQ$2:$AQ$11,MATCH(ROW(),Lists!$AN$2:$AN$11,0)),"")&lt;&gt;"",IFERROR(INDEX(Lists!$AQ$2:$AQ$11,MATCH(ROW(),Lists!$AN$2:$AN$11,0)),""),IF(ISNUMBER(SEARCH("head of ",$C82)),"Head of Technology",IF(ISNUMBER(SEARCH("TDD BP",$C82)),"Business Partner",IF(OR(ISNUMBER(SEARCH("domain architect",$C82)),ISNUMBER(SEARCH("enterprise architect",$C82))),"Domain Architect",IF(ISNUMBER(SEARCH("delivery man",$C82)),"Delivery Manager",IF(OR(ISNUMBER(SEARCH("technology manager",$C82)),ISNUMBER(SEARCH("technology manger",$C82)),ISNUMBER(SEARCH("tech manager",$C82))),"Technology Manager","Squad")))))))</f>
        <v>Head of Technology</v>
      </c>
      <c r="AS82" s="1136" t="str">
        <f>IF(TRIM($B82)="","",IFERROR(INDEX(Lists!$AA:$AA,MATCH($AP82,Lists!$Z:$Z,0)),$AP82))</f>
        <v>Leadership</v>
      </c>
      <c r="AT82" s="1136" t="str">
        <f>IF(TRIM($B82)="","",IF(IFERROR(INDEX(Lists!$AP$2:$AP$11,MATCH(ROW(),Lists!$AN$2:$AN$11,0)),"")&lt;&gt;"",IFERROR(INDEX(Lists!$AP$2:$AP$11,MATCH(ROW(),Lists!$AN$2:$AN$11,0)),""),IF(OR(LEFT($AJ82,3)="COE",$AJ82="EGI"),$AP82,IF($AR82&lt;&gt;"Squad",$AR82,$AP82))))</f>
        <v>Head of Technology</v>
      </c>
    </row>
    <row r="83" ht="18" customHeight="1" s="866">
      <c r="A83" s="1155" t="inlineStr">
        <is>
          <t>V</t>
        </is>
      </c>
      <c r="B83" s="1156" t="inlineStr">
        <is>
          <t>Vacant</t>
        </is>
      </c>
      <c r="C83" s="1156" t="inlineStr">
        <is>
          <t>Lead Quality Assurance</t>
        </is>
      </c>
      <c r="D83" s="1156" t="inlineStr">
        <is>
          <t>Vaishnavi Viswanathan</t>
        </is>
      </c>
      <c r="E83" s="1156" t="inlineStr">
        <is>
          <t>Technology Manager, Store Platform</t>
        </is>
      </c>
      <c r="F83" s="1157" t="inlineStr">
        <is>
          <t>Ampol Retail &amp; Z</t>
        </is>
      </c>
      <c r="G83" s="1158" t="inlineStr">
        <is>
          <t>Ampol Retail</t>
        </is>
      </c>
      <c r="H83" s="1156" t="inlineStr">
        <is>
          <t>Ampol Retail, Store Platforms</t>
        </is>
      </c>
      <c r="I83" s="1156" t="inlineStr">
        <is>
          <t>Retail</t>
        </is>
      </c>
      <c r="J83" s="1158" t="inlineStr">
        <is>
          <t>Store Operations</t>
        </is>
      </c>
      <c r="K83" s="1156" t="inlineStr">
        <is>
          <t>POS</t>
        </is>
      </c>
      <c r="L83" s="1158" t="n"/>
      <c r="M83" s="1159" t="inlineStr">
        <is>
          <t>Australia</t>
        </is>
      </c>
      <c r="N83" s="1160" t="inlineStr">
        <is>
          <t>CIC</t>
        </is>
      </c>
      <c r="O83" s="1160" t="n">
        <v>1</v>
      </c>
      <c r="P83" s="1160" t="n"/>
      <c r="Q83" s="1160" t="inlineStr">
        <is>
          <t>v</t>
        </is>
      </c>
      <c r="R83" s="1162" t="n"/>
      <c r="S83" s="1162" t="n"/>
      <c r="T83" s="1163" t="n">
        <v>168160</v>
      </c>
      <c r="U83" s="1164" t="n">
        <v>168160</v>
      </c>
      <c r="V83" s="1166" t="n">
        <v>0.12</v>
      </c>
      <c r="W83" s="1170" t="n">
        <v>0.055</v>
      </c>
      <c r="X83" s="1170" t="n">
        <v>0.12</v>
      </c>
      <c r="Y83" s="1171" t="n"/>
      <c r="Z83" s="1170" t="n">
        <v>0.04</v>
      </c>
      <c r="AA83" s="1168">
        <f>IF(TRIM($B83)="","",IF(N($AU83)&gt;0,$AU83,IF(N($S83)&gt;0,$S83*Lists!$AG$15*(1+N($Z83)),N($U83)*(1+N($V83)+N($W83)+N($X83)+N($Z83))+N($Y83))))</f>
        <v>224493.6</v>
      </c>
      <c r="AJ83" s="865" t="str">
        <f>IF(TRIM($B83)="","",IF(IFERROR(INDEX(Lists!$AO$2:$AO$11,MATCH(ROW(),Lists!$AN$2:$AN$11,0)),"")&lt;&gt;"",IFERROR(INDEX(Lists!$AO$2:$AO$11,MATCH(ROW(),Lists!$AN$2:$AN$11,0)),""),IFERROR(INDEX(Lists!$U:$U,MATCH(TRIM($I83),Lists!$T:$T,0)),TRIM($I83))))</f>
        <v>Ampol Retail</v>
      </c>
      <c r="AK83" s="865" t="str">
        <f>IF(ISNUMBER(SEARCH("vacant",$B83)),"Vacant","Filled")</f>
        <v>Vacant</v>
      </c>
      <c r="AL83" s="865" t="str">
        <f>IF($M83="NZ","NZ","AU")</f>
        <v>AU</v>
      </c>
      <c r="AM83" s="865">
        <f>COUNTIF($AJ$2:$AJ83,$AJ83)</f>
        <v>47</v>
      </c>
      <c r="AN83" s="865" t="str">
        <f>$AJ83&amp;"|"&amp;$AM83</f>
        <v>Ampol Retail|47</v>
      </c>
      <c r="AP83" s="865" t="str">
        <f>IF(TRIM($B83)="","",IF($AQ83=1,"Leadership",IFERROR(INDEX(Lists!$X:$X,MATCH(TRIM($K83),Lists!$W:$W,0)),IF(OR(TRIM($K83)="",LOWER(TRIM($K83))="na"),IF(TRIM($G83)="","Unassigned",TRIM($G83)),TRIM($K83)))))</f>
        <v>POS</v>
      </c>
      <c r="AQ83" s="865" t="b">
        <f>IF(TRIM($B83)="","",--OR(TRIM($K83)="Leadership",TRIM($J83)="Leadership"))</f>
        <v>0</v>
      </c>
      <c r="AR83" s="1136" t="str">
        <f>IF(TRIM($B83)="","",IF(IFERROR(INDEX(Lists!$AQ$2:$AQ$11,MATCH(ROW(),Lists!$AN$2:$AN$11,0)),"")&lt;&gt;"",IFERROR(INDEX(Lists!$AQ$2:$AQ$11,MATCH(ROW(),Lists!$AN$2:$AN$11,0)),""),IF(ISNUMBER(SEARCH("head of ",$C83)),"Head of Technology",IF(ISNUMBER(SEARCH("TDD BP",$C83)),"Business Partner",IF(OR(ISNUMBER(SEARCH("domain architect",$C83)),ISNUMBER(SEARCH("enterprise architect",$C83))),"Domain Architect",IF(ISNUMBER(SEARCH("delivery man",$C83)),"Delivery Manager",IF(OR(ISNUMBER(SEARCH("technology manager",$C83)),ISNUMBER(SEARCH("technology manger",$C83)),ISNUMBER(SEARCH("tech manager",$C83))),"Technology Manager","Squad")))))))</f>
        <v>Squad</v>
      </c>
      <c r="AS83" s="1136" t="str">
        <f>IF(TRIM($B83)="","",IFERROR(INDEX(Lists!$AA:$AA,MATCH($AP83,Lists!$Z:$Z,0)),$AP83))</f>
        <v>POS</v>
      </c>
      <c r="AT83" s="1136" t="str">
        <f>IF(TRIM($B83)="","",IF(IFERROR(INDEX(Lists!$AP$2:$AP$11,MATCH(ROW(),Lists!$AN$2:$AN$11,0)),"")&lt;&gt;"",IFERROR(INDEX(Lists!$AP$2:$AP$11,MATCH(ROW(),Lists!$AN$2:$AN$11,0)),""),IF(OR(LEFT($AJ83,3)="COE",$AJ83="EGI"),$AP83,IF($AR83&lt;&gt;"Squad",$AR83,$AP83))))</f>
        <v>POS</v>
      </c>
    </row>
    <row r="84" ht="18" customHeight="1" s="866">
      <c r="A84" s="1155" t="inlineStr">
        <is>
          <t>V</t>
        </is>
      </c>
      <c r="B84" s="1156" t="inlineStr">
        <is>
          <t>Vacant</t>
        </is>
      </c>
      <c r="C84" s="1156" t="inlineStr">
        <is>
          <t>Lead Quality Assurance</t>
        </is>
      </c>
      <c r="D84" s="1156" t="inlineStr">
        <is>
          <t>Vacant</t>
        </is>
      </c>
      <c r="E84" s="1156" t="inlineStr">
        <is>
          <t>Technology Manager, Engineering</t>
        </is>
      </c>
      <c r="F84" s="1157" t="inlineStr">
        <is>
          <t>Ampol Retail &amp; Z</t>
        </is>
      </c>
      <c r="G84" s="1158" t="inlineStr">
        <is>
          <t>Z &amp; Group Retail</t>
        </is>
      </c>
      <c r="H84" s="1156" t="inlineStr">
        <is>
          <t>Z &amp; Group Retail, Engineering</t>
        </is>
      </c>
      <c r="I84" s="1156" t="inlineStr">
        <is>
          <t>Z</t>
        </is>
      </c>
      <c r="J84" s="1156" t="inlineStr">
        <is>
          <t>Z Customer</t>
        </is>
      </c>
      <c r="K84" s="1156" t="inlineStr">
        <is>
          <t xml:space="preserve">Z Retail Backend </t>
        </is>
      </c>
      <c r="L84" s="1158" t="n"/>
      <c r="M84" s="1159" t="inlineStr">
        <is>
          <t>Australia</t>
        </is>
      </c>
      <c r="N84" s="1160" t="inlineStr">
        <is>
          <t>CIC</t>
        </is>
      </c>
      <c r="O84" s="1160" t="n">
        <v>1</v>
      </c>
      <c r="P84" s="1160" t="n"/>
      <c r="Q84" s="1160" t="inlineStr">
        <is>
          <t>v</t>
        </is>
      </c>
      <c r="R84" s="1162" t="n"/>
      <c r="S84" s="1162" t="n"/>
      <c r="T84" s="1163" t="n">
        <v>129650</v>
      </c>
      <c r="U84" s="1164" t="n">
        <v>129650</v>
      </c>
      <c r="V84" s="1166" t="n">
        <v>0.1</v>
      </c>
      <c r="W84" s="1170" t="n">
        <v>0.055</v>
      </c>
      <c r="X84" s="1170" t="n">
        <v>0.12</v>
      </c>
      <c r="Y84" s="1171" t="n"/>
      <c r="Z84" s="1170" t="n">
        <v>0.04</v>
      </c>
      <c r="AA84" s="1168">
        <f>IF(TRIM($B84)="","",IF(N($AU84)&gt;0,$AU84,IF(N($S84)&gt;0,$S84*Lists!$AG$15*(1+N($Z84)),N($U84)*(1+N($V84)+N($W84)+N($X84)+N($Z84))+N($Y84))))</f>
        <v>170489.75</v>
      </c>
      <c r="AJ84" s="865" t="str">
        <f>IF(TRIM($B84)="","",IF(IFERROR(INDEX(Lists!$AO$2:$AO$11,MATCH(ROW(),Lists!$AN$2:$AN$11,0)),"")&lt;&gt;"",IFERROR(INDEX(Lists!$AO$2:$AO$11,MATCH(ROW(),Lists!$AN$2:$AN$11,0)),""),IFERROR(INDEX(Lists!$U:$U,MATCH(TRIM($I84),Lists!$T:$T,0)),TRIM($I84))))</f>
        <v>Z Retail</v>
      </c>
      <c r="AK84" s="865" t="str">
        <f>IF(ISNUMBER(SEARCH("vacant",$B84)),"Vacant","Filled")</f>
        <v>Vacant</v>
      </c>
      <c r="AL84" s="865" t="str">
        <f>IF($M84="NZ","NZ","AU")</f>
        <v>AU</v>
      </c>
      <c r="AM84" s="865">
        <f>COUNTIF($AJ$2:$AJ84,$AJ84)</f>
        <v>36</v>
      </c>
      <c r="AN84" s="865" t="str">
        <f>$AJ84&amp;"|"&amp;$AM84</f>
        <v>Z Retail|36</v>
      </c>
      <c r="AP84" s="865" t="str">
        <f>IF(TRIM($B84)="","",IF($AQ84=1,"Leadership",IFERROR(INDEX(Lists!$X:$X,MATCH(TRIM($K84),Lists!$W:$W,0)),IF(OR(TRIM($K84)="",LOWER(TRIM($K84))="na"),IF(TRIM($G84)="","Unassigned",TRIM($G84)),TRIM($K84)))))</f>
        <v>Z Retail Backend</v>
      </c>
      <c r="AQ84" s="865" t="b">
        <f>IF(TRIM($B84)="","",--OR(TRIM($K84)="Leadership",TRIM($J84)="Leadership"))</f>
        <v>0</v>
      </c>
      <c r="AR84" s="1136" t="str">
        <f>IF(TRIM($B84)="","",IF(IFERROR(INDEX(Lists!$AQ$2:$AQ$11,MATCH(ROW(),Lists!$AN$2:$AN$11,0)),"")&lt;&gt;"",IFERROR(INDEX(Lists!$AQ$2:$AQ$11,MATCH(ROW(),Lists!$AN$2:$AN$11,0)),""),IF(ISNUMBER(SEARCH("head of ",$C84)),"Head of Technology",IF(ISNUMBER(SEARCH("TDD BP",$C84)),"Business Partner",IF(OR(ISNUMBER(SEARCH("domain architect",$C84)),ISNUMBER(SEARCH("enterprise architect",$C84))),"Domain Architect",IF(ISNUMBER(SEARCH("delivery man",$C84)),"Delivery Manager",IF(OR(ISNUMBER(SEARCH("technology manager",$C84)),ISNUMBER(SEARCH("technology manger",$C84)),ISNUMBER(SEARCH("tech manager",$C84))),"Technology Manager","Squad")))))))</f>
        <v>Squad</v>
      </c>
      <c r="AS84" s="1136" t="str">
        <f>IF(TRIM($B84)="","",IFERROR(INDEX(Lists!$AA:$AA,MATCH($AP84,Lists!$Z:$Z,0)),$AP84))</f>
        <v>Z Retail Backend</v>
      </c>
      <c r="AT84" s="1136" t="str">
        <f>IF(TRIM($B84)="","",IF(IFERROR(INDEX(Lists!$AP$2:$AP$11,MATCH(ROW(),Lists!$AN$2:$AN$11,0)),"")&lt;&gt;"",IFERROR(INDEX(Lists!$AP$2:$AP$11,MATCH(ROW(),Lists!$AN$2:$AN$11,0)),""),IF(OR(LEFT($AJ84,3)="COE",$AJ84="EGI"),$AP84,IF($AR84&lt;&gt;"Squad",$AR84,$AP84))))</f>
        <v>Z Retail Backend</v>
      </c>
    </row>
    <row r="85" ht="18" customHeight="1" s="866">
      <c r="A85" s="1155" t="inlineStr">
        <is>
          <t>V</t>
        </is>
      </c>
      <c r="B85" s="1156" t="inlineStr">
        <is>
          <t>Vacant</t>
        </is>
      </c>
      <c r="C85" s="1156" t="inlineStr">
        <is>
          <t>Quality Assurance</t>
        </is>
      </c>
      <c r="D85" s="1156" t="inlineStr">
        <is>
          <t>Tracy Lee Reaper</t>
        </is>
      </c>
      <c r="E85" s="1156" t="inlineStr">
        <is>
          <t>Tech Manager, Merchandising &amp; WFM</t>
        </is>
      </c>
      <c r="F85" s="1157" t="inlineStr">
        <is>
          <t>Ampol Retail &amp; Z</t>
        </is>
      </c>
      <c r="G85" s="1158" t="inlineStr">
        <is>
          <t>Ampol Retail</t>
        </is>
      </c>
      <c r="H85" s="1156" t="inlineStr">
        <is>
          <t>Ampol Retail, Merch &amp; RTA</t>
        </is>
      </c>
      <c r="I85" s="1156" t="inlineStr">
        <is>
          <t>Retail</t>
        </is>
      </c>
      <c r="J85" s="1158" t="inlineStr">
        <is>
          <t>Above Store</t>
        </is>
      </c>
      <c r="K85" s="1158" t="inlineStr">
        <is>
          <t>Above Store</t>
        </is>
      </c>
      <c r="L85" s="1158" t="n"/>
      <c r="M85" s="1159" t="inlineStr">
        <is>
          <t>Australia</t>
        </is>
      </c>
      <c r="N85" s="1160" t="inlineStr">
        <is>
          <t>CIA</t>
        </is>
      </c>
      <c r="O85" s="1160" t="n">
        <v>1</v>
      </c>
      <c r="P85" s="1160" t="n"/>
      <c r="Q85" s="1160" t="inlineStr">
        <is>
          <t>v</t>
        </is>
      </c>
      <c r="R85" s="1162" t="n"/>
      <c r="S85" s="1162" t="n"/>
      <c r="T85" s="1163" t="n">
        <v>129659</v>
      </c>
      <c r="U85" s="1164" t="n">
        <v>129659</v>
      </c>
      <c r="V85" s="1166" t="n">
        <v>0.1</v>
      </c>
      <c r="W85" s="1170" t="n">
        <v>0.055</v>
      </c>
      <c r="X85" s="1170" t="n">
        <v>0.12</v>
      </c>
      <c r="Y85" s="1171" t="n"/>
      <c r="Z85" s="1170" t="n">
        <v>0.04</v>
      </c>
      <c r="AA85" s="1168">
        <f>IF(TRIM($B85)="","",IF(N($AU85)&gt;0,$AU85,IF(N($S85)&gt;0,$S85*Lists!$AG$15*(1+N($Z85)),N($U85)*(1+N($V85)+N($W85)+N($X85)+N($Z85))+N($Y85))))</f>
        <v>170501.585</v>
      </c>
      <c r="AJ85" s="865" t="str">
        <f>IF(TRIM($B85)="","",IF(IFERROR(INDEX(Lists!$AO$2:$AO$11,MATCH(ROW(),Lists!$AN$2:$AN$11,0)),"")&lt;&gt;"",IFERROR(INDEX(Lists!$AO$2:$AO$11,MATCH(ROW(),Lists!$AN$2:$AN$11,0)),""),IFERROR(INDEX(Lists!$U:$U,MATCH(TRIM($I85),Lists!$T:$T,0)),TRIM($I85))))</f>
        <v>Ampol Retail</v>
      </c>
      <c r="AK85" s="865" t="str">
        <f>IF(ISNUMBER(SEARCH("vacant",$B85)),"Vacant","Filled")</f>
        <v>Vacant</v>
      </c>
      <c r="AL85" s="865" t="str">
        <f>IF($M85="NZ","NZ","AU")</f>
        <v>AU</v>
      </c>
      <c r="AM85" s="865">
        <f>COUNTIF($AJ$2:$AJ85,$AJ85)</f>
        <v>48</v>
      </c>
      <c r="AN85" s="865" t="str">
        <f>$AJ85&amp;"|"&amp;$AM85</f>
        <v>Ampol Retail|48</v>
      </c>
      <c r="AP85" s="865" t="str">
        <f>IF(TRIM($B85)="","",IF($AQ85=1,"Leadership",IFERROR(INDEX(Lists!$X:$X,MATCH(TRIM($K85),Lists!$W:$W,0)),IF(OR(TRIM($K85)="",LOWER(TRIM($K85))="na"),IF(TRIM($G85)="","Unassigned",TRIM($G85)),TRIM($K85)))))</f>
        <v>Above Store</v>
      </c>
      <c r="AQ85" s="865" t="b">
        <f>IF(TRIM($B85)="","",--OR(TRIM($K85)="Leadership",TRIM($J85)="Leadership"))</f>
        <v>0</v>
      </c>
      <c r="AR85" s="1136" t="str">
        <f>IF(TRIM($B85)="","",IF(IFERROR(INDEX(Lists!$AQ$2:$AQ$11,MATCH(ROW(),Lists!$AN$2:$AN$11,0)),"")&lt;&gt;"",IFERROR(INDEX(Lists!$AQ$2:$AQ$11,MATCH(ROW(),Lists!$AN$2:$AN$11,0)),""),IF(ISNUMBER(SEARCH("head of ",$C85)),"Head of Technology",IF(ISNUMBER(SEARCH("TDD BP",$C85)),"Business Partner",IF(OR(ISNUMBER(SEARCH("domain architect",$C85)),ISNUMBER(SEARCH("enterprise architect",$C85))),"Domain Architect",IF(ISNUMBER(SEARCH("delivery man",$C85)),"Delivery Manager",IF(OR(ISNUMBER(SEARCH("technology manager",$C85)),ISNUMBER(SEARCH("technology manger",$C85)),ISNUMBER(SEARCH("tech manager",$C85))),"Technology Manager","Squad")))))))</f>
        <v>Squad</v>
      </c>
      <c r="AS85" s="1136" t="str">
        <f>IF(TRIM($B85)="","",IFERROR(INDEX(Lists!$AA:$AA,MATCH($AP85,Lists!$Z:$Z,0)),$AP85))</f>
        <v>Above Store</v>
      </c>
      <c r="AT85" s="1136" t="str">
        <f>IF(TRIM($B85)="","",IF(IFERROR(INDEX(Lists!$AP$2:$AP$11,MATCH(ROW(),Lists!$AN$2:$AN$11,0)),"")&lt;&gt;"",IFERROR(INDEX(Lists!$AP$2:$AP$11,MATCH(ROW(),Lists!$AN$2:$AN$11,0)),""),IF(OR(LEFT($AJ85,3)="COE",$AJ85="EGI"),$AP85,IF($AR85&lt;&gt;"Squad",$AR85,$AP85))))</f>
        <v>Above Store</v>
      </c>
    </row>
    <row r="86" ht="18" customHeight="1" s="866">
      <c r="A86" s="1155" t="inlineStr">
        <is>
          <t>V</t>
        </is>
      </c>
      <c r="B86" s="1156" t="inlineStr">
        <is>
          <t>Vacant</t>
        </is>
      </c>
      <c r="C86" s="1156" t="inlineStr">
        <is>
          <t>Quality Assurance</t>
        </is>
      </c>
      <c r="D86" s="1158" t="inlineStr">
        <is>
          <t>Vacant</t>
        </is>
      </c>
      <c r="E86" s="1156" t="inlineStr">
        <is>
          <t>Lead Quality Assurance</t>
        </is>
      </c>
      <c r="F86" s="1157" t="inlineStr">
        <is>
          <t>Ampol Retail &amp; Z</t>
        </is>
      </c>
      <c r="G86" s="1158" t="inlineStr">
        <is>
          <t>Ampol Retail</t>
        </is>
      </c>
      <c r="H86" s="1156" t="inlineStr">
        <is>
          <t>Ampol Retail, Store Platforms</t>
        </is>
      </c>
      <c r="I86" s="1156" t="inlineStr">
        <is>
          <t>Retail</t>
        </is>
      </c>
      <c r="J86" s="1158" t="inlineStr">
        <is>
          <t>Store Operations</t>
        </is>
      </c>
      <c r="K86" s="1156" t="inlineStr">
        <is>
          <t>POS</t>
        </is>
      </c>
      <c r="L86" s="1158" t="n"/>
      <c r="M86" s="1159" t="inlineStr">
        <is>
          <t>Australia</t>
        </is>
      </c>
      <c r="N86" s="1160" t="inlineStr">
        <is>
          <t>CIA</t>
        </is>
      </c>
      <c r="O86" s="1160" t="n">
        <v>1</v>
      </c>
      <c r="P86" s="1160" t="n"/>
      <c r="Q86" s="1160" t="inlineStr">
        <is>
          <t>v</t>
        </is>
      </c>
      <c r="R86" s="1162" t="n"/>
      <c r="S86" s="1162" t="n"/>
      <c r="T86" s="1163" t="n">
        <v>129650</v>
      </c>
      <c r="U86" s="1164" t="n">
        <v>129650</v>
      </c>
      <c r="V86" s="1166" t="n">
        <v>0.1</v>
      </c>
      <c r="W86" s="1170" t="n">
        <v>0.055</v>
      </c>
      <c r="X86" s="1170" t="n">
        <v>0.12</v>
      </c>
      <c r="Y86" s="1171" t="n"/>
      <c r="Z86" s="1170" t="n">
        <v>0.04</v>
      </c>
      <c r="AA86" s="1168">
        <f>IF(TRIM($B86)="","",IF(N($AU86)&gt;0,$AU86,IF(N($S86)&gt;0,$S86*Lists!$AG$15*(1+N($Z86)),N($U86)*(1+N($V86)+N($W86)+N($X86)+N($Z86))+N($Y86))))</f>
        <v>170489.75</v>
      </c>
      <c r="AJ86" s="865" t="str">
        <f>IF(TRIM($B86)="","",IF(IFERROR(INDEX(Lists!$AO$2:$AO$11,MATCH(ROW(),Lists!$AN$2:$AN$11,0)),"")&lt;&gt;"",IFERROR(INDEX(Lists!$AO$2:$AO$11,MATCH(ROW(),Lists!$AN$2:$AN$11,0)),""),IFERROR(INDEX(Lists!$U:$U,MATCH(TRIM($I86),Lists!$T:$T,0)),TRIM($I86))))</f>
        <v>Ampol Retail</v>
      </c>
      <c r="AK86" s="865" t="str">
        <f>IF(ISNUMBER(SEARCH("vacant",$B86)),"Vacant","Filled")</f>
        <v>Vacant</v>
      </c>
      <c r="AL86" s="865" t="str">
        <f>IF($M86="NZ","NZ","AU")</f>
        <v>AU</v>
      </c>
      <c r="AM86" s="865">
        <f>COUNTIF($AJ$2:$AJ86,$AJ86)</f>
        <v>49</v>
      </c>
      <c r="AN86" s="865" t="str">
        <f>$AJ86&amp;"|"&amp;$AM86</f>
        <v>Ampol Retail|49</v>
      </c>
      <c r="AP86" s="865" t="str">
        <f>IF(TRIM($B86)="","",IF($AQ86=1,"Leadership",IFERROR(INDEX(Lists!$X:$X,MATCH(TRIM($K86),Lists!$W:$W,0)),IF(OR(TRIM($K86)="",LOWER(TRIM($K86))="na"),IF(TRIM($G86)="","Unassigned",TRIM($G86)),TRIM($K86)))))</f>
        <v>POS</v>
      </c>
      <c r="AQ86" s="865" t="b">
        <f>IF(TRIM($B86)="","",--OR(TRIM($K86)="Leadership",TRIM($J86)="Leadership"))</f>
        <v>0</v>
      </c>
      <c r="AR86" s="1136" t="str">
        <f>IF(TRIM($B86)="","",IF(IFERROR(INDEX(Lists!$AQ$2:$AQ$11,MATCH(ROW(),Lists!$AN$2:$AN$11,0)),"")&lt;&gt;"",IFERROR(INDEX(Lists!$AQ$2:$AQ$11,MATCH(ROW(),Lists!$AN$2:$AN$11,0)),""),IF(ISNUMBER(SEARCH("head of ",$C86)),"Head of Technology",IF(ISNUMBER(SEARCH("TDD BP",$C86)),"Business Partner",IF(OR(ISNUMBER(SEARCH("domain architect",$C86)),ISNUMBER(SEARCH("enterprise architect",$C86))),"Domain Architect",IF(ISNUMBER(SEARCH("delivery man",$C86)),"Delivery Manager",IF(OR(ISNUMBER(SEARCH("technology manager",$C86)),ISNUMBER(SEARCH("technology manger",$C86)),ISNUMBER(SEARCH("tech manager",$C86))),"Technology Manager","Squad")))))))</f>
        <v>Squad</v>
      </c>
      <c r="AS86" s="1136" t="str">
        <f>IF(TRIM($B86)="","",IFERROR(INDEX(Lists!$AA:$AA,MATCH($AP86,Lists!$Z:$Z,0)),$AP86))</f>
        <v>POS</v>
      </c>
      <c r="AT86" s="1136" t="str">
        <f>IF(TRIM($B86)="","",IF(IFERROR(INDEX(Lists!$AP$2:$AP$11,MATCH(ROW(),Lists!$AN$2:$AN$11,0)),"")&lt;&gt;"",IFERROR(INDEX(Lists!$AP$2:$AP$11,MATCH(ROW(),Lists!$AN$2:$AN$11,0)),""),IF(OR(LEFT($AJ86,3)="COE",$AJ86="EGI"),$AP86,IF($AR86&lt;&gt;"Squad",$AR86,$AP86))))</f>
        <v>POS</v>
      </c>
    </row>
    <row r="87" ht="18" customHeight="1" s="866">
      <c r="A87" s="1155" t="inlineStr">
        <is>
          <t>V</t>
        </is>
      </c>
      <c r="B87" s="1156" t="inlineStr">
        <is>
          <t>Vacant</t>
        </is>
      </c>
      <c r="C87" s="1156" t="inlineStr">
        <is>
          <t>Quality Assurance</t>
        </is>
      </c>
      <c r="D87" s="1158" t="inlineStr">
        <is>
          <t>Vacant</t>
        </is>
      </c>
      <c r="E87" s="1156" t="inlineStr">
        <is>
          <t>Lead Quality Assurance</t>
        </is>
      </c>
      <c r="F87" s="1157" t="inlineStr">
        <is>
          <t>Ampol Retail &amp; Z</t>
        </is>
      </c>
      <c r="G87" s="1158" t="inlineStr">
        <is>
          <t>Ampol Retail</t>
        </is>
      </c>
      <c r="H87" s="1156" t="inlineStr">
        <is>
          <t>Ampol Retail, Store Platforms</t>
        </is>
      </c>
      <c r="I87" s="1156" t="inlineStr">
        <is>
          <t>Retail</t>
        </is>
      </c>
      <c r="J87" s="1158" t="inlineStr">
        <is>
          <t>Store Operations</t>
        </is>
      </c>
      <c r="K87" s="1156" t="inlineStr">
        <is>
          <t>POS</t>
        </is>
      </c>
      <c r="L87" s="1158" t="n"/>
      <c r="M87" s="1159" t="inlineStr">
        <is>
          <t>Australia</t>
        </is>
      </c>
      <c r="N87" s="1160" t="inlineStr">
        <is>
          <t>CIA</t>
        </is>
      </c>
      <c r="O87" s="1160" t="n">
        <v>1</v>
      </c>
      <c r="P87" s="1160" t="n"/>
      <c r="Q87" s="1160" t="inlineStr">
        <is>
          <t>v</t>
        </is>
      </c>
      <c r="R87" s="1162" t="n"/>
      <c r="S87" s="1162" t="n"/>
      <c r="T87" s="1163" t="n">
        <v>129650</v>
      </c>
      <c r="U87" s="1164" t="n">
        <v>129650</v>
      </c>
      <c r="V87" s="1166" t="n">
        <v>0.1</v>
      </c>
      <c r="W87" s="1170" t="n">
        <v>0.055</v>
      </c>
      <c r="X87" s="1170" t="n">
        <v>0.12</v>
      </c>
      <c r="Y87" s="1171" t="n"/>
      <c r="Z87" s="1170" t="n">
        <v>0.04</v>
      </c>
      <c r="AA87" s="1168">
        <f>IF(TRIM($B87)="","",IF(N($AU87)&gt;0,$AU87,IF(N($S87)&gt;0,$S87*Lists!$AG$15*(1+N($Z87)),N($U87)*(1+N($V87)+N($W87)+N($X87)+N($Z87))+N($Y87))))</f>
        <v>170489.75</v>
      </c>
      <c r="AJ87" s="865" t="str">
        <f>IF(TRIM($B87)="","",IF(IFERROR(INDEX(Lists!$AO$2:$AO$11,MATCH(ROW(),Lists!$AN$2:$AN$11,0)),"")&lt;&gt;"",IFERROR(INDEX(Lists!$AO$2:$AO$11,MATCH(ROW(),Lists!$AN$2:$AN$11,0)),""),IFERROR(INDEX(Lists!$U:$U,MATCH(TRIM($I87),Lists!$T:$T,0)),TRIM($I87))))</f>
        <v>Ampol Retail</v>
      </c>
      <c r="AK87" s="865" t="str">
        <f>IF(ISNUMBER(SEARCH("vacant",$B87)),"Vacant","Filled")</f>
        <v>Vacant</v>
      </c>
      <c r="AL87" s="865" t="str">
        <f>IF($M87="NZ","NZ","AU")</f>
        <v>AU</v>
      </c>
      <c r="AM87" s="865">
        <f>COUNTIF($AJ$2:$AJ87,$AJ87)</f>
        <v>50</v>
      </c>
      <c r="AN87" s="865" t="str">
        <f>$AJ87&amp;"|"&amp;$AM87</f>
        <v>Ampol Retail|50</v>
      </c>
      <c r="AP87" s="865" t="str">
        <f>IF(TRIM($B87)="","",IF($AQ87=1,"Leadership",IFERROR(INDEX(Lists!$X:$X,MATCH(TRIM($K87),Lists!$W:$W,0)),IF(OR(TRIM($K87)="",LOWER(TRIM($K87))="na"),IF(TRIM($G87)="","Unassigned",TRIM($G87)),TRIM($K87)))))</f>
        <v>POS</v>
      </c>
      <c r="AQ87" s="865" t="b">
        <f>IF(TRIM($B87)="","",--OR(TRIM($K87)="Leadership",TRIM($J87)="Leadership"))</f>
        <v>0</v>
      </c>
      <c r="AR87" s="1136" t="str">
        <f>IF(TRIM($B87)="","",IF(IFERROR(INDEX(Lists!$AQ$2:$AQ$11,MATCH(ROW(),Lists!$AN$2:$AN$11,0)),"")&lt;&gt;"",IFERROR(INDEX(Lists!$AQ$2:$AQ$11,MATCH(ROW(),Lists!$AN$2:$AN$11,0)),""),IF(ISNUMBER(SEARCH("head of ",$C87)),"Head of Technology",IF(ISNUMBER(SEARCH("TDD BP",$C87)),"Business Partner",IF(OR(ISNUMBER(SEARCH("domain architect",$C87)),ISNUMBER(SEARCH("enterprise architect",$C87))),"Domain Architect",IF(ISNUMBER(SEARCH("delivery man",$C87)),"Delivery Manager",IF(OR(ISNUMBER(SEARCH("technology manager",$C87)),ISNUMBER(SEARCH("technology manger",$C87)),ISNUMBER(SEARCH("tech manager",$C87))),"Technology Manager","Squad")))))))</f>
        <v>Squad</v>
      </c>
      <c r="AS87" s="1136" t="str">
        <f>IF(TRIM($B87)="","",IFERROR(INDEX(Lists!$AA:$AA,MATCH($AP87,Lists!$Z:$Z,0)),$AP87))</f>
        <v>POS</v>
      </c>
      <c r="AT87" s="1136" t="str">
        <f>IF(TRIM($B87)="","",IF(IFERROR(INDEX(Lists!$AP$2:$AP$11,MATCH(ROW(),Lists!$AN$2:$AN$11,0)),"")&lt;&gt;"",IFERROR(INDEX(Lists!$AP$2:$AP$11,MATCH(ROW(),Lists!$AN$2:$AN$11,0)),""),IF(OR(LEFT($AJ87,3)="COE",$AJ87="EGI"),$AP87,IF($AR87&lt;&gt;"Squad",$AR87,$AP87))))</f>
        <v>POS</v>
      </c>
    </row>
    <row r="88" ht="18" customHeight="1" s="866">
      <c r="A88" s="1155" t="inlineStr">
        <is>
          <t>V</t>
        </is>
      </c>
      <c r="B88" s="1156" t="inlineStr">
        <is>
          <t>Vacant</t>
        </is>
      </c>
      <c r="C88" s="1156" t="inlineStr">
        <is>
          <t>Quality Assurance</t>
        </is>
      </c>
      <c r="D88" s="1158" t="inlineStr">
        <is>
          <t>Vacant</t>
        </is>
      </c>
      <c r="E88" s="1156" t="inlineStr">
        <is>
          <t>Lead Quality Assurance</t>
        </is>
      </c>
      <c r="F88" s="1157" t="inlineStr">
        <is>
          <t>Ampol Retail &amp; Z</t>
        </is>
      </c>
      <c r="G88" s="1158" t="inlineStr">
        <is>
          <t>Ampol Retail</t>
        </is>
      </c>
      <c r="H88" s="1156" t="inlineStr">
        <is>
          <t>Ampol Retail, Store Platforms</t>
        </is>
      </c>
      <c r="I88" s="1156" t="inlineStr">
        <is>
          <t>Retail</t>
        </is>
      </c>
      <c r="J88" s="1158" t="inlineStr">
        <is>
          <t>Store Operations</t>
        </is>
      </c>
      <c r="K88" s="1156" t="inlineStr">
        <is>
          <t>POS</t>
        </is>
      </c>
      <c r="L88" s="1158" t="n"/>
      <c r="M88" s="1159" t="inlineStr">
        <is>
          <t>Australia</t>
        </is>
      </c>
      <c r="N88" s="1160" t="inlineStr">
        <is>
          <t>CIA</t>
        </is>
      </c>
      <c r="O88" s="1160" t="n">
        <v>1</v>
      </c>
      <c r="P88" s="1160" t="n"/>
      <c r="Q88" s="1160" t="inlineStr">
        <is>
          <t>v</t>
        </is>
      </c>
      <c r="R88" s="1162" t="n"/>
      <c r="S88" s="1162" t="n"/>
      <c r="T88" s="1163" t="n">
        <v>151950</v>
      </c>
      <c r="U88" s="1164" t="n">
        <v>151950</v>
      </c>
      <c r="V88" s="1166" t="n">
        <v>0.12</v>
      </c>
      <c r="W88" s="1170" t="n">
        <v>0.055</v>
      </c>
      <c r="X88" s="1170" t="n">
        <v>0.12</v>
      </c>
      <c r="Y88" s="1171" t="n"/>
      <c r="Z88" s="1170" t="n">
        <v>0.04</v>
      </c>
      <c r="AA88" s="1168">
        <f>IF(TRIM($B88)="","",IF(N($AU88)&gt;0,$AU88,IF(N($S88)&gt;0,$S88*Lists!$AG$15*(1+N($Z88)),N($U88)*(1+N($V88)+N($W88)+N($X88)+N($Z88))+N($Y88))))</f>
        <v>202853.25</v>
      </c>
      <c r="AJ88" s="865" t="str">
        <f>IF(TRIM($B88)="","",IF(IFERROR(INDEX(Lists!$AO$2:$AO$11,MATCH(ROW(),Lists!$AN$2:$AN$11,0)),"")&lt;&gt;"",IFERROR(INDEX(Lists!$AO$2:$AO$11,MATCH(ROW(),Lists!$AN$2:$AN$11,0)),""),IFERROR(INDEX(Lists!$U:$U,MATCH(TRIM($I88),Lists!$T:$T,0)),TRIM($I88))))</f>
        <v>Ampol Retail</v>
      </c>
      <c r="AK88" s="865" t="str">
        <f>IF(ISNUMBER(SEARCH("vacant",$B88)),"Vacant","Filled")</f>
        <v>Vacant</v>
      </c>
      <c r="AL88" s="865" t="str">
        <f>IF($M88="NZ","NZ","AU")</f>
        <v>AU</v>
      </c>
      <c r="AM88" s="865">
        <f>COUNTIF($AJ$2:$AJ88,$AJ88)</f>
        <v>51</v>
      </c>
      <c r="AN88" s="865" t="str">
        <f>$AJ88&amp;"|"&amp;$AM88</f>
        <v>Ampol Retail|51</v>
      </c>
      <c r="AP88" s="865" t="str">
        <f>IF(TRIM($B88)="","",IF($AQ88=1,"Leadership",IFERROR(INDEX(Lists!$X:$X,MATCH(TRIM($K88),Lists!$W:$W,0)),IF(OR(TRIM($K88)="",LOWER(TRIM($K88))="na"),IF(TRIM($G88)="","Unassigned",TRIM($G88)),TRIM($K88)))))</f>
        <v>POS</v>
      </c>
      <c r="AQ88" s="865" t="b">
        <f>IF(TRIM($B88)="","",--OR(TRIM($K88)="Leadership",TRIM($J88)="Leadership"))</f>
        <v>0</v>
      </c>
      <c r="AR88" s="1136" t="str">
        <f>IF(TRIM($B88)="","",IF(IFERROR(INDEX(Lists!$AQ$2:$AQ$11,MATCH(ROW(),Lists!$AN$2:$AN$11,0)),"")&lt;&gt;"",IFERROR(INDEX(Lists!$AQ$2:$AQ$11,MATCH(ROW(),Lists!$AN$2:$AN$11,0)),""),IF(ISNUMBER(SEARCH("head of ",$C88)),"Head of Technology",IF(ISNUMBER(SEARCH("TDD BP",$C88)),"Business Partner",IF(OR(ISNUMBER(SEARCH("domain architect",$C88)),ISNUMBER(SEARCH("enterprise architect",$C88))),"Domain Architect",IF(ISNUMBER(SEARCH("delivery man",$C88)),"Delivery Manager",IF(OR(ISNUMBER(SEARCH("technology manager",$C88)),ISNUMBER(SEARCH("technology manger",$C88)),ISNUMBER(SEARCH("tech manager",$C88))),"Technology Manager","Squad")))))))</f>
        <v>Squad</v>
      </c>
      <c r="AS88" s="1136" t="str">
        <f>IF(TRIM($B88)="","",IFERROR(INDEX(Lists!$AA:$AA,MATCH($AP88,Lists!$Z:$Z,0)),$AP88))</f>
        <v>POS</v>
      </c>
      <c r="AT88" s="1136" t="str">
        <f>IF(TRIM($B88)="","",IF(IFERROR(INDEX(Lists!$AP$2:$AP$11,MATCH(ROW(),Lists!$AN$2:$AN$11,0)),"")&lt;&gt;"",IFERROR(INDEX(Lists!$AP$2:$AP$11,MATCH(ROW(),Lists!$AN$2:$AN$11,0)),""),IF(OR(LEFT($AJ88,3)="COE",$AJ88="EGI"),$AP88,IF($AR88&lt;&gt;"Squad",$AR88,$AP88))))</f>
        <v>POS</v>
      </c>
    </row>
    <row r="89" ht="18" customHeight="1" s="866">
      <c r="A89" s="1155" t="inlineStr">
        <is>
          <t>V</t>
        </is>
      </c>
      <c r="B89" s="1156" t="inlineStr">
        <is>
          <t>Vacant</t>
        </is>
      </c>
      <c r="C89" s="1156" t="inlineStr">
        <is>
          <t>Quality Assurance</t>
        </is>
      </c>
      <c r="D89" s="1156" t="inlineStr">
        <is>
          <t>Vacant</t>
        </is>
      </c>
      <c r="E89" s="1156" t="inlineStr">
        <is>
          <t>Technology Manager, Engineering</t>
        </is>
      </c>
      <c r="F89" s="1157" t="inlineStr">
        <is>
          <t>Ampol Retail &amp; Z</t>
        </is>
      </c>
      <c r="G89" s="1158" t="inlineStr">
        <is>
          <t>Z &amp; Group Retail</t>
        </is>
      </c>
      <c r="H89" s="1156" t="inlineStr">
        <is>
          <t>Z &amp; Group Retail, Engineering</t>
        </is>
      </c>
      <c r="I89" s="1156" t="inlineStr">
        <is>
          <t>Z</t>
        </is>
      </c>
      <c r="J89" s="1158" t="inlineStr">
        <is>
          <t>Z Supply</t>
        </is>
      </c>
      <c r="K89" s="1156" t="inlineStr">
        <is>
          <t>Z Supply</t>
        </is>
      </c>
      <c r="L89" s="1158" t="n"/>
      <c r="M89" s="1159" t="inlineStr">
        <is>
          <t>Australia</t>
        </is>
      </c>
      <c r="N89" s="1160" t="inlineStr">
        <is>
          <t>CIA</t>
        </is>
      </c>
      <c r="O89" s="1160" t="n">
        <v>1</v>
      </c>
      <c r="P89" s="1160" t="n"/>
      <c r="Q89" s="1160" t="inlineStr">
        <is>
          <t>v</t>
        </is>
      </c>
      <c r="R89" s="1162" t="n"/>
      <c r="S89" s="1162" t="n"/>
      <c r="T89" s="1163" t="n">
        <v>203550</v>
      </c>
      <c r="U89" s="1164" t="n">
        <v>203550</v>
      </c>
      <c r="V89" s="1166" t="n">
        <v>0.14</v>
      </c>
      <c r="W89" s="1170" t="n">
        <v>0.055</v>
      </c>
      <c r="X89" s="1170" t="n">
        <v>0.12</v>
      </c>
      <c r="Y89" s="1171" t="n"/>
      <c r="Z89" s="1170" t="n">
        <v>0.04</v>
      </c>
      <c r="AA89" s="1168">
        <f>IF(TRIM($B89)="","",IF(N($AU89)&gt;0,$AU89,IF(N($S89)&gt;0,$S89*Lists!$AG$15*(1+N($Z89)),N($U89)*(1+N($V89)+N($W89)+N($X89)+N($Z89))+N($Y89))))</f>
        <v>275810.25</v>
      </c>
      <c r="AJ89" s="865" t="str">
        <f>IF(TRIM($B89)="","",IF(IFERROR(INDEX(Lists!$AO$2:$AO$11,MATCH(ROW(),Lists!$AN$2:$AN$11,0)),"")&lt;&gt;"",IFERROR(INDEX(Lists!$AO$2:$AO$11,MATCH(ROW(),Lists!$AN$2:$AN$11,0)),""),IFERROR(INDEX(Lists!$U:$U,MATCH(TRIM($I89),Lists!$T:$T,0)),TRIM($I89))))</f>
        <v>Z Retail</v>
      </c>
      <c r="AK89" s="865" t="str">
        <f>IF(ISNUMBER(SEARCH("vacant",$B89)),"Vacant","Filled")</f>
        <v>Vacant</v>
      </c>
      <c r="AL89" s="865" t="str">
        <f>IF($M89="NZ","NZ","AU")</f>
        <v>AU</v>
      </c>
      <c r="AM89" s="865">
        <f>COUNTIF($AJ$2:$AJ89,$AJ89)</f>
        <v>37</v>
      </c>
      <c r="AN89" s="865" t="str">
        <f>$AJ89&amp;"|"&amp;$AM89</f>
        <v>Z Retail|37</v>
      </c>
      <c r="AP89" s="865" t="str">
        <f>IF(TRIM($B89)="","",IF($AQ89=1,"Leadership",IFERROR(INDEX(Lists!$X:$X,MATCH(TRIM($K89),Lists!$W:$W,0)),IF(OR(TRIM($K89)="",LOWER(TRIM($K89))="na"),IF(TRIM($G89)="","Unassigned",TRIM($G89)),TRIM($K89)))))</f>
        <v>Z Supply</v>
      </c>
      <c r="AQ89" s="865" t="b">
        <f>IF(TRIM($B89)="","",--OR(TRIM($K89)="Leadership",TRIM($J89)="Leadership"))</f>
        <v>0</v>
      </c>
      <c r="AR89" s="1136" t="str">
        <f>IF(TRIM($B89)="","",IF(IFERROR(INDEX(Lists!$AQ$2:$AQ$11,MATCH(ROW(),Lists!$AN$2:$AN$11,0)),"")&lt;&gt;"",IFERROR(INDEX(Lists!$AQ$2:$AQ$11,MATCH(ROW(),Lists!$AN$2:$AN$11,0)),""),IF(ISNUMBER(SEARCH("head of ",$C89)),"Head of Technology",IF(ISNUMBER(SEARCH("TDD BP",$C89)),"Business Partner",IF(OR(ISNUMBER(SEARCH("domain architect",$C89)),ISNUMBER(SEARCH("enterprise architect",$C89))),"Domain Architect",IF(ISNUMBER(SEARCH("delivery man",$C89)),"Delivery Manager",IF(OR(ISNUMBER(SEARCH("technology manager",$C89)),ISNUMBER(SEARCH("technology manger",$C89)),ISNUMBER(SEARCH("tech manager",$C89))),"Technology Manager","Squad")))))))</f>
        <v>Squad</v>
      </c>
      <c r="AS89" s="1136" t="str">
        <f>IF(TRIM($B89)="","",IFERROR(INDEX(Lists!$AA:$AA,MATCH($AP89,Lists!$Z:$Z,0)),$AP89))</f>
        <v>Z Supply</v>
      </c>
      <c r="AT89" s="1136" t="str">
        <f>IF(TRIM($B89)="","",IF(IFERROR(INDEX(Lists!$AP$2:$AP$11,MATCH(ROW(),Lists!$AN$2:$AN$11,0)),"")&lt;&gt;"",IFERROR(INDEX(Lists!$AP$2:$AP$11,MATCH(ROW(),Lists!$AN$2:$AN$11,0)),""),IF(OR(LEFT($AJ89,3)="COE",$AJ89="EGI"),$AP89,IF($AR89&lt;&gt;"Squad",$AR89,$AP89))))</f>
        <v>Z Supply</v>
      </c>
    </row>
    <row r="90" ht="18" customHeight="1" s="866">
      <c r="A90" s="1155" t="inlineStr">
        <is>
          <t>V</t>
        </is>
      </c>
      <c r="B90" s="1156" t="inlineStr">
        <is>
          <t>Vacant</t>
        </is>
      </c>
      <c r="C90" s="1156" t="inlineStr">
        <is>
          <t>Release &amp; Environments Manager</t>
        </is>
      </c>
      <c r="D90" s="1158" t="inlineStr">
        <is>
          <t>Vacant</t>
        </is>
      </c>
      <c r="E90" s="1156" t="inlineStr">
        <is>
          <t>Lead Quality Assurance</t>
        </is>
      </c>
      <c r="F90" s="1157" t="inlineStr">
        <is>
          <t>Ampol Retail &amp; Z</t>
        </is>
      </c>
      <c r="G90" s="1158" t="inlineStr">
        <is>
          <t>Ampol Retail</t>
        </is>
      </c>
      <c r="H90" s="1156" t="inlineStr">
        <is>
          <t>Ampol Retail, Store Platforms</t>
        </is>
      </c>
      <c r="I90" s="1156" t="inlineStr">
        <is>
          <t>Retail</t>
        </is>
      </c>
      <c r="J90" s="1158" t="inlineStr">
        <is>
          <t>Store Operations</t>
        </is>
      </c>
      <c r="K90" s="1156" t="inlineStr">
        <is>
          <t>POS</t>
        </is>
      </c>
      <c r="L90" s="1158" t="n"/>
      <c r="M90" s="1159" t="inlineStr">
        <is>
          <t>Australia</t>
        </is>
      </c>
      <c r="N90" s="1160" t="inlineStr">
        <is>
          <t>CIB</t>
        </is>
      </c>
      <c r="O90" s="1160" t="n">
        <v>1</v>
      </c>
      <c r="P90" s="1160" t="n"/>
      <c r="Q90" s="1160" t="inlineStr">
        <is>
          <t>V</t>
        </is>
      </c>
      <c r="R90" s="1162" t="n"/>
      <c r="S90" s="1162" t="n"/>
      <c r="T90" s="1163" t="n">
        <v>151950</v>
      </c>
      <c r="U90" s="1164" t="n">
        <v>151950</v>
      </c>
      <c r="V90" s="1166" t="n">
        <v>0.12</v>
      </c>
      <c r="W90" s="1170" t="n">
        <v>0.055</v>
      </c>
      <c r="X90" s="1170" t="n">
        <v>0.12</v>
      </c>
      <c r="Y90" s="1171" t="n"/>
      <c r="Z90" s="1170" t="n">
        <v>0.04</v>
      </c>
      <c r="AA90" s="1168">
        <f>IF(TRIM($B90)="","",IF(N($AU90)&gt;0,$AU90,IF(N($S90)&gt;0,$S90*Lists!$AG$15*(1+N($Z90)),N($U90)*(1+N($V90)+N($W90)+N($X90)+N($Z90))+N($Y90))))</f>
        <v>202853.25</v>
      </c>
      <c r="AJ90" s="865" t="str">
        <f>IF(TRIM($B90)="","",IF(IFERROR(INDEX(Lists!$AO$2:$AO$11,MATCH(ROW(),Lists!$AN$2:$AN$11,0)),"")&lt;&gt;"",IFERROR(INDEX(Lists!$AO$2:$AO$11,MATCH(ROW(),Lists!$AN$2:$AN$11,0)),""),IFERROR(INDEX(Lists!$U:$U,MATCH(TRIM($I90),Lists!$T:$T,0)),TRIM($I90))))</f>
        <v>Ampol Retail</v>
      </c>
      <c r="AK90" s="865" t="str">
        <f>IF(ISNUMBER(SEARCH("vacant",$B90)),"Vacant","Filled")</f>
        <v>Vacant</v>
      </c>
      <c r="AL90" s="865" t="str">
        <f>IF($M90="NZ","NZ","AU")</f>
        <v>AU</v>
      </c>
      <c r="AM90" s="865">
        <f>COUNTIF($AJ$2:$AJ90,$AJ90)</f>
        <v>52</v>
      </c>
      <c r="AN90" s="865" t="str">
        <f>$AJ90&amp;"|"&amp;$AM90</f>
        <v>Ampol Retail|52</v>
      </c>
      <c r="AP90" s="865" t="str">
        <f>IF(TRIM($B90)="","",IF($AQ90=1,"Leadership",IFERROR(INDEX(Lists!$X:$X,MATCH(TRIM($K90),Lists!$W:$W,0)),IF(OR(TRIM($K90)="",LOWER(TRIM($K90))="na"),IF(TRIM($G90)="","Unassigned",TRIM($G90)),TRIM($K90)))))</f>
        <v>POS</v>
      </c>
      <c r="AQ90" s="865" t="b">
        <f>IF(TRIM($B90)="","",--OR(TRIM($K90)="Leadership",TRIM($J90)="Leadership"))</f>
        <v>0</v>
      </c>
      <c r="AR90" s="1136" t="str">
        <f>IF(TRIM($B90)="","",IF(IFERROR(INDEX(Lists!$AQ$2:$AQ$11,MATCH(ROW(),Lists!$AN$2:$AN$11,0)),"")&lt;&gt;"",IFERROR(INDEX(Lists!$AQ$2:$AQ$11,MATCH(ROW(),Lists!$AN$2:$AN$11,0)),""),IF(ISNUMBER(SEARCH("head of ",$C90)),"Head of Technology",IF(ISNUMBER(SEARCH("TDD BP",$C90)),"Business Partner",IF(OR(ISNUMBER(SEARCH("domain architect",$C90)),ISNUMBER(SEARCH("enterprise architect",$C90))),"Domain Architect",IF(ISNUMBER(SEARCH("delivery man",$C90)),"Delivery Manager",IF(OR(ISNUMBER(SEARCH("technology manager",$C90)),ISNUMBER(SEARCH("technology manger",$C90)),ISNUMBER(SEARCH("tech manager",$C90))),"Technology Manager","Squad")))))))</f>
        <v>Squad</v>
      </c>
      <c r="AS90" s="1136" t="str">
        <f>IF(TRIM($B90)="","",IFERROR(INDEX(Lists!$AA:$AA,MATCH($AP90,Lists!$Z:$Z,0)),$AP90))</f>
        <v>POS</v>
      </c>
      <c r="AT90" s="1136" t="str">
        <f>IF(TRIM($B90)="","",IF(IFERROR(INDEX(Lists!$AP$2:$AP$11,MATCH(ROW(),Lists!$AN$2:$AN$11,0)),"")&lt;&gt;"",IFERROR(INDEX(Lists!$AP$2:$AP$11,MATCH(ROW(),Lists!$AN$2:$AN$11,0)),""),IF(OR(LEFT($AJ90,3)="COE",$AJ90="EGI"),$AP90,IF($AR90&lt;&gt;"Squad",$AR90,$AP90))))</f>
        <v>POS</v>
      </c>
    </row>
    <row r="91" ht="18" customHeight="1" s="866">
      <c r="A91" s="1155" t="inlineStr">
        <is>
          <t>V</t>
        </is>
      </c>
      <c r="B91" s="1156" t="inlineStr">
        <is>
          <t>Vacant</t>
        </is>
      </c>
      <c r="C91" s="1156" t="inlineStr">
        <is>
          <t>Support Analyst -Retail</t>
        </is>
      </c>
      <c r="D91" s="1156" t="inlineStr">
        <is>
          <t>Vaishnavi Viswanathan</t>
        </is>
      </c>
      <c r="E91" s="1156" t="inlineStr">
        <is>
          <t>Technology Manager, Store Platform</t>
        </is>
      </c>
      <c r="F91" s="1157" t="inlineStr">
        <is>
          <t>Ampol Retail &amp; Z</t>
        </is>
      </c>
      <c r="G91" s="1158" t="inlineStr">
        <is>
          <t>Ampol Retail</t>
        </is>
      </c>
      <c r="H91" s="1202" t="inlineStr">
        <is>
          <t>Ampol Retail, Store Platforms</t>
        </is>
      </c>
      <c r="I91" s="1156" t="inlineStr">
        <is>
          <t>Retail</t>
        </is>
      </c>
      <c r="J91" s="1158" t="inlineStr">
        <is>
          <t>Store Operations</t>
        </is>
      </c>
      <c r="K91" s="1156" t="inlineStr">
        <is>
          <t>Store Operations</t>
        </is>
      </c>
      <c r="L91" s="1158" t="n"/>
      <c r="M91" s="1159" t="inlineStr">
        <is>
          <t>Australia</t>
        </is>
      </c>
      <c r="N91" s="1160" t="inlineStr">
        <is>
          <t>CIB</t>
        </is>
      </c>
      <c r="O91" s="1160" t="n">
        <v>1</v>
      </c>
      <c r="P91" s="1160" t="n"/>
      <c r="Q91" s="1160" t="inlineStr">
        <is>
          <t>v</t>
        </is>
      </c>
      <c r="R91" s="1162" t="n"/>
      <c r="S91" s="1162" t="n"/>
      <c r="T91" s="1163" t="n">
        <v>129659</v>
      </c>
      <c r="U91" s="1164" t="n">
        <v>129659</v>
      </c>
      <c r="V91" s="1166" t="n">
        <v>0.1</v>
      </c>
      <c r="W91" s="1170" t="n">
        <v>0.055</v>
      </c>
      <c r="X91" s="1170" t="n">
        <v>0.12</v>
      </c>
      <c r="Y91" s="1171" t="n"/>
      <c r="Z91" s="1170" t="n">
        <v>0.04</v>
      </c>
      <c r="AA91" s="1168">
        <f>IF(TRIM($B91)="","",IF(N($AU91)&gt;0,$AU91,IF(N($S91)&gt;0,$S91*Lists!$AG$15*(1+N($Z91)),N($U91)*(1+N($V91)+N($W91)+N($X91)+N($Z91))+N($Y91))))</f>
        <v>170501.585</v>
      </c>
      <c r="AJ91" s="865" t="str">
        <f>IF(TRIM($B91)="","",IF(IFERROR(INDEX(Lists!$AO$2:$AO$11,MATCH(ROW(),Lists!$AN$2:$AN$11,0)),"")&lt;&gt;"",IFERROR(INDEX(Lists!$AO$2:$AO$11,MATCH(ROW(),Lists!$AN$2:$AN$11,0)),""),IFERROR(INDEX(Lists!$U:$U,MATCH(TRIM($I91),Lists!$T:$T,0)),TRIM($I91))))</f>
        <v>Ampol Retail</v>
      </c>
      <c r="AK91" s="865" t="str">
        <f>IF(ISNUMBER(SEARCH("vacant",$B91)),"Vacant","Filled")</f>
        <v>Vacant</v>
      </c>
      <c r="AL91" s="865" t="str">
        <f>IF($M91="NZ","NZ","AU")</f>
        <v>AU</v>
      </c>
      <c r="AM91" s="865">
        <f>COUNTIF($AJ$2:$AJ91,$AJ91)</f>
        <v>53</v>
      </c>
      <c r="AN91" s="865" t="str">
        <f>$AJ91&amp;"|"&amp;$AM91</f>
        <v>Ampol Retail|53</v>
      </c>
      <c r="AP91" s="865" t="str">
        <f>IF(TRIM($B91)="","",IF($AQ91=1,"Leadership",IFERROR(INDEX(Lists!$X:$X,MATCH(TRIM($K91),Lists!$W:$W,0)),IF(OR(TRIM($K91)="",LOWER(TRIM($K91))="na"),IF(TRIM($G91)="","Unassigned",TRIM($G91)),TRIM($K91)))))</f>
        <v>Store Operations</v>
      </c>
      <c r="AQ91" s="865" t="b">
        <f>IF(TRIM($B91)="","",--OR(TRIM($K91)="Leadership",TRIM($J91)="Leadership"))</f>
        <v>0</v>
      </c>
      <c r="AR91" s="1136" t="str">
        <f>IF(TRIM($B91)="","",IF(IFERROR(INDEX(Lists!$AQ$2:$AQ$11,MATCH(ROW(),Lists!$AN$2:$AN$11,0)),"")&lt;&gt;"",IFERROR(INDEX(Lists!$AQ$2:$AQ$11,MATCH(ROW(),Lists!$AN$2:$AN$11,0)),""),IF(ISNUMBER(SEARCH("head of ",$C91)),"Head of Technology",IF(ISNUMBER(SEARCH("TDD BP",$C91)),"Business Partner",IF(OR(ISNUMBER(SEARCH("domain architect",$C91)),ISNUMBER(SEARCH("enterprise architect",$C91))),"Domain Architect",IF(ISNUMBER(SEARCH("delivery man",$C91)),"Delivery Manager",IF(OR(ISNUMBER(SEARCH("technology manager",$C91)),ISNUMBER(SEARCH("technology manger",$C91)),ISNUMBER(SEARCH("tech manager",$C91))),"Technology Manager","Squad")))))))</f>
        <v>Squad</v>
      </c>
      <c r="AS91" s="1136" t="str">
        <f>IF(TRIM($B91)="","",IFERROR(INDEX(Lists!$AA:$AA,MATCH($AP91,Lists!$Z:$Z,0)),$AP91))</f>
        <v>Store Operations</v>
      </c>
      <c r="AT91" s="1136" t="str">
        <f>IF(TRIM($B91)="","",IF(IFERROR(INDEX(Lists!$AP$2:$AP$11,MATCH(ROW(),Lists!$AN$2:$AN$11,0)),"")&lt;&gt;"",IFERROR(INDEX(Lists!$AP$2:$AP$11,MATCH(ROW(),Lists!$AN$2:$AN$11,0)),""),IF(OR(LEFT($AJ91,3)="COE",$AJ91="EGI"),$AP91,IF($AR91&lt;&gt;"Squad",$AR91,$AP91))))</f>
        <v>Store Operations</v>
      </c>
    </row>
    <row r="92" ht="18" customHeight="1" s="866">
      <c r="A92" s="1155" t="inlineStr">
        <is>
          <t>V</t>
        </is>
      </c>
      <c r="B92" s="1156" t="inlineStr">
        <is>
          <t>Vacant</t>
        </is>
      </c>
      <c r="C92" s="1156" t="inlineStr">
        <is>
          <t>Systems Analyst</t>
        </is>
      </c>
      <c r="D92" s="1156" t="inlineStr">
        <is>
          <t>Tracy Lee Reaper</t>
        </is>
      </c>
      <c r="E92" s="1156" t="inlineStr">
        <is>
          <t>Tech Manager, Merchandising &amp; WFM</t>
        </is>
      </c>
      <c r="F92" s="1157" t="inlineStr">
        <is>
          <t>Ampol Retail &amp; Z</t>
        </is>
      </c>
      <c r="G92" s="1158" t="inlineStr">
        <is>
          <t>Ampol Retail</t>
        </is>
      </c>
      <c r="H92" s="1202" t="inlineStr">
        <is>
          <t>Ampol Retail, Merch &amp; RTA</t>
        </is>
      </c>
      <c r="I92" s="1156" t="inlineStr">
        <is>
          <t>Retail</t>
        </is>
      </c>
      <c r="J92" s="1158" t="inlineStr">
        <is>
          <t>Above Store</t>
        </is>
      </c>
      <c r="K92" s="1158" t="inlineStr">
        <is>
          <t>Above Store</t>
        </is>
      </c>
      <c r="L92" s="1158" t="n"/>
      <c r="M92" s="1159" t="inlineStr">
        <is>
          <t>Australia</t>
        </is>
      </c>
      <c r="N92" s="1160" t="inlineStr">
        <is>
          <t>CIA</t>
        </is>
      </c>
      <c r="O92" s="1160" t="n">
        <v>1</v>
      </c>
      <c r="P92" s="1160" t="n"/>
      <c r="Q92" s="1160" t="inlineStr">
        <is>
          <t>V</t>
        </is>
      </c>
      <c r="R92" s="1162" t="n"/>
      <c r="S92" s="1162" t="n"/>
      <c r="T92" s="1163" t="n">
        <v>151000</v>
      </c>
      <c r="U92" s="1164" t="n">
        <v>151000</v>
      </c>
      <c r="V92" s="1166" t="n">
        <v>0.12</v>
      </c>
      <c r="W92" s="1170" t="n">
        <v>0.055</v>
      </c>
      <c r="X92" s="1170" t="n">
        <v>0.12</v>
      </c>
      <c r="Y92" s="1171" t="n"/>
      <c r="Z92" s="1170" t="n">
        <v>0.04</v>
      </c>
      <c r="AA92" s="1168">
        <f>IF(TRIM($B92)="","",IF(N($AU92)&gt;0,$AU92,IF(N($S92)&gt;0,$S92*Lists!$AG$15*(1+N($Z92)),N($U92)*(1+N($V92)+N($W92)+N($X92)+N($Z92))+N($Y92))))</f>
        <v>201585</v>
      </c>
      <c r="AJ92" s="865" t="str">
        <f>IF(TRIM($B92)="","",IF(IFERROR(INDEX(Lists!$AO$2:$AO$11,MATCH(ROW(),Lists!$AN$2:$AN$11,0)),"")&lt;&gt;"",IFERROR(INDEX(Lists!$AO$2:$AO$11,MATCH(ROW(),Lists!$AN$2:$AN$11,0)),""),IFERROR(INDEX(Lists!$U:$U,MATCH(TRIM($I92),Lists!$T:$T,0)),TRIM($I92))))</f>
        <v>Ampol Retail</v>
      </c>
      <c r="AK92" s="865" t="str">
        <f>IF(ISNUMBER(SEARCH("vacant",$B92)),"Vacant","Filled")</f>
        <v>Vacant</v>
      </c>
      <c r="AL92" s="865" t="str">
        <f>IF($M92="NZ","NZ","AU")</f>
        <v>AU</v>
      </c>
      <c r="AM92" s="865">
        <f>COUNTIF($AJ$2:$AJ92,$AJ92)</f>
        <v>54</v>
      </c>
      <c r="AN92" s="865" t="str">
        <f>$AJ92&amp;"|"&amp;$AM92</f>
        <v>Ampol Retail|54</v>
      </c>
      <c r="AP92" s="865" t="str">
        <f>IF(TRIM($B92)="","",IF($AQ92=1,"Leadership",IFERROR(INDEX(Lists!$X:$X,MATCH(TRIM($K92),Lists!$W:$W,0)),IF(OR(TRIM($K92)="",LOWER(TRIM($K92))="na"),IF(TRIM($G92)="","Unassigned",TRIM($G92)),TRIM($K92)))))</f>
        <v>Above Store</v>
      </c>
      <c r="AQ92" s="865" t="b">
        <f>IF(TRIM($B92)="","",--OR(TRIM($K92)="Leadership",TRIM($J92)="Leadership"))</f>
        <v>0</v>
      </c>
      <c r="AR92" s="1136" t="str">
        <f>IF(TRIM($B92)="","",IF(IFERROR(INDEX(Lists!$AQ$2:$AQ$11,MATCH(ROW(),Lists!$AN$2:$AN$11,0)),"")&lt;&gt;"",IFERROR(INDEX(Lists!$AQ$2:$AQ$11,MATCH(ROW(),Lists!$AN$2:$AN$11,0)),""),IF(ISNUMBER(SEARCH("head of ",$C92)),"Head of Technology",IF(ISNUMBER(SEARCH("TDD BP",$C92)),"Business Partner",IF(OR(ISNUMBER(SEARCH("domain architect",$C92)),ISNUMBER(SEARCH("enterprise architect",$C92))),"Domain Architect",IF(ISNUMBER(SEARCH("delivery man",$C92)),"Delivery Manager",IF(OR(ISNUMBER(SEARCH("technology manager",$C92)),ISNUMBER(SEARCH("technology manger",$C92)),ISNUMBER(SEARCH("tech manager",$C92))),"Technology Manager","Squad")))))))</f>
        <v>Squad</v>
      </c>
      <c r="AS92" s="1136" t="str">
        <f>IF(TRIM($B92)="","",IFERROR(INDEX(Lists!$AA:$AA,MATCH($AP92,Lists!$Z:$Z,0)),$AP92))</f>
        <v>Above Store</v>
      </c>
      <c r="AT92" s="1136" t="str">
        <f>IF(TRIM($B92)="","",IF(IFERROR(INDEX(Lists!$AP$2:$AP$11,MATCH(ROW(),Lists!$AN$2:$AN$11,0)),"")&lt;&gt;"",IFERROR(INDEX(Lists!$AP$2:$AP$11,MATCH(ROW(),Lists!$AN$2:$AN$11,0)),""),IF(OR(LEFT($AJ92,3)="COE",$AJ92="EGI"),$AP92,IF($AR92&lt;&gt;"Squad",$AR92,$AP92))))</f>
        <v>Above Store</v>
      </c>
    </row>
    <row r="93" ht="18" customHeight="1" s="866">
      <c r="A93" s="1155" t="inlineStr">
        <is>
          <t>V</t>
        </is>
      </c>
      <c r="B93" s="1156" t="inlineStr">
        <is>
          <t>Vacant</t>
        </is>
      </c>
      <c r="C93" s="1156" t="inlineStr">
        <is>
          <t>Systems Analyst</t>
        </is>
      </c>
      <c r="D93" s="1156" t="inlineStr">
        <is>
          <t>Vedran Jukic</t>
        </is>
      </c>
      <c r="E93" s="1156" t="inlineStr">
        <is>
          <t>Technology Manager, Retail</t>
        </is>
      </c>
      <c r="F93" s="1157" t="inlineStr">
        <is>
          <t>Ampol Retail &amp; Z</t>
        </is>
      </c>
      <c r="G93" s="1158" t="inlineStr">
        <is>
          <t>Ampol Retail</t>
        </is>
      </c>
      <c r="H93" s="1156" t="inlineStr">
        <is>
          <t>Ampol Retail, Technology</t>
        </is>
      </c>
      <c r="I93" s="1156" t="inlineStr">
        <is>
          <t>Retail</t>
        </is>
      </c>
      <c r="J93" s="1158" t="inlineStr">
        <is>
          <t>Network/QSR</t>
        </is>
      </c>
      <c r="K93" s="1156" t="inlineStr">
        <is>
          <t>Network &amp; QSR</t>
        </is>
      </c>
      <c r="L93" s="1158" t="n"/>
      <c r="M93" s="1159" t="inlineStr">
        <is>
          <t>Australia</t>
        </is>
      </c>
      <c r="N93" s="1160" t="inlineStr">
        <is>
          <t>CIA</t>
        </is>
      </c>
      <c r="O93" s="1160" t="n">
        <v>1</v>
      </c>
      <c r="P93" s="1160" t="n"/>
      <c r="Q93" s="1160" t="inlineStr">
        <is>
          <t>V</t>
        </is>
      </c>
      <c r="R93" s="1162" t="n"/>
      <c r="S93" s="1162" t="n"/>
      <c r="T93" s="1163" t="n">
        <v>173550</v>
      </c>
      <c r="U93" s="1164" t="n">
        <v>173550</v>
      </c>
      <c r="V93" s="1166" t="n">
        <v>0.12</v>
      </c>
      <c r="W93" s="1170" t="n">
        <v>0.055</v>
      </c>
      <c r="X93" s="1170" t="n">
        <v>0.12</v>
      </c>
      <c r="Y93" s="1171" t="n"/>
      <c r="Z93" s="1170" t="n">
        <v>0.04</v>
      </c>
      <c r="AA93" s="1168">
        <f>IF(TRIM($B93)="","",IF(N($AU93)&gt;0,$AU93,IF(N($S93)&gt;0,$S93*Lists!$AG$15*(1+N($Z93)),N($U93)*(1+N($V93)+N($W93)+N($X93)+N($Z93))+N($Y93))))</f>
        <v>231689.25</v>
      </c>
      <c r="AJ93" s="865" t="str">
        <f>IF(TRIM($B93)="","",IF(IFERROR(INDEX(Lists!$AO$2:$AO$11,MATCH(ROW(),Lists!$AN$2:$AN$11,0)),"")&lt;&gt;"",IFERROR(INDEX(Lists!$AO$2:$AO$11,MATCH(ROW(),Lists!$AN$2:$AN$11,0)),""),IFERROR(INDEX(Lists!$U:$U,MATCH(TRIM($I93),Lists!$T:$T,0)),TRIM($I93))))</f>
        <v>Ampol Retail</v>
      </c>
      <c r="AK93" s="865" t="str">
        <f>IF(ISNUMBER(SEARCH("vacant",$B93)),"Vacant","Filled")</f>
        <v>Vacant</v>
      </c>
      <c r="AL93" s="865" t="str">
        <f>IF($M93="NZ","NZ","AU")</f>
        <v>AU</v>
      </c>
      <c r="AM93" s="865">
        <f>COUNTIF($AJ$2:$AJ93,$AJ93)</f>
        <v>55</v>
      </c>
      <c r="AN93" s="865" t="str">
        <f>$AJ93&amp;"|"&amp;$AM93</f>
        <v>Ampol Retail|55</v>
      </c>
      <c r="AP93" s="865" t="str">
        <f>IF(TRIM($B93)="","",IF($AQ93=1,"Leadership",IFERROR(INDEX(Lists!$X:$X,MATCH(TRIM($K93),Lists!$W:$W,0)),IF(OR(TRIM($K93)="",LOWER(TRIM($K93))="na"),IF(TRIM($G93)="","Unassigned",TRIM($G93)),TRIM($K93)))))</f>
        <v>Network &amp; QSR</v>
      </c>
      <c r="AQ93" s="865" t="b">
        <f>IF(TRIM($B93)="","",--OR(TRIM($K93)="Leadership",TRIM($J93)="Leadership"))</f>
        <v>0</v>
      </c>
      <c r="AR93" s="1136" t="str">
        <f>IF(TRIM($B93)="","",IF(IFERROR(INDEX(Lists!$AQ$2:$AQ$11,MATCH(ROW(),Lists!$AN$2:$AN$11,0)),"")&lt;&gt;"",IFERROR(INDEX(Lists!$AQ$2:$AQ$11,MATCH(ROW(),Lists!$AN$2:$AN$11,0)),""),IF(ISNUMBER(SEARCH("head of ",$C93)),"Head of Technology",IF(ISNUMBER(SEARCH("TDD BP",$C93)),"Business Partner",IF(OR(ISNUMBER(SEARCH("domain architect",$C93)),ISNUMBER(SEARCH("enterprise architect",$C93))),"Domain Architect",IF(ISNUMBER(SEARCH("delivery man",$C93)),"Delivery Manager",IF(OR(ISNUMBER(SEARCH("technology manager",$C93)),ISNUMBER(SEARCH("technology manger",$C93)),ISNUMBER(SEARCH("tech manager",$C93))),"Technology Manager","Squad")))))))</f>
        <v>Squad</v>
      </c>
      <c r="AS93" s="1136" t="str">
        <f>IF(TRIM($B93)="","",IFERROR(INDEX(Lists!$AA:$AA,MATCH($AP93,Lists!$Z:$Z,0)),$AP93))</f>
        <v>Network &amp; QSR</v>
      </c>
      <c r="AT93" s="1136" t="str">
        <f>IF(TRIM($B93)="","",IF(IFERROR(INDEX(Lists!$AP$2:$AP$11,MATCH(ROW(),Lists!$AN$2:$AN$11,0)),"")&lt;&gt;"",IFERROR(INDEX(Lists!$AP$2:$AP$11,MATCH(ROW(),Lists!$AN$2:$AN$11,0)),""),IF(OR(LEFT($AJ93,3)="COE",$AJ93="EGI"),$AP93,IF($AR93&lt;&gt;"Squad",$AR93,$AP93))))</f>
        <v>Network &amp; QSR</v>
      </c>
    </row>
    <row r="94" ht="18" customHeight="1" s="866">
      <c r="A94" s="1155" t="inlineStr">
        <is>
          <t>V</t>
        </is>
      </c>
      <c r="B94" s="1156" t="inlineStr">
        <is>
          <t>Vacant</t>
        </is>
      </c>
      <c r="C94" s="1156" t="inlineStr">
        <is>
          <t>Systems Analyst</t>
        </is>
      </c>
      <c r="D94" s="1156" t="inlineStr">
        <is>
          <t>Vaishnavi Viswanathan</t>
        </is>
      </c>
      <c r="E94" s="1156" t="inlineStr">
        <is>
          <t>Technology Manager, Store Platform</t>
        </is>
      </c>
      <c r="F94" s="1157" t="inlineStr">
        <is>
          <t>Ampol Retail &amp; Z</t>
        </is>
      </c>
      <c r="G94" s="1158" t="inlineStr">
        <is>
          <t>Ampol Retail</t>
        </is>
      </c>
      <c r="H94" s="1156" t="inlineStr">
        <is>
          <t>Ampol Retail, Store Platforms</t>
        </is>
      </c>
      <c r="I94" s="1156" t="inlineStr">
        <is>
          <t>Retail</t>
        </is>
      </c>
      <c r="J94" s="1158" t="inlineStr">
        <is>
          <t>Store Operations</t>
        </is>
      </c>
      <c r="K94" s="1156" t="inlineStr">
        <is>
          <t>Payments</t>
        </is>
      </c>
      <c r="L94" s="1158" t="n"/>
      <c r="M94" s="1159" t="inlineStr">
        <is>
          <t>Australia</t>
        </is>
      </c>
      <c r="N94" s="1160" t="inlineStr">
        <is>
          <t>CIA</t>
        </is>
      </c>
      <c r="O94" s="1160" t="n">
        <v>1</v>
      </c>
      <c r="P94" s="1160" t="n"/>
      <c r="Q94" s="1160" t="inlineStr">
        <is>
          <t>v</t>
        </is>
      </c>
      <c r="R94" s="1162" t="n"/>
      <c r="S94" s="1162" t="n"/>
      <c r="T94" s="1163" t="n">
        <v>129659</v>
      </c>
      <c r="U94" s="1164" t="n">
        <v>129659</v>
      </c>
      <c r="V94" s="1166" t="n">
        <v>0.1</v>
      </c>
      <c r="W94" s="1170" t="n">
        <v>0.055</v>
      </c>
      <c r="X94" s="1170" t="n">
        <v>0.12</v>
      </c>
      <c r="Y94" s="1171" t="n"/>
      <c r="Z94" s="1170" t="n">
        <v>0.04</v>
      </c>
      <c r="AA94" s="1168">
        <f>IF(TRIM($B94)="","",IF(N($AU94)&gt;0,$AU94,IF(N($S94)&gt;0,$S94*Lists!$AG$15*(1+N($Z94)),N($U94)*(1+N($V94)+N($W94)+N($X94)+N($Z94))+N($Y94))))</f>
        <v>170501.585</v>
      </c>
      <c r="AJ94" s="865" t="str">
        <f>IF(TRIM($B94)="","",IF(IFERROR(INDEX(Lists!$AO$2:$AO$11,MATCH(ROW(),Lists!$AN$2:$AN$11,0)),"")&lt;&gt;"",IFERROR(INDEX(Lists!$AO$2:$AO$11,MATCH(ROW(),Lists!$AN$2:$AN$11,0)),""),IFERROR(INDEX(Lists!$U:$U,MATCH(TRIM($I94),Lists!$T:$T,0)),TRIM($I94))))</f>
        <v>Ampol Retail</v>
      </c>
      <c r="AK94" s="865" t="str">
        <f>IF(ISNUMBER(SEARCH("vacant",$B94)),"Vacant","Filled")</f>
        <v>Vacant</v>
      </c>
      <c r="AL94" s="865" t="str">
        <f>IF($M94="NZ","NZ","AU")</f>
        <v>AU</v>
      </c>
      <c r="AM94" s="865">
        <f>COUNTIF($AJ$2:$AJ94,$AJ94)</f>
        <v>56</v>
      </c>
      <c r="AN94" s="865" t="str">
        <f>$AJ94&amp;"|"&amp;$AM94</f>
        <v>Ampol Retail|56</v>
      </c>
      <c r="AP94" s="865" t="str">
        <f>IF(TRIM($B94)="","",IF($AQ94=1,"Leadership",IFERROR(INDEX(Lists!$X:$X,MATCH(TRIM($K94),Lists!$W:$W,0)),IF(OR(TRIM($K94)="",LOWER(TRIM($K94))="na"),IF(TRIM($G94)="","Unassigned",TRIM($G94)),TRIM($K94)))))</f>
        <v>Payments</v>
      </c>
      <c r="AQ94" s="865" t="b">
        <f>IF(TRIM($B94)="","",--OR(TRIM($K94)="Leadership",TRIM($J94)="Leadership"))</f>
        <v>0</v>
      </c>
      <c r="AR94" s="1136" t="str">
        <f>IF(TRIM($B94)="","",IF(IFERROR(INDEX(Lists!$AQ$2:$AQ$11,MATCH(ROW(),Lists!$AN$2:$AN$11,0)),"")&lt;&gt;"",IFERROR(INDEX(Lists!$AQ$2:$AQ$11,MATCH(ROW(),Lists!$AN$2:$AN$11,0)),""),IF(ISNUMBER(SEARCH("head of ",$C94)),"Head of Technology",IF(ISNUMBER(SEARCH("TDD BP",$C94)),"Business Partner",IF(OR(ISNUMBER(SEARCH("domain architect",$C94)),ISNUMBER(SEARCH("enterprise architect",$C94))),"Domain Architect",IF(ISNUMBER(SEARCH("delivery man",$C94)),"Delivery Manager",IF(OR(ISNUMBER(SEARCH("technology manager",$C94)),ISNUMBER(SEARCH("technology manger",$C94)),ISNUMBER(SEARCH("tech manager",$C94))),"Technology Manager","Squad")))))))</f>
        <v>Squad</v>
      </c>
      <c r="AS94" s="1136" t="str">
        <f>IF(TRIM($B94)="","",IFERROR(INDEX(Lists!$AA:$AA,MATCH($AP94,Lists!$Z:$Z,0)),$AP94))</f>
        <v>Payments</v>
      </c>
      <c r="AT94" s="1136" t="str">
        <f>IF(TRIM($B94)="","",IF(IFERROR(INDEX(Lists!$AP$2:$AP$11,MATCH(ROW(),Lists!$AN$2:$AN$11,0)),"")&lt;&gt;"",IFERROR(INDEX(Lists!$AP$2:$AP$11,MATCH(ROW(),Lists!$AN$2:$AN$11,0)),""),IF(OR(LEFT($AJ94,3)="COE",$AJ94="EGI"),$AP94,IF($AR94&lt;&gt;"Squad",$AR94,$AP94))))</f>
        <v>Payments</v>
      </c>
    </row>
    <row r="95" ht="18" customHeight="1" s="866">
      <c r="A95" s="1155" t="inlineStr">
        <is>
          <t>V</t>
        </is>
      </c>
      <c r="B95" s="1156" t="inlineStr">
        <is>
          <t>Vacant</t>
        </is>
      </c>
      <c r="C95" s="1156" t="inlineStr">
        <is>
          <t>Systems Analyst</t>
        </is>
      </c>
      <c r="D95" s="1156" t="inlineStr">
        <is>
          <t>Vaishnavi Viswanathan</t>
        </is>
      </c>
      <c r="E95" s="1156" t="inlineStr">
        <is>
          <t>Technology Manager, Store Platform</t>
        </is>
      </c>
      <c r="F95" s="1157" t="inlineStr">
        <is>
          <t>Ampol Retail &amp; Z</t>
        </is>
      </c>
      <c r="G95" s="1158" t="inlineStr">
        <is>
          <t>Ampol Retail</t>
        </is>
      </c>
      <c r="H95" s="1156" t="inlineStr">
        <is>
          <t>Ampol Retail, Store Platforms</t>
        </is>
      </c>
      <c r="I95" s="1156" t="inlineStr">
        <is>
          <t>Retail</t>
        </is>
      </c>
      <c r="J95" s="1158" t="inlineStr">
        <is>
          <t>Store Operations</t>
        </is>
      </c>
      <c r="K95" s="1156" t="inlineStr">
        <is>
          <t>POS</t>
        </is>
      </c>
      <c r="L95" s="1158" t="n"/>
      <c r="M95" s="1159" t="inlineStr">
        <is>
          <t>Australia</t>
        </is>
      </c>
      <c r="N95" s="1160" t="inlineStr">
        <is>
          <t>CIA</t>
        </is>
      </c>
      <c r="O95" s="1160" t="n">
        <v>1</v>
      </c>
      <c r="P95" s="1160" t="n"/>
      <c r="Q95" s="1160" t="inlineStr">
        <is>
          <t>V</t>
        </is>
      </c>
      <c r="R95" s="1162" t="n"/>
      <c r="S95" s="1162" t="n"/>
      <c r="T95" s="1163" t="n">
        <v>151950</v>
      </c>
      <c r="U95" s="1174" t="n">
        <v>151950</v>
      </c>
      <c r="V95" s="1203" t="n">
        <v>0.12</v>
      </c>
      <c r="W95" s="1204" t="n">
        <v>0.055</v>
      </c>
      <c r="X95" s="1204" t="n">
        <v>0.12</v>
      </c>
      <c r="Y95" s="1205" t="n"/>
      <c r="Z95" s="1204" t="n">
        <v>0.04</v>
      </c>
      <c r="AA95" s="1206">
        <f>IF(TRIM($B95)="","",IF(N($AU95)&gt;0,$AU95,IF(N($S95)&gt;0,$S95*Lists!$AG$15*(1+N($Z95)),N($U95)*(1+N($V95)+N($W95)+N($X95)+N($Z95))+N($Y95))))</f>
        <v>202853.25</v>
      </c>
      <c r="AJ95" s="865" t="str">
        <f>IF(TRIM($B95)="","",IF(IFERROR(INDEX(Lists!$AO$2:$AO$11,MATCH(ROW(),Lists!$AN$2:$AN$11,0)),"")&lt;&gt;"",IFERROR(INDEX(Lists!$AO$2:$AO$11,MATCH(ROW(),Lists!$AN$2:$AN$11,0)),""),IFERROR(INDEX(Lists!$U:$U,MATCH(TRIM($I95),Lists!$T:$T,0)),TRIM($I95))))</f>
        <v>Ampol Retail</v>
      </c>
      <c r="AK95" s="865" t="str">
        <f>IF(ISNUMBER(SEARCH("vacant",$B95)),"Vacant","Filled")</f>
        <v>Vacant</v>
      </c>
      <c r="AL95" s="865" t="str">
        <f>IF($M95="NZ","NZ","AU")</f>
        <v>AU</v>
      </c>
      <c r="AM95" s="865">
        <f>COUNTIF($AJ$2:$AJ95,$AJ95)</f>
        <v>57</v>
      </c>
      <c r="AN95" s="865" t="str">
        <f>$AJ95&amp;"|"&amp;$AM95</f>
        <v>Ampol Retail|57</v>
      </c>
      <c r="AP95" s="865" t="str">
        <f>IF(TRIM($B95)="","",IF($AQ95=1,"Leadership",IFERROR(INDEX(Lists!$X:$X,MATCH(TRIM($K95),Lists!$W:$W,0)),IF(OR(TRIM($K95)="",LOWER(TRIM($K95))="na"),IF(TRIM($G95)="","Unassigned",TRIM($G95)),TRIM($K95)))))</f>
        <v>POS</v>
      </c>
      <c r="AQ95" s="865" t="b">
        <f>IF(TRIM($B95)="","",--OR(TRIM($K95)="Leadership",TRIM($J95)="Leadership"))</f>
        <v>0</v>
      </c>
      <c r="AR95" s="1136" t="str">
        <f>IF(TRIM($B95)="","",IF(IFERROR(INDEX(Lists!$AQ$2:$AQ$11,MATCH(ROW(),Lists!$AN$2:$AN$11,0)),"")&lt;&gt;"",IFERROR(INDEX(Lists!$AQ$2:$AQ$11,MATCH(ROW(),Lists!$AN$2:$AN$11,0)),""),IF(ISNUMBER(SEARCH("head of ",$C95)),"Head of Technology",IF(ISNUMBER(SEARCH("TDD BP",$C95)),"Business Partner",IF(OR(ISNUMBER(SEARCH("domain architect",$C95)),ISNUMBER(SEARCH("enterprise architect",$C95))),"Domain Architect",IF(ISNUMBER(SEARCH("delivery man",$C95)),"Delivery Manager",IF(OR(ISNUMBER(SEARCH("technology manager",$C95)),ISNUMBER(SEARCH("technology manger",$C95)),ISNUMBER(SEARCH("tech manager",$C95))),"Technology Manager","Squad")))))))</f>
        <v>Squad</v>
      </c>
      <c r="AS95" s="1136" t="str">
        <f>IF(TRIM($B95)="","",IFERROR(INDEX(Lists!$AA:$AA,MATCH($AP95,Lists!$Z:$Z,0)),$AP95))</f>
        <v>POS</v>
      </c>
      <c r="AT95" s="1136" t="str">
        <f>IF(TRIM($B95)="","",IF(IFERROR(INDEX(Lists!$AP$2:$AP$11,MATCH(ROW(),Lists!$AN$2:$AN$11,0)),"")&lt;&gt;"",IFERROR(INDEX(Lists!$AP$2:$AP$11,MATCH(ROW(),Lists!$AN$2:$AN$11,0)),""),IF(OR(LEFT($AJ95,3)="COE",$AJ95="EGI"),$AP95,IF($AR95&lt;&gt;"Squad",$AR95,$AP95))))</f>
        <v>POS</v>
      </c>
    </row>
    <row r="96" ht="18" customHeight="1" s="866">
      <c r="A96" s="1155" t="n">
        <v>98379</v>
      </c>
      <c r="B96" s="1156" t="inlineStr">
        <is>
          <t>Vaishnavi Viswanathan</t>
        </is>
      </c>
      <c r="C96" s="1156" t="inlineStr">
        <is>
          <t>Technology Manager, Store Platform</t>
        </is>
      </c>
      <c r="D96" s="1158" t="inlineStr">
        <is>
          <t>Vacant</t>
        </is>
      </c>
      <c r="E96" s="1156" t="inlineStr">
        <is>
          <t>Head of Technology,  Ampol Retail</t>
        </is>
      </c>
      <c r="F96" s="1157" t="inlineStr">
        <is>
          <t>Ampol Retail &amp; Z</t>
        </is>
      </c>
      <c r="G96" s="1158" t="inlineStr">
        <is>
          <t>Ampol Retail</t>
        </is>
      </c>
      <c r="H96" s="1156" t="inlineStr">
        <is>
          <t>Ampol Retail, Store Platforms</t>
        </is>
      </c>
      <c r="I96" s="1156" t="inlineStr">
        <is>
          <t>Retail</t>
        </is>
      </c>
      <c r="J96" s="1156" t="inlineStr">
        <is>
          <t>Store Operations, Payments, POS</t>
        </is>
      </c>
      <c r="K96" s="1158" t="inlineStr">
        <is>
          <t>Leadership</t>
        </is>
      </c>
      <c r="L96" s="1158" t="n"/>
      <c r="M96" s="1159" t="inlineStr">
        <is>
          <t>Australia</t>
        </is>
      </c>
      <c r="N96" s="1160" t="inlineStr">
        <is>
          <t>CSB</t>
        </is>
      </c>
      <c r="O96" s="1160" t="n">
        <v>1</v>
      </c>
      <c r="P96" s="1160" t="n"/>
      <c r="Q96" s="1160" t="inlineStr">
        <is>
          <t>Permanent - Full Time</t>
        </is>
      </c>
      <c r="R96" s="1162" t="n"/>
      <c r="S96" s="1162" t="n"/>
      <c r="T96" s="1163" t="n">
        <v>190225</v>
      </c>
      <c r="U96" s="1174" t="n">
        <v>190225</v>
      </c>
      <c r="V96" s="1203" t="n">
        <v>0.14</v>
      </c>
      <c r="W96" s="1204" t="n">
        <v>0.055</v>
      </c>
      <c r="X96" s="1204" t="n">
        <v>0.12</v>
      </c>
      <c r="Y96" s="1205" t="n"/>
      <c r="Z96" s="1204" t="n">
        <v>0.04</v>
      </c>
      <c r="AA96" s="1206">
        <f>IF(TRIM($B96)="","",IF(N($AU96)&gt;0,$AU96,IF(N($S96)&gt;0,$S96*Lists!$AG$15*(1+N($Z96)),N($U96)*(1+N($V96)+N($W96)+N($X96)+N($Z96))+N($Y96))))</f>
        <v>257754.875</v>
      </c>
      <c r="AJ96" s="865" t="str">
        <f>IF(TRIM($B96)="","",IF(IFERROR(INDEX(Lists!$AO$2:$AO$11,MATCH(ROW(),Lists!$AN$2:$AN$11,0)),"")&lt;&gt;"",IFERROR(INDEX(Lists!$AO$2:$AO$11,MATCH(ROW(),Lists!$AN$2:$AN$11,0)),""),IFERROR(INDEX(Lists!$U:$U,MATCH(TRIM($I96),Lists!$T:$T,0)),TRIM($I96))))</f>
        <v>Ampol Retail</v>
      </c>
      <c r="AK96" s="865" t="str">
        <f>IF(ISNUMBER(SEARCH("vacant",$B96)),"Vacant","Filled")</f>
        <v>Filled</v>
      </c>
      <c r="AL96" s="865" t="str">
        <f>IF($M96="NZ","NZ","AU")</f>
        <v>AU</v>
      </c>
      <c r="AM96" s="865">
        <f>COUNTIF($AJ$2:$AJ96,$AJ96)</f>
        <v>58</v>
      </c>
      <c r="AN96" s="865" t="str">
        <f>$AJ96&amp;"|"&amp;$AM96</f>
        <v>Ampol Retail|58</v>
      </c>
      <c r="AP96" s="1136" t="str">
        <f>IF(TRIM($B96)="","",IF($AQ96=1,"Leadership",IFERROR(INDEX(Lists!$X:$X,MATCH(TRIM($K96),Lists!$W:$W,0)),IF(OR(TRIM($K96)="",LOWER(TRIM($K96))="na"),IF(TRIM($G96)="","Unassigned",TRIM($G96)),TRIM($K96)))))</f>
        <v>Leadership</v>
      </c>
      <c r="AQ96" s="865" t="b">
        <f>IF(TRIM($B96)="","",--OR(TRIM($K96)="Leadership",TRIM($J96)="Leadership"))</f>
        <v>1</v>
      </c>
      <c r="AR96" s="1136" t="str">
        <f>IF(TRIM($B96)="","",IF(IFERROR(INDEX(Lists!$AQ$2:$AQ$11,MATCH(ROW(),Lists!$AN$2:$AN$11,0)),"")&lt;&gt;"",IFERROR(INDEX(Lists!$AQ$2:$AQ$11,MATCH(ROW(),Lists!$AN$2:$AN$11,0)),""),IF(ISNUMBER(SEARCH("head of ",$C96)),"Head of Technology",IF(ISNUMBER(SEARCH("TDD BP",$C96)),"Business Partner",IF(OR(ISNUMBER(SEARCH("domain architect",$C96)),ISNUMBER(SEARCH("enterprise architect",$C96))),"Domain Architect",IF(ISNUMBER(SEARCH("delivery man",$C96)),"Delivery Manager",IF(OR(ISNUMBER(SEARCH("technology manager",$C96)),ISNUMBER(SEARCH("technology manger",$C96)),ISNUMBER(SEARCH("tech manager",$C96))),"Technology Manager","Squad")))))))</f>
        <v>Technology Manager</v>
      </c>
      <c r="AS96" s="1136" t="str">
        <f>IF(TRIM($B96)="","",IFERROR(INDEX(Lists!$AA:$AA,MATCH($AP96,Lists!$Z:$Z,0)),$AP96))</f>
        <v>Leadership</v>
      </c>
      <c r="AT96" s="1136" t="str">
        <f>IF(TRIM($B96)="","",IF(IFERROR(INDEX(Lists!$AP$2:$AP$11,MATCH(ROW(),Lists!$AN$2:$AN$11,0)),"")&lt;&gt;"",IFERROR(INDEX(Lists!$AP$2:$AP$11,MATCH(ROW(),Lists!$AN$2:$AN$11,0)),""),IF(OR(LEFT($AJ96,3)="COE",$AJ96="EGI"),$AP96,IF($AR96&lt;&gt;"Squad",$AR96,$AP96))))</f>
        <v>Technology Manager</v>
      </c>
    </row>
    <row r="97" ht="18" customHeight="1" s="866">
      <c r="A97" s="1155" t="n">
        <v>86604</v>
      </c>
      <c r="B97" s="1156" t="inlineStr">
        <is>
          <t>Vanessa Allen</t>
        </is>
      </c>
      <c r="C97" s="1156" t="inlineStr">
        <is>
          <t>Delivery Manager</t>
        </is>
      </c>
      <c r="D97" s="1158" t="inlineStr">
        <is>
          <t>Madan Murthy</t>
        </is>
      </c>
      <c r="E97" s="1156" t="inlineStr">
        <is>
          <t>Head of Technology,  Ampol Retail</t>
        </is>
      </c>
      <c r="F97" s="1157" t="inlineStr">
        <is>
          <t>Ampol Retail &amp; Z</t>
        </is>
      </c>
      <c r="G97" s="1158" t="inlineStr">
        <is>
          <t>Ampol Retail</t>
        </is>
      </c>
      <c r="H97" s="1156" t="inlineStr">
        <is>
          <t>Ampol Retail, Delivery</t>
        </is>
      </c>
      <c r="I97" s="1156" t="inlineStr">
        <is>
          <t>Retail</t>
        </is>
      </c>
      <c r="J97" s="1156" t="inlineStr">
        <is>
          <t>(All Retail)</t>
        </is>
      </c>
      <c r="K97" s="1158" t="inlineStr">
        <is>
          <t>Leadership</t>
        </is>
      </c>
      <c r="L97" s="1158" t="n"/>
      <c r="M97" s="1159" t="inlineStr">
        <is>
          <t>Australia</t>
        </is>
      </c>
      <c r="N97" s="1162" t="inlineStr">
        <is>
          <t>CSB</t>
        </is>
      </c>
      <c r="O97" s="1162" t="n">
        <v>0.7</v>
      </c>
      <c r="P97" s="1162" t="n"/>
      <c r="Q97" s="1162" t="inlineStr">
        <is>
          <t>Permanent - Part Time</t>
        </is>
      </c>
      <c r="R97" s="1162" t="n"/>
      <c r="S97" s="1162" t="n"/>
      <c r="T97" s="1163" t="n">
        <v>223570</v>
      </c>
      <c r="U97" s="1174" t="n">
        <v>223570</v>
      </c>
      <c r="V97" s="1203" t="n">
        <v>0.14</v>
      </c>
      <c r="W97" s="1204" t="n">
        <v>0.055</v>
      </c>
      <c r="X97" s="1204" t="n">
        <v>0.12</v>
      </c>
      <c r="Y97" s="1205" t="n"/>
      <c r="Z97" s="1204" t="n">
        <v>0.04</v>
      </c>
      <c r="AA97" s="1206">
        <f>IF(TRIM($B97)="","",IF(N($AU97)&gt;0,$AU97,IF(N($S97)&gt;0,$S97*Lists!$AG$15*(1+N($Z97)),N($U97)*(1+N($V97)+N($W97)+N($X97)+N($Z97))+N($Y97))))</f>
        <v>302937.35</v>
      </c>
      <c r="AJ97" s="865" t="str">
        <f>IF(TRIM($B97)="","",IF(IFERROR(INDEX(Lists!$AO$2:$AO$11,MATCH(ROW(),Lists!$AN$2:$AN$11,0)),"")&lt;&gt;"",IFERROR(INDEX(Lists!$AO$2:$AO$11,MATCH(ROW(),Lists!$AN$2:$AN$11,0)),""),IFERROR(INDEX(Lists!$U:$U,MATCH(TRIM($I97),Lists!$T:$T,0)),TRIM($I97))))</f>
        <v>Ampol Retail</v>
      </c>
      <c r="AK97" s="865" t="str">
        <f>IF(ISNUMBER(SEARCH("vacant",$B97)),"Vacant","Filled")</f>
        <v>Filled</v>
      </c>
      <c r="AL97" s="865" t="str">
        <f>IF($M97="NZ","NZ","AU")</f>
        <v>AU</v>
      </c>
      <c r="AM97" s="865">
        <f>COUNTIF($AJ$2:$AJ97,$AJ97)</f>
        <v>59</v>
      </c>
      <c r="AN97" s="865" t="str">
        <f>$AJ97&amp;"|"&amp;$AM97</f>
        <v>Ampol Retail|59</v>
      </c>
      <c r="AP97" s="1136" t="str">
        <f>IF(TRIM($B97)="","",IF($AQ97=1,"Leadership",IFERROR(INDEX(Lists!$X:$X,MATCH(TRIM($K97),Lists!$W:$W,0)),IF(OR(TRIM($K97)="",LOWER(TRIM($K97))="na"),IF(TRIM($G97)="","Unassigned",TRIM($G97)),TRIM($K97)))))</f>
        <v>Leadership</v>
      </c>
      <c r="AQ97" s="865" t="b">
        <f>IF(TRIM($B97)="","",--OR(TRIM($K97)="Leadership",TRIM($J97)="Leadership"))</f>
        <v>1</v>
      </c>
      <c r="AR97" s="1136" t="str">
        <f>IF(TRIM($B97)="","",IF(IFERROR(INDEX(Lists!$AQ$2:$AQ$11,MATCH(ROW(),Lists!$AN$2:$AN$11,0)),"")&lt;&gt;"",IFERROR(INDEX(Lists!$AQ$2:$AQ$11,MATCH(ROW(),Lists!$AN$2:$AN$11,0)),""),IF(ISNUMBER(SEARCH("head of ",$C97)),"Head of Technology",IF(ISNUMBER(SEARCH("TDD BP",$C97)),"Business Partner",IF(OR(ISNUMBER(SEARCH("domain architect",$C97)),ISNUMBER(SEARCH("enterprise architect",$C97))),"Domain Architect",IF(ISNUMBER(SEARCH("delivery man",$C97)),"Delivery Manager",IF(OR(ISNUMBER(SEARCH("technology manager",$C97)),ISNUMBER(SEARCH("technology manger",$C97)),ISNUMBER(SEARCH("tech manager",$C97))),"Technology Manager","Squad")))))))</f>
        <v>Delivery Manager</v>
      </c>
      <c r="AS97" s="1136" t="str">
        <f>IF(TRIM($B97)="","",IFERROR(INDEX(Lists!$AA:$AA,MATCH($AP97,Lists!$Z:$Z,0)),$AP97))</f>
        <v>Leadership</v>
      </c>
      <c r="AT97" s="1136" t="str">
        <f>IF(TRIM($B97)="","",IF(IFERROR(INDEX(Lists!$AP$2:$AP$11,MATCH(ROW(),Lists!$AN$2:$AN$11,0)),"")&lt;&gt;"",IFERROR(INDEX(Lists!$AP$2:$AP$11,MATCH(ROW(),Lists!$AN$2:$AN$11,0)),""),IF(OR(LEFT($AJ97,3)="COE",$AJ97="EGI"),$AP97,IF($AR97&lt;&gt;"Squad",$AR97,$AP97))))</f>
        <v>Delivery Manager</v>
      </c>
    </row>
    <row r="98" ht="18" customHeight="1" s="866">
      <c r="A98" s="1155" t="n">
        <v>99999100432</v>
      </c>
      <c r="B98" s="1156" t="inlineStr">
        <is>
          <t>Vanessa King</t>
        </is>
      </c>
      <c r="C98" s="1156" t="inlineStr">
        <is>
          <t>Lead Quality Assurance</t>
        </is>
      </c>
      <c r="D98" s="1156" t="inlineStr">
        <is>
          <t>Callan McLaughlin</t>
        </is>
      </c>
      <c r="E98" s="1156" t="inlineStr">
        <is>
          <t>Technology Manager,  Site Systems</t>
        </is>
      </c>
      <c r="F98" s="1157" t="inlineStr">
        <is>
          <t>Ampol Retail &amp; Z</t>
        </is>
      </c>
      <c r="G98" s="1158" t="inlineStr">
        <is>
          <t>Z &amp; Group Retail</t>
        </is>
      </c>
      <c r="H98" s="1156" t="inlineStr">
        <is>
          <t>Z &amp; Group Retail, Site Systems</t>
        </is>
      </c>
      <c r="I98" s="1156" t="inlineStr">
        <is>
          <t>Z</t>
        </is>
      </c>
      <c r="J98" s="1158" t="inlineStr">
        <is>
          <t>Z Customer</t>
        </is>
      </c>
      <c r="K98" s="1156" t="inlineStr">
        <is>
          <t>Site Systems</t>
        </is>
      </c>
      <c r="L98" s="1158" t="n"/>
      <c r="M98" s="1159" t="inlineStr">
        <is>
          <t>NZ</t>
        </is>
      </c>
      <c r="N98" s="1160" t="inlineStr">
        <is>
          <t>CIC</t>
        </is>
      </c>
      <c r="O98" s="1161" t="n">
        <v>1</v>
      </c>
      <c r="P98" s="1160" t="n"/>
      <c r="Q98" s="1161" t="inlineStr">
        <is>
          <t>Permanent - Full Time</t>
        </is>
      </c>
      <c r="R98" s="1162" t="n"/>
      <c r="S98" s="1162" t="n"/>
      <c r="T98" s="1163" t="n">
        <v>174080</v>
      </c>
      <c r="U98" s="1164" t="n">
        <v>160153.6</v>
      </c>
      <c r="V98" s="1165" t="n">
        <v>0.15</v>
      </c>
      <c r="W98" s="1162" t="n"/>
      <c r="X98" s="1166" t="n">
        <v>0.05</v>
      </c>
      <c r="Y98" s="1907" t="n">
        <v>2910</v>
      </c>
      <c r="Z98" s="1166" t="n">
        <v>0.03</v>
      </c>
      <c r="AA98" s="1168">
        <f>IF(TRIM($B98)="","",IF(N($AU98)&gt;0,$AU98,IF(N($S98)&gt;0,$S98*Lists!$AG$15*(1+N($Z98)),N($U98)*(1+N($V98)+N($W98)+N($X98)+N($Z98))+N($Y98))))</f>
        <v>199898.928</v>
      </c>
      <c r="AJ98" s="865" t="str">
        <f>IF(TRIM($B98)="","",IF(IFERROR(INDEX(Lists!$AO$2:$AO$11,MATCH(ROW(),Lists!$AN$2:$AN$11,0)),"")&lt;&gt;"",IFERROR(INDEX(Lists!$AO$2:$AO$11,MATCH(ROW(),Lists!$AN$2:$AN$11,0)),""),IFERROR(INDEX(Lists!$U:$U,MATCH(TRIM($I98),Lists!$T:$T,0)),TRIM($I98))))</f>
        <v>Z Retail</v>
      </c>
      <c r="AK98" s="865" t="str">
        <f>IF(ISNUMBER(SEARCH("vacant",$B98)),"Vacant","Filled")</f>
        <v>Filled</v>
      </c>
      <c r="AL98" s="865" t="str">
        <f>IF($M98="NZ","NZ","AU")</f>
        <v>NZ</v>
      </c>
      <c r="AM98" s="865">
        <f>COUNTIF($AJ$2:$AJ98,$AJ98)</f>
        <v>38</v>
      </c>
      <c r="AN98" s="865" t="str">
        <f>$AJ98&amp;"|"&amp;$AM98</f>
        <v>Z Retail|38</v>
      </c>
      <c r="AP98" s="865" t="str">
        <f>IF(TRIM($B98)="","",IF($AQ98=1,"Leadership",IFERROR(INDEX(Lists!$X:$X,MATCH(TRIM($K98),Lists!$W:$W,0)),IF(OR(TRIM($K98)="",LOWER(TRIM($K98))="na"),IF(TRIM($G98)="","Unassigned",TRIM($G98)),TRIM($K98)))))</f>
        <v>Site Systems</v>
      </c>
      <c r="AQ98" s="865" t="b">
        <f>IF(TRIM($B98)="","",--OR(TRIM($K98)="Leadership",TRIM($J98)="Leadership"))</f>
        <v>0</v>
      </c>
      <c r="AR98" s="1136" t="str">
        <f>IF(TRIM($B98)="","",IF(IFERROR(INDEX(Lists!$AQ$2:$AQ$11,MATCH(ROW(),Lists!$AN$2:$AN$11,0)),"")&lt;&gt;"",IFERROR(INDEX(Lists!$AQ$2:$AQ$11,MATCH(ROW(),Lists!$AN$2:$AN$11,0)),""),IF(ISNUMBER(SEARCH("head of ",$C98)),"Head of Technology",IF(ISNUMBER(SEARCH("TDD BP",$C98)),"Business Partner",IF(OR(ISNUMBER(SEARCH("domain architect",$C98)),ISNUMBER(SEARCH("enterprise architect",$C98))),"Domain Architect",IF(ISNUMBER(SEARCH("delivery man",$C98)),"Delivery Manager",IF(OR(ISNUMBER(SEARCH("technology manager",$C98)),ISNUMBER(SEARCH("technology manger",$C98)),ISNUMBER(SEARCH("tech manager",$C98))),"Technology Manager","Squad")))))))</f>
        <v>Squad</v>
      </c>
      <c r="AS98" s="1136" t="str">
        <f>IF(TRIM($B98)="","",IFERROR(INDEX(Lists!$AA:$AA,MATCH($AP98,Lists!$Z:$Z,0)),$AP98))</f>
        <v>Site Systems</v>
      </c>
      <c r="AT98" s="1136" t="str">
        <f>IF(TRIM($B98)="","",IF(IFERROR(INDEX(Lists!$AP$2:$AP$11,MATCH(ROW(),Lists!$AN$2:$AN$11,0)),"")&lt;&gt;"",IFERROR(INDEX(Lists!$AP$2:$AP$11,MATCH(ROW(),Lists!$AN$2:$AN$11,0)),""),IF(OR(LEFT($AJ98,3)="COE",$AJ98="EGI"),$AP98,IF($AR98&lt;&gt;"Squad",$AR98,$AP98))))</f>
        <v>Site Systems</v>
      </c>
    </row>
    <row r="99" ht="18" customHeight="1" s="866">
      <c r="A99" s="1155" t="n">
        <v>98158</v>
      </c>
      <c r="B99" s="1156" t="inlineStr">
        <is>
          <t>Vanessa Trujillo Munoz</t>
        </is>
      </c>
      <c r="C99" s="1156" t="inlineStr">
        <is>
          <t>Delivery Lead</t>
        </is>
      </c>
      <c r="D99" s="1156" t="inlineStr">
        <is>
          <t>Vanessa Allen</t>
        </is>
      </c>
      <c r="E99" s="1156" t="inlineStr">
        <is>
          <t>Delivery Manager, Ampol Retail</t>
        </is>
      </c>
      <c r="F99" s="1157" t="inlineStr">
        <is>
          <t>Ampol Retail &amp; Z</t>
        </is>
      </c>
      <c r="G99" s="1158" t="inlineStr">
        <is>
          <t>Ampol Retail</t>
        </is>
      </c>
      <c r="H99" s="1156" t="inlineStr">
        <is>
          <t>Ampol Retail, Delivery</t>
        </is>
      </c>
      <c r="I99" s="1156" t="inlineStr">
        <is>
          <t>Retail</t>
        </is>
      </c>
      <c r="J99" s="1158" t="inlineStr">
        <is>
          <t>Network/QSR</t>
        </is>
      </c>
      <c r="K99" s="1156" t="inlineStr">
        <is>
          <t>Network &amp; QSR</t>
        </is>
      </c>
      <c r="L99" s="1158" t="n"/>
      <c r="M99" s="1159" t="inlineStr">
        <is>
          <t>Australia</t>
        </is>
      </c>
      <c r="N99" s="1160" t="inlineStr">
        <is>
          <t>CIB</t>
        </is>
      </c>
      <c r="O99" s="1160" t="n">
        <v>1</v>
      </c>
      <c r="P99" s="1160" t="n"/>
      <c r="Q99" s="1160" t="inlineStr">
        <is>
          <t>Permanent - Full Time</t>
        </is>
      </c>
      <c r="R99" s="1162" t="n"/>
      <c r="S99" s="1162" t="n"/>
      <c r="T99" s="1163" t="n">
        <v>136670</v>
      </c>
      <c r="U99" s="1164" t="n">
        <v>136670</v>
      </c>
      <c r="V99" s="1166" t="n">
        <v>0.12</v>
      </c>
      <c r="W99" s="1170" t="n">
        <v>0.055</v>
      </c>
      <c r="X99" s="1170" t="n">
        <v>0.12</v>
      </c>
      <c r="Y99" s="1171" t="n"/>
      <c r="Z99" s="1170" t="n">
        <v>0.04</v>
      </c>
      <c r="AA99" s="1168">
        <f>IF(TRIM($B99)="","",IF(N($AU99)&gt;0,$AU99,IF(N($S99)&gt;0,$S99*Lists!$AG$15*(1+N($Z99)),N($U99)*(1+N($V99)+N($W99)+N($X99)+N($Z99))+N($Y99))))</f>
        <v>182454.45</v>
      </c>
      <c r="AJ99" s="865" t="str">
        <f>IF(TRIM($B99)="","",IF(IFERROR(INDEX(Lists!$AO$2:$AO$11,MATCH(ROW(),Lists!$AN$2:$AN$11,0)),"")&lt;&gt;"",IFERROR(INDEX(Lists!$AO$2:$AO$11,MATCH(ROW(),Lists!$AN$2:$AN$11,0)),""),IFERROR(INDEX(Lists!$U:$U,MATCH(TRIM($I99),Lists!$T:$T,0)),TRIM($I99))))</f>
        <v>Ampol Retail</v>
      </c>
      <c r="AK99" s="865" t="str">
        <f>IF(ISNUMBER(SEARCH("vacant",$B99)),"Vacant","Filled")</f>
        <v>Filled</v>
      </c>
      <c r="AL99" s="865" t="str">
        <f>IF($M99="NZ","NZ","AU")</f>
        <v>AU</v>
      </c>
      <c r="AM99" s="865">
        <f>COUNTIF($AJ$2:$AJ99,$AJ99)</f>
        <v>60</v>
      </c>
      <c r="AN99" s="865" t="str">
        <f>$AJ99&amp;"|"&amp;$AM99</f>
        <v>Ampol Retail|60</v>
      </c>
      <c r="AP99" s="865" t="str">
        <f>IF(TRIM($B99)="","",IF($AQ99=1,"Leadership",IFERROR(INDEX(Lists!$X:$X,MATCH(TRIM($K99),Lists!$W:$W,0)),IF(OR(TRIM($K99)="",LOWER(TRIM($K99))="na"),IF(TRIM($G99)="","Unassigned",TRIM($G99)),TRIM($K99)))))</f>
        <v>Network &amp; QSR</v>
      </c>
      <c r="AQ99" s="865" t="b">
        <f>IF(TRIM($B99)="","",--OR(TRIM($K99)="Leadership",TRIM($J99)="Leadership"))</f>
        <v>0</v>
      </c>
      <c r="AR99" s="1136" t="str">
        <f>IF(TRIM($B99)="","",IF(IFERROR(INDEX(Lists!$AQ$2:$AQ$11,MATCH(ROW(),Lists!$AN$2:$AN$11,0)),"")&lt;&gt;"",IFERROR(INDEX(Lists!$AQ$2:$AQ$11,MATCH(ROW(),Lists!$AN$2:$AN$11,0)),""),IF(ISNUMBER(SEARCH("head of ",$C99)),"Head of Technology",IF(ISNUMBER(SEARCH("TDD BP",$C99)),"Business Partner",IF(OR(ISNUMBER(SEARCH("domain architect",$C99)),ISNUMBER(SEARCH("enterprise architect",$C99))),"Domain Architect",IF(ISNUMBER(SEARCH("delivery man",$C99)),"Delivery Manager",IF(OR(ISNUMBER(SEARCH("technology manager",$C99)),ISNUMBER(SEARCH("technology manger",$C99)),ISNUMBER(SEARCH("tech manager",$C99))),"Technology Manager","Squad")))))))</f>
        <v>Squad</v>
      </c>
      <c r="AS99" s="1136" t="str">
        <f>IF(TRIM($B99)="","",IFERROR(INDEX(Lists!$AA:$AA,MATCH($AP99,Lists!$Z:$Z,0)),$AP99))</f>
        <v>Network &amp; QSR</v>
      </c>
      <c r="AT99" s="1136" t="str">
        <f>IF(TRIM($B99)="","",IF(IFERROR(INDEX(Lists!$AP$2:$AP$11,MATCH(ROW(),Lists!$AN$2:$AN$11,0)),"")&lt;&gt;"",IFERROR(INDEX(Lists!$AP$2:$AP$11,MATCH(ROW(),Lists!$AN$2:$AN$11,0)),""),IF(OR(LEFT($AJ99,3)="COE",$AJ99="EGI"),$AP99,IF($AR99&lt;&gt;"Squad",$AR99,$AP99))))</f>
        <v>Network &amp; QSR</v>
      </c>
    </row>
    <row r="100" ht="18" customHeight="1" s="866">
      <c r="A100" s="1155" t="n">
        <v>8904</v>
      </c>
      <c r="B100" s="1156" t="inlineStr">
        <is>
          <t>Vedran Jukic</t>
        </is>
      </c>
      <c r="C100" s="1156" t="inlineStr">
        <is>
          <t>Technology Manager, Retail</t>
        </is>
      </c>
      <c r="D100" s="1158" t="inlineStr">
        <is>
          <t>Madan Murthy</t>
        </is>
      </c>
      <c r="E100" s="1156" t="inlineStr">
        <is>
          <t>Head of Technology,  Ampol Retail</t>
        </is>
      </c>
      <c r="F100" s="1157" t="inlineStr">
        <is>
          <t>Ampol Retail &amp; Z</t>
        </is>
      </c>
      <c r="G100" s="1158" t="inlineStr">
        <is>
          <t>Ampol Retail</t>
        </is>
      </c>
      <c r="H100" s="1156" t="inlineStr">
        <is>
          <t>Ampol Retail, Technology</t>
        </is>
      </c>
      <c r="I100" s="1156" t="inlineStr">
        <is>
          <t>Retail</t>
        </is>
      </c>
      <c r="J100" s="1156" t="inlineStr">
        <is>
          <t>Store Operations, Network &amp; QSR, Deployment</t>
        </is>
      </c>
      <c r="K100" s="1158" t="inlineStr">
        <is>
          <t>Leadership</t>
        </is>
      </c>
      <c r="L100" s="1158" t="n"/>
      <c r="M100" s="1159" t="inlineStr">
        <is>
          <t>Australia</t>
        </is>
      </c>
      <c r="N100" s="1162" t="inlineStr">
        <is>
          <t>CSB</t>
        </is>
      </c>
      <c r="O100" s="1162" t="n">
        <v>1</v>
      </c>
      <c r="P100" s="1162" t="n"/>
      <c r="Q100" s="1162" t="inlineStr">
        <is>
          <t>Permanent - Full Time</t>
        </is>
      </c>
      <c r="R100" s="1162" t="n"/>
      <c r="S100" s="1162" t="n"/>
      <c r="T100" s="1163" t="n">
        <v>210000</v>
      </c>
      <c r="U100" s="1164" t="n">
        <v>210000</v>
      </c>
      <c r="V100" s="1166" t="n">
        <v>0.14</v>
      </c>
      <c r="W100" s="1170" t="n">
        <v>0.055</v>
      </c>
      <c r="X100" s="1170" t="n">
        <v>0.12</v>
      </c>
      <c r="Y100" s="1171" t="n"/>
      <c r="Z100" s="1170" t="n">
        <v>0.04</v>
      </c>
      <c r="AA100" s="1168">
        <f>IF(TRIM($B100)="","",IF(N($AU100)&gt;0,$AU100,IF(N($S100)&gt;0,$S100*Lists!$AG$15*(1+N($Z100)),N($U100)*(1+N($V100)+N($W100)+N($X100)+N($Z100))+N($Y100))))</f>
        <v>284550</v>
      </c>
      <c r="AJ100" s="865" t="str">
        <f>IF(TRIM($B100)="","",IF(IFERROR(INDEX(Lists!$AO$2:$AO$11,MATCH(ROW(),Lists!$AN$2:$AN$11,0)),"")&lt;&gt;"",IFERROR(INDEX(Lists!$AO$2:$AO$11,MATCH(ROW(),Lists!$AN$2:$AN$11,0)),""),IFERROR(INDEX(Lists!$U:$U,MATCH(TRIM($I100),Lists!$T:$T,0)),TRIM($I100))))</f>
        <v>Ampol Retail</v>
      </c>
      <c r="AK100" s="865" t="str">
        <f>IF(ISNUMBER(SEARCH("vacant",$B100)),"Vacant","Filled")</f>
        <v>Filled</v>
      </c>
      <c r="AL100" s="865" t="str">
        <f>IF($M100="NZ","NZ","AU")</f>
        <v>AU</v>
      </c>
      <c r="AM100" s="865">
        <f>COUNTIF($AJ$2:$AJ100,$AJ100)</f>
        <v>61</v>
      </c>
      <c r="AN100" s="865" t="str">
        <f>$AJ100&amp;"|"&amp;$AM100</f>
        <v>Ampol Retail|61</v>
      </c>
      <c r="AP100" s="1136" t="str">
        <f>IF(TRIM($B100)="","",IF($AQ100=1,"Leadership",IFERROR(INDEX(Lists!$X:$X,MATCH(TRIM($K100),Lists!$W:$W,0)),IF(OR(TRIM($K100)="",LOWER(TRIM($K100))="na"),IF(TRIM($G100)="","Unassigned",TRIM($G100)),TRIM($K100)))))</f>
        <v>Leadership</v>
      </c>
      <c r="AQ100" s="865" t="b">
        <f>IF(TRIM($B100)="","",--OR(TRIM($K100)="Leadership",TRIM($J100)="Leadership"))</f>
        <v>1</v>
      </c>
      <c r="AR100" s="1136" t="str">
        <f>IF(TRIM($B100)="","",IF(IFERROR(INDEX(Lists!$AQ$2:$AQ$11,MATCH(ROW(),Lists!$AN$2:$AN$11,0)),"")&lt;&gt;"",IFERROR(INDEX(Lists!$AQ$2:$AQ$11,MATCH(ROW(),Lists!$AN$2:$AN$11,0)),""),IF(ISNUMBER(SEARCH("head of ",$C100)),"Head of Technology",IF(ISNUMBER(SEARCH("TDD BP",$C100)),"Business Partner",IF(OR(ISNUMBER(SEARCH("domain architect",$C100)),ISNUMBER(SEARCH("enterprise architect",$C100))),"Domain Architect",IF(ISNUMBER(SEARCH("delivery man",$C100)),"Delivery Manager",IF(OR(ISNUMBER(SEARCH("technology manager",$C100)),ISNUMBER(SEARCH("technology manger",$C100)),ISNUMBER(SEARCH("tech manager",$C100))),"Technology Manager","Squad")))))))</f>
        <v>Technology Manager</v>
      </c>
      <c r="AS100" s="1136" t="str">
        <f>IF(TRIM($B100)="","",IFERROR(INDEX(Lists!$AA:$AA,MATCH($AP100,Lists!$Z:$Z,0)),$AP100))</f>
        <v>Leadership</v>
      </c>
      <c r="AT100" s="1136" t="str">
        <f>IF(TRIM($B100)="","",IF(IFERROR(INDEX(Lists!$AP$2:$AP$11,MATCH(ROW(),Lists!$AN$2:$AN$11,0)),"")&lt;&gt;"",IFERROR(INDEX(Lists!$AP$2:$AP$11,MATCH(ROW(),Lists!$AN$2:$AN$11,0)),""),IF(OR(LEFT($AJ100,3)="COE",$AJ100="EGI"),$AP100,IF($AR100&lt;&gt;"Squad",$AR100,$AP100))))</f>
        <v>Technology Manager</v>
      </c>
    </row>
    <row r="101" ht="18" customHeight="1" s="866">
      <c r="A101" s="1155" t="n">
        <v>115831</v>
      </c>
      <c r="B101" s="1156" t="inlineStr">
        <is>
          <t>Venkat Kedharanathan</t>
        </is>
      </c>
      <c r="C101" s="1156" t="inlineStr">
        <is>
          <t>Senior Business Analyst</t>
        </is>
      </c>
      <c r="D101" s="1156" t="inlineStr">
        <is>
          <t>Vanessa Allen</t>
        </is>
      </c>
      <c r="E101" s="1156" t="inlineStr">
        <is>
          <t>Delivery Manager, Ampol Retail</t>
        </is>
      </c>
      <c r="F101" s="1157" t="inlineStr">
        <is>
          <t>Ampol Retail &amp; Z</t>
        </is>
      </c>
      <c r="G101" s="1158" t="inlineStr">
        <is>
          <t>Ampol Retail</t>
        </is>
      </c>
      <c r="H101" s="1156" t="inlineStr">
        <is>
          <t>Ampol Retail, Delivery</t>
        </is>
      </c>
      <c r="I101" s="1156" t="inlineStr">
        <is>
          <t>Retail</t>
        </is>
      </c>
      <c r="J101" s="1158" t="inlineStr">
        <is>
          <t>Store Operations</t>
        </is>
      </c>
      <c r="K101" s="1156" t="inlineStr">
        <is>
          <t>Payments</t>
        </is>
      </c>
      <c r="L101" s="1158" t="n"/>
      <c r="M101" s="1159" t="inlineStr">
        <is>
          <t>Australia</t>
        </is>
      </c>
      <c r="N101" s="1160" t="inlineStr">
        <is>
          <t>CIB</t>
        </is>
      </c>
      <c r="O101" s="1160" t="n">
        <v>1</v>
      </c>
      <c r="P101" s="1160" t="n"/>
      <c r="Q101" s="1160" t="inlineStr">
        <is>
          <t>Permanent - Full Time</t>
        </is>
      </c>
      <c r="R101" s="1162" t="n"/>
      <c r="S101" s="1162" t="n"/>
      <c r="T101" s="1163" t="n">
        <v>160000</v>
      </c>
      <c r="U101" s="1164" t="n">
        <v>160000</v>
      </c>
      <c r="V101" s="1166" t="n">
        <v>0.12</v>
      </c>
      <c r="W101" s="1170" t="n">
        <v>0.055</v>
      </c>
      <c r="X101" s="1170" t="n">
        <v>0.12</v>
      </c>
      <c r="Y101" s="1171" t="n"/>
      <c r="Z101" s="1170" t="n">
        <v>0.04</v>
      </c>
      <c r="AA101" s="1168">
        <f>IF(TRIM($B101)="","",IF(N($AU101)&gt;0,$AU101,IF(N($S101)&gt;0,$S101*Lists!$AG$15*(1+N($Z101)),N($U101)*(1+N($V101)+N($W101)+N($X101)+N($Z101))+N($Y101))))</f>
        <v>213600</v>
      </c>
      <c r="AJ101" s="865" t="str">
        <f>IF(TRIM($B101)="","",IF(IFERROR(INDEX(Lists!$AO$2:$AO$11,MATCH(ROW(),Lists!$AN$2:$AN$11,0)),"")&lt;&gt;"",IFERROR(INDEX(Lists!$AO$2:$AO$11,MATCH(ROW(),Lists!$AN$2:$AN$11,0)),""),IFERROR(INDEX(Lists!$U:$U,MATCH(TRIM($I101),Lists!$T:$T,0)),TRIM($I101))))</f>
        <v>Ampol Retail</v>
      </c>
      <c r="AK101" s="865" t="str">
        <f>IF(ISNUMBER(SEARCH("vacant",$B101)),"Vacant","Filled")</f>
        <v>Filled</v>
      </c>
      <c r="AL101" s="865" t="str">
        <f>IF($M101="NZ","NZ","AU")</f>
        <v>AU</v>
      </c>
      <c r="AM101" s="865">
        <f>COUNTIF($AJ$2:$AJ101,$AJ101)</f>
        <v>62</v>
      </c>
      <c r="AN101" s="865" t="str">
        <f>$AJ101&amp;"|"&amp;$AM101</f>
        <v>Ampol Retail|62</v>
      </c>
      <c r="AP101" s="865" t="str">
        <f>IF(TRIM($B101)="","",IF($AQ101=1,"Leadership",IFERROR(INDEX(Lists!$X:$X,MATCH(TRIM($K101),Lists!$W:$W,0)),IF(OR(TRIM($K101)="",LOWER(TRIM($K101))="na"),IF(TRIM($G101)="","Unassigned",TRIM($G101)),TRIM($K101)))))</f>
        <v>Payments</v>
      </c>
      <c r="AQ101" s="865" t="b">
        <f>IF(TRIM($B101)="","",--OR(TRIM($K101)="Leadership",TRIM($J101)="Leadership"))</f>
        <v>0</v>
      </c>
      <c r="AR101" s="1136" t="str">
        <f>IF(TRIM($B101)="","",IF(IFERROR(INDEX(Lists!$AQ$2:$AQ$11,MATCH(ROW(),Lists!$AN$2:$AN$11,0)),"")&lt;&gt;"",IFERROR(INDEX(Lists!$AQ$2:$AQ$11,MATCH(ROW(),Lists!$AN$2:$AN$11,0)),""),IF(ISNUMBER(SEARCH("head of ",$C101)),"Head of Technology",IF(ISNUMBER(SEARCH("TDD BP",$C101)),"Business Partner",IF(OR(ISNUMBER(SEARCH("domain architect",$C101)),ISNUMBER(SEARCH("enterprise architect",$C101))),"Domain Architect",IF(ISNUMBER(SEARCH("delivery man",$C101)),"Delivery Manager",IF(OR(ISNUMBER(SEARCH("technology manager",$C101)),ISNUMBER(SEARCH("technology manger",$C101)),ISNUMBER(SEARCH("tech manager",$C101))),"Technology Manager","Squad")))))))</f>
        <v>Squad</v>
      </c>
      <c r="AS101" s="1136" t="str">
        <f>IF(TRIM($B101)="","",IFERROR(INDEX(Lists!$AA:$AA,MATCH($AP101,Lists!$Z:$Z,0)),$AP101))</f>
        <v>Payments</v>
      </c>
      <c r="AT101" s="1136" t="str">
        <f>IF(TRIM($B101)="","",IF(IFERROR(INDEX(Lists!$AP$2:$AP$11,MATCH(ROW(),Lists!$AN$2:$AN$11,0)),"")&lt;&gt;"",IFERROR(INDEX(Lists!$AP$2:$AP$11,MATCH(ROW(),Lists!$AN$2:$AN$11,0)),""),IF(OR(LEFT($AJ101,3)="COE",$AJ101="EGI"),$AP101,IF($AR101&lt;&gt;"Squad",$AR101,$AP101))))</f>
        <v>Payments</v>
      </c>
    </row>
    <row r="102" ht="18" customHeight="1" s="866">
      <c r="A102" s="1155" t="n">
        <v>117167</v>
      </c>
      <c r="B102" s="1156" t="inlineStr">
        <is>
          <t>Vijay Patel</t>
        </is>
      </c>
      <c r="C102" s="1156" t="inlineStr">
        <is>
          <t>Systems Analyst</t>
        </is>
      </c>
      <c r="D102" s="1156" t="inlineStr">
        <is>
          <t>Tracy Lee Reaper</t>
        </is>
      </c>
      <c r="E102" s="1156" t="inlineStr">
        <is>
          <t>Tech Manager, Merchandising &amp; WFM</t>
        </is>
      </c>
      <c r="F102" s="1157" t="inlineStr">
        <is>
          <t>Ampol Retail &amp; Z</t>
        </is>
      </c>
      <c r="G102" s="1158" t="inlineStr">
        <is>
          <t>Ampol Retail</t>
        </is>
      </c>
      <c r="H102" s="1156" t="inlineStr">
        <is>
          <t>Ampol Retail, Merch &amp; RTA</t>
        </is>
      </c>
      <c r="I102" s="1156" t="inlineStr">
        <is>
          <t>Retail</t>
        </is>
      </c>
      <c r="J102" s="1158" t="inlineStr">
        <is>
          <t>Above Store</t>
        </is>
      </c>
      <c r="K102" s="1158" t="inlineStr">
        <is>
          <t>Above Store</t>
        </is>
      </c>
      <c r="L102" s="1158" t="n"/>
      <c r="M102" s="1159" t="inlineStr">
        <is>
          <t>Australia</t>
        </is>
      </c>
      <c r="N102" s="1160" t="inlineStr">
        <is>
          <t>CIB</t>
        </is>
      </c>
      <c r="O102" s="1160" t="n">
        <v>1</v>
      </c>
      <c r="P102" s="1160" t="n"/>
      <c r="Q102" s="1160" t="inlineStr">
        <is>
          <t>Permanent - Full Time</t>
        </is>
      </c>
      <c r="R102" s="1162" t="n"/>
      <c r="S102" s="1162" t="n"/>
      <c r="T102" s="1163" t="n">
        <v>145000</v>
      </c>
      <c r="U102" s="1164" t="n">
        <v>145000</v>
      </c>
      <c r="V102" s="1166" t="n">
        <v>0.12</v>
      </c>
      <c r="W102" s="1170" t="n">
        <v>0.055</v>
      </c>
      <c r="X102" s="1170" t="n">
        <v>0.12</v>
      </c>
      <c r="Y102" s="1171" t="n"/>
      <c r="Z102" s="1170" t="n">
        <v>0.04</v>
      </c>
      <c r="AA102" s="1168">
        <f>IF(TRIM($B102)="","",IF(N($AU102)&gt;0,$AU102,IF(N($S102)&gt;0,$S102*Lists!$AG$15*(1+N($Z102)),N($U102)*(1+N($V102)+N($W102)+N($X102)+N($Z102))+N($Y102))))</f>
        <v>193575</v>
      </c>
      <c r="AJ102" s="865" t="str">
        <f>IF(TRIM($B102)="","",IF(IFERROR(INDEX(Lists!$AO$2:$AO$11,MATCH(ROW(),Lists!$AN$2:$AN$11,0)),"")&lt;&gt;"",IFERROR(INDEX(Lists!$AO$2:$AO$11,MATCH(ROW(),Lists!$AN$2:$AN$11,0)),""),IFERROR(INDEX(Lists!$U:$U,MATCH(TRIM($I102),Lists!$T:$T,0)),TRIM($I102))))</f>
        <v>Ampol Retail</v>
      </c>
      <c r="AK102" s="865" t="str">
        <f>IF(ISNUMBER(SEARCH("vacant",$B102)),"Vacant","Filled")</f>
        <v>Filled</v>
      </c>
      <c r="AL102" s="865" t="str">
        <f>IF($M102="NZ","NZ","AU")</f>
        <v>AU</v>
      </c>
      <c r="AM102" s="865">
        <f>COUNTIF($AJ$2:$AJ102,$AJ102)</f>
        <v>63</v>
      </c>
      <c r="AN102" s="865" t="str">
        <f>$AJ102&amp;"|"&amp;$AM102</f>
        <v>Ampol Retail|63</v>
      </c>
      <c r="AP102" s="865" t="str">
        <f>IF(TRIM($B102)="","",IF($AQ102=1,"Leadership",IFERROR(INDEX(Lists!$X:$X,MATCH(TRIM($K102),Lists!$W:$W,0)),IF(OR(TRIM($K102)="",LOWER(TRIM($K102))="na"),IF(TRIM($G102)="","Unassigned",TRIM($G102)),TRIM($K102)))))</f>
        <v>Above Store</v>
      </c>
      <c r="AQ102" s="865" t="b">
        <f>IF(TRIM($B102)="","",--OR(TRIM($K102)="Leadership",TRIM($J102)="Leadership"))</f>
        <v>0</v>
      </c>
      <c r="AR102" s="1136" t="str">
        <f>IF(TRIM($B102)="","",IF(IFERROR(INDEX(Lists!$AQ$2:$AQ$11,MATCH(ROW(),Lists!$AN$2:$AN$11,0)),"")&lt;&gt;"",IFERROR(INDEX(Lists!$AQ$2:$AQ$11,MATCH(ROW(),Lists!$AN$2:$AN$11,0)),""),IF(ISNUMBER(SEARCH("head of ",$C102)),"Head of Technology",IF(ISNUMBER(SEARCH("TDD BP",$C102)),"Business Partner",IF(OR(ISNUMBER(SEARCH("domain architect",$C102)),ISNUMBER(SEARCH("enterprise architect",$C102))),"Domain Architect",IF(ISNUMBER(SEARCH("delivery man",$C102)),"Delivery Manager",IF(OR(ISNUMBER(SEARCH("technology manager",$C102)),ISNUMBER(SEARCH("technology manger",$C102)),ISNUMBER(SEARCH("tech manager",$C102))),"Technology Manager","Squad")))))))</f>
        <v>Squad</v>
      </c>
      <c r="AS102" s="1136" t="str">
        <f>IF(TRIM($B102)="","",IFERROR(INDEX(Lists!$AA:$AA,MATCH($AP102,Lists!$Z:$Z,0)),$AP102))</f>
        <v>Above Store</v>
      </c>
      <c r="AT102" s="1136" t="str">
        <f>IF(TRIM($B102)="","",IF(IFERROR(INDEX(Lists!$AP$2:$AP$11,MATCH(ROW(),Lists!$AN$2:$AN$11,0)),"")&lt;&gt;"",IFERROR(INDEX(Lists!$AP$2:$AP$11,MATCH(ROW(),Lists!$AN$2:$AN$11,0)),""),IF(OR(LEFT($AJ102,3)="COE",$AJ102="EGI"),$AP102,IF($AR102&lt;&gt;"Squad",$AR102,$AP102))))</f>
        <v>Above Store</v>
      </c>
    </row>
    <row r="103" ht="18" customHeight="1" s="866">
      <c r="A103" s="1155" t="n">
        <v>104050</v>
      </c>
      <c r="B103" s="1156" t="inlineStr">
        <is>
          <t>Violeta Trajkovski</t>
        </is>
      </c>
      <c r="C103" s="1156" t="inlineStr">
        <is>
          <t>Deployment Coordinator</t>
        </is>
      </c>
      <c r="D103" s="1156" t="inlineStr">
        <is>
          <t>Matthew Patane</t>
        </is>
      </c>
      <c r="E103" s="1156" t="inlineStr">
        <is>
          <t>Release &amp; Deployment Manager</t>
        </is>
      </c>
      <c r="F103" s="1157" t="inlineStr">
        <is>
          <t>Ampol Retail &amp; Z</t>
        </is>
      </c>
      <c r="G103" s="1158" t="inlineStr">
        <is>
          <t>Ampol Retail</t>
        </is>
      </c>
      <c r="H103" s="1156" t="inlineStr">
        <is>
          <t>Ampol Retail, Technology</t>
        </is>
      </c>
      <c r="I103" s="1156" t="inlineStr">
        <is>
          <t>Retail</t>
        </is>
      </c>
      <c r="J103" s="1158" t="inlineStr">
        <is>
          <t>Store Operations</t>
        </is>
      </c>
      <c r="K103" s="1156" t="inlineStr">
        <is>
          <t>Deployment</t>
        </is>
      </c>
      <c r="L103" s="1158" t="n"/>
      <c r="M103" s="1159" t="inlineStr">
        <is>
          <t>Australia</t>
        </is>
      </c>
      <c r="N103" s="1160" t="inlineStr">
        <is>
          <t>CDC</t>
        </is>
      </c>
      <c r="O103" s="1160" t="n">
        <v>1</v>
      </c>
      <c r="P103" s="1160" t="n"/>
      <c r="Q103" s="1160" t="inlineStr">
        <is>
          <t>Permanent - Full Time</t>
        </is>
      </c>
      <c r="R103" s="1162" t="n"/>
      <c r="S103" s="1162" t="n"/>
      <c r="T103" s="1163" t="n">
        <v>110700</v>
      </c>
      <c r="U103" s="1164" t="n">
        <v>110700</v>
      </c>
      <c r="V103" s="1166" t="n">
        <v>0.1</v>
      </c>
      <c r="W103" s="1170" t="n">
        <v>0.055</v>
      </c>
      <c r="X103" s="1170" t="n">
        <v>0.12</v>
      </c>
      <c r="Y103" s="1171" t="n"/>
      <c r="Z103" s="1170" t="n">
        <v>0.04</v>
      </c>
      <c r="AA103" s="1168">
        <f>IF(TRIM($B103)="","",IF(N($AU103)&gt;0,$AU103,IF(N($S103)&gt;0,$S103*Lists!$AG$15*(1+N($Z103)),N($U103)*(1+N($V103)+N($W103)+N($X103)+N($Z103))+N($Y103))))</f>
        <v>145570.5</v>
      </c>
      <c r="AJ103" s="865" t="str">
        <f>IF(TRIM($B103)="","",IF(IFERROR(INDEX(Lists!$AO$2:$AO$11,MATCH(ROW(),Lists!$AN$2:$AN$11,0)),"")&lt;&gt;"",IFERROR(INDEX(Lists!$AO$2:$AO$11,MATCH(ROW(),Lists!$AN$2:$AN$11,0)),""),IFERROR(INDEX(Lists!$U:$U,MATCH(TRIM($I103),Lists!$T:$T,0)),TRIM($I103))))</f>
        <v>Ampol Retail</v>
      </c>
      <c r="AK103" s="865" t="str">
        <f>IF(ISNUMBER(SEARCH("vacant",$B103)),"Vacant","Filled")</f>
        <v>Filled</v>
      </c>
      <c r="AL103" s="865" t="str">
        <f>IF($M103="NZ","NZ","AU")</f>
        <v>AU</v>
      </c>
      <c r="AM103" s="865">
        <f>COUNTIF($AJ$2:$AJ103,$AJ103)</f>
        <v>64</v>
      </c>
      <c r="AN103" s="865" t="str">
        <f>$AJ103&amp;"|"&amp;$AM103</f>
        <v>Ampol Retail|64</v>
      </c>
      <c r="AP103" s="865" t="str">
        <f>IF(TRIM($B103)="","",IF($AQ103=1,"Leadership",IFERROR(INDEX(Lists!$X:$X,MATCH(TRIM($K103),Lists!$W:$W,0)),IF(OR(TRIM($K103)="",LOWER(TRIM($K103))="na"),IF(TRIM($G103)="","Unassigned",TRIM($G103)),TRIM($K103)))))</f>
        <v>Deployment</v>
      </c>
      <c r="AQ103" s="865" t="b">
        <f>IF(TRIM($B103)="","",--OR(TRIM($K103)="Leadership",TRIM($J103)="Leadership"))</f>
        <v>0</v>
      </c>
      <c r="AR103" s="1136" t="str">
        <f>IF(TRIM($B103)="","",IF(IFERROR(INDEX(Lists!$AQ$2:$AQ$11,MATCH(ROW(),Lists!$AN$2:$AN$11,0)),"")&lt;&gt;"",IFERROR(INDEX(Lists!$AQ$2:$AQ$11,MATCH(ROW(),Lists!$AN$2:$AN$11,0)),""),IF(ISNUMBER(SEARCH("head of ",$C103)),"Head of Technology",IF(ISNUMBER(SEARCH("TDD BP",$C103)),"Business Partner",IF(OR(ISNUMBER(SEARCH("domain architect",$C103)),ISNUMBER(SEARCH("enterprise architect",$C103))),"Domain Architect",IF(ISNUMBER(SEARCH("delivery man",$C103)),"Delivery Manager",IF(OR(ISNUMBER(SEARCH("technology manager",$C103)),ISNUMBER(SEARCH("technology manger",$C103)),ISNUMBER(SEARCH("tech manager",$C103))),"Technology Manager","Squad")))))))</f>
        <v>Squad</v>
      </c>
      <c r="AS103" s="1136" t="str">
        <f>IF(TRIM($B103)="","",IFERROR(INDEX(Lists!$AA:$AA,MATCH($AP103,Lists!$Z:$Z,0)),$AP103))</f>
        <v>Deployment</v>
      </c>
      <c r="AT103" s="1136" t="str">
        <f>IF(TRIM($B103)="","",IF(IFERROR(INDEX(Lists!$AP$2:$AP$11,MATCH(ROW(),Lists!$AN$2:$AN$11,0)),"")&lt;&gt;"",IFERROR(INDEX(Lists!$AP$2:$AP$11,MATCH(ROW(),Lists!$AN$2:$AN$11,0)),""),IF(OR(LEFT($AJ103,3)="COE",$AJ103="EGI"),$AP103,IF($AR103&lt;&gt;"Squad",$AR103,$AP103))))</f>
        <v>Deployment</v>
      </c>
    </row>
    <row r="104" ht="18" customHeight="1" s="866">
      <c r="A104" s="1155" t="inlineStr">
        <is>
          <t>C</t>
        </is>
      </c>
      <c r="B104" s="1156" t="inlineStr">
        <is>
          <t>Viren Khatri</t>
        </is>
      </c>
      <c r="C104" s="1156" t="inlineStr">
        <is>
          <t>Data Migration Lead</t>
        </is>
      </c>
      <c r="D104" s="1158" t="inlineStr">
        <is>
          <t>Vacant</t>
        </is>
      </c>
      <c r="E104" s="1156" t="inlineStr">
        <is>
          <t>Technology Manager, Data</t>
        </is>
      </c>
      <c r="F104" s="1157" t="inlineStr">
        <is>
          <t>Ampol Retail &amp; Z</t>
        </is>
      </c>
      <c r="G104" s="1158" t="inlineStr">
        <is>
          <t>Z &amp; Group Retail</t>
        </is>
      </c>
      <c r="H104" s="1156" t="inlineStr">
        <is>
          <t>Z &amp; Group Retail, Data</t>
        </is>
      </c>
      <c r="I104" s="1156" t="inlineStr">
        <is>
          <t>Ampol Retail</t>
        </is>
      </c>
      <c r="J104" s="1158" t="inlineStr">
        <is>
          <t>EGI</t>
        </is>
      </c>
      <c r="K104" s="1156" t="inlineStr">
        <is>
          <t>EGI TDD</t>
        </is>
      </c>
      <c r="L104" s="1158" t="n"/>
      <c r="M104" s="1159" t="inlineStr">
        <is>
          <t>Australia</t>
        </is>
      </c>
      <c r="N104" s="1162" t="inlineStr">
        <is>
          <t>NA</t>
        </is>
      </c>
      <c r="O104" s="1160" t="n">
        <v>1</v>
      </c>
      <c r="P104" s="1162" t="n"/>
      <c r="Q104" s="1162" t="inlineStr">
        <is>
          <t>cxc</t>
        </is>
      </c>
      <c r="R104" s="1172" t="inlineStr">
        <is>
          <t>Daily</t>
        </is>
      </c>
      <c r="S104" s="1162" t="n">
        <v>1350</v>
      </c>
      <c r="T104" s="1163" t="n">
        <v>0</v>
      </c>
      <c r="U104" s="1163" t="n"/>
      <c r="V104" s="1158" t="n"/>
      <c r="W104" s="1158" t="n"/>
      <c r="X104" s="1158" t="n"/>
      <c r="Y104" s="1158" t="n"/>
      <c r="Z104" s="1158" t="n"/>
      <c r="AA104" s="1173">
        <f>IF(TRIM($B104)="","",IF(N($AU104)&gt;0,$AU104,IF(N($S104)&gt;0,$S104*Lists!$AG$15*(1+N($Z104)),N($U104)*(1+N($V104)+N($W104)+N($X104)+N($Z104))+N($Y104))))</f>
        <v>299700</v>
      </c>
      <c r="AJ104" s="865" t="str">
        <f>IF(TRIM($B104)="","",IF(IFERROR(INDEX(Lists!$AO$2:$AO$11,MATCH(ROW(),Lists!$AN$2:$AN$11,0)),"")&lt;&gt;"",IFERROR(INDEX(Lists!$AO$2:$AO$11,MATCH(ROW(),Lists!$AN$2:$AN$11,0)),""),IFERROR(INDEX(Lists!$U:$U,MATCH(TRIM($I104),Lists!$T:$T,0)),TRIM($I104))))</f>
        <v>Ampol Retail</v>
      </c>
      <c r="AK104" s="865" t="str">
        <f>IF(ISNUMBER(SEARCH("vacant",$B104)),"Vacant","Filled")</f>
        <v>Filled</v>
      </c>
      <c r="AL104" s="865" t="str">
        <f>IF($M104="NZ","NZ","AU")</f>
        <v>AU</v>
      </c>
      <c r="AM104" s="865">
        <f>COUNTIF($AJ$2:$AJ104,$AJ104)</f>
        <v>65</v>
      </c>
      <c r="AN104" s="865" t="str">
        <f>$AJ104&amp;"|"&amp;$AM104</f>
        <v>Ampol Retail|65</v>
      </c>
      <c r="AP104" s="865" t="str">
        <f>IF(TRIM($B104)="","",IF($AQ104=1,"Leadership",IFERROR(INDEX(Lists!$X:$X,MATCH(TRIM($K104),Lists!$W:$W,0)),IF(OR(TRIM($K104)="",LOWER(TRIM($K104))="na"),IF(TRIM($G104)="","Unassigned",TRIM($G104)),TRIM($K104)))))</f>
        <v>EGI TDD</v>
      </c>
      <c r="AQ104" s="865" t="b">
        <f>IF(TRIM($B104)="","",--OR(TRIM($K104)="Leadership",TRIM($J104)="Leadership"))</f>
        <v>0</v>
      </c>
      <c r="AR104" s="1136" t="str">
        <f>IF(TRIM($B104)="","",IF(IFERROR(INDEX(Lists!$AQ$2:$AQ$11,MATCH(ROW(),Lists!$AN$2:$AN$11,0)),"")&lt;&gt;"",IFERROR(INDEX(Lists!$AQ$2:$AQ$11,MATCH(ROW(),Lists!$AN$2:$AN$11,0)),""),IF(ISNUMBER(SEARCH("head of ",$C104)),"Head of Technology",IF(ISNUMBER(SEARCH("TDD BP",$C104)),"Business Partner",IF(OR(ISNUMBER(SEARCH("domain architect",$C104)),ISNUMBER(SEARCH("enterprise architect",$C104))),"Domain Architect",IF(ISNUMBER(SEARCH("delivery man",$C104)),"Delivery Manager",IF(OR(ISNUMBER(SEARCH("technology manager",$C104)),ISNUMBER(SEARCH("technology manger",$C104)),ISNUMBER(SEARCH("tech manager",$C104))),"Technology Manager","Squad")))))))</f>
        <v>Squad</v>
      </c>
      <c r="AS104" s="1136" t="str">
        <f>IF(TRIM($B104)="","",IFERROR(INDEX(Lists!$AA:$AA,MATCH($AP104,Lists!$Z:$Z,0)),$AP104))</f>
        <v>EGI TDD</v>
      </c>
      <c r="AT104" s="1136" t="str">
        <f>IF(TRIM($B104)="","",IF(IFERROR(INDEX(Lists!$AP$2:$AP$11,MATCH(ROW(),Lists!$AN$2:$AN$11,0)),"")&lt;&gt;"",IFERROR(INDEX(Lists!$AP$2:$AP$11,MATCH(ROW(),Lists!$AN$2:$AN$11,0)),""),IF(OR(LEFT($AJ104,3)="COE",$AJ104="EGI"),$AP104,IF($AR104&lt;&gt;"Squad",$AR104,$AP104))))</f>
        <v>EGI TDD</v>
      </c>
    </row>
    <row r="105" ht="18" customHeight="1" s="866">
      <c r="A105" s="1155" t="n">
        <v>99999100977</v>
      </c>
      <c r="B105" s="1156" t="inlineStr">
        <is>
          <t>Warren Grieve</t>
        </is>
      </c>
      <c r="C105" s="1156" t="inlineStr">
        <is>
          <t>Senior Site Systems Analyst</t>
        </is>
      </c>
      <c r="D105" s="1156" t="inlineStr">
        <is>
          <t>Callan McLaughlin</t>
        </is>
      </c>
      <c r="E105" s="1156" t="inlineStr">
        <is>
          <t>Technology Manager,  Site Systems</t>
        </is>
      </c>
      <c r="F105" s="1157" t="inlineStr">
        <is>
          <t>Ampol Retail &amp; Z</t>
        </is>
      </c>
      <c r="G105" s="1158" t="inlineStr">
        <is>
          <t>Z &amp; Group Retail</t>
        </is>
      </c>
      <c r="H105" s="1156" t="inlineStr">
        <is>
          <t>Z &amp; Group Retail, Site Systems</t>
        </is>
      </c>
      <c r="I105" s="1156" t="inlineStr">
        <is>
          <t>Z</t>
        </is>
      </c>
      <c r="J105" s="1158" t="inlineStr">
        <is>
          <t>Z Customer</t>
        </is>
      </c>
      <c r="K105" s="1156" t="inlineStr">
        <is>
          <t>Site Systems</t>
        </is>
      </c>
      <c r="L105" s="1158" t="n"/>
      <c r="M105" s="1159" t="inlineStr">
        <is>
          <t>NZ</t>
        </is>
      </c>
      <c r="N105" s="1160" t="inlineStr">
        <is>
          <t>CIA</t>
        </is>
      </c>
      <c r="O105" s="1161" t="n">
        <v>1</v>
      </c>
      <c r="P105" s="1160" t="n"/>
      <c r="Q105" s="1161" t="inlineStr">
        <is>
          <t>Permanent - Full Time</t>
        </is>
      </c>
      <c r="R105" s="1162" t="n"/>
      <c r="S105" s="1162" t="n"/>
      <c r="T105" s="1163" t="n">
        <v>116710</v>
      </c>
      <c r="U105" s="1164" t="n">
        <v>107373.2</v>
      </c>
      <c r="V105" s="1165" t="n">
        <v>0.15</v>
      </c>
      <c r="W105" s="1162" t="n"/>
      <c r="X105" s="1166" t="n">
        <v>0.05</v>
      </c>
      <c r="Y105" s="1907" t="n">
        <v>2910</v>
      </c>
      <c r="Z105" s="1166" t="n">
        <v>0.03</v>
      </c>
      <c r="AA105" s="1168">
        <f>IF(TRIM($B105)="","",IF(N($AU105)&gt;0,$AU105,IF(N($S105)&gt;0,$S105*Lists!$AG$15*(1+N($Z105)),N($U105)*(1+N($V105)+N($W105)+N($X105)+N($Z105))+N($Y105))))</f>
        <v>134979.036</v>
      </c>
      <c r="AJ105" s="865" t="str">
        <f>IF(TRIM($B105)="","",IF(IFERROR(INDEX(Lists!$AO$2:$AO$11,MATCH(ROW(),Lists!$AN$2:$AN$11,0)),"")&lt;&gt;"",IFERROR(INDEX(Lists!$AO$2:$AO$11,MATCH(ROW(),Lists!$AN$2:$AN$11,0)),""),IFERROR(INDEX(Lists!$U:$U,MATCH(TRIM($I105),Lists!$T:$T,0)),TRIM($I105))))</f>
        <v>Z Retail</v>
      </c>
      <c r="AK105" s="865" t="str">
        <f>IF(ISNUMBER(SEARCH("vacant",$B105)),"Vacant","Filled")</f>
        <v>Filled</v>
      </c>
      <c r="AL105" s="865" t="str">
        <f>IF($M105="NZ","NZ","AU")</f>
        <v>NZ</v>
      </c>
      <c r="AM105" s="865">
        <f>COUNTIF($AJ$2:$AJ105,$AJ105)</f>
        <v>39</v>
      </c>
      <c r="AN105" s="865" t="str">
        <f>$AJ105&amp;"|"&amp;$AM105</f>
        <v>Z Retail|39</v>
      </c>
      <c r="AP105" s="865" t="str">
        <f>IF(TRIM($B105)="","",IF($AQ105=1,"Leadership",IFERROR(INDEX(Lists!$X:$X,MATCH(TRIM($K105),Lists!$W:$W,0)),IF(OR(TRIM($K105)="",LOWER(TRIM($K105))="na"),IF(TRIM($G105)="","Unassigned",TRIM($G105)),TRIM($K105)))))</f>
        <v>Site Systems</v>
      </c>
      <c r="AQ105" s="865" t="b">
        <f>IF(TRIM($B105)="","",--OR(TRIM($K105)="Leadership",TRIM($J105)="Leadership"))</f>
        <v>0</v>
      </c>
      <c r="AR105" s="1136" t="str">
        <f>IF(TRIM($B105)="","",IF(IFERROR(INDEX(Lists!$AQ$2:$AQ$11,MATCH(ROW(),Lists!$AN$2:$AN$11,0)),"")&lt;&gt;"",IFERROR(INDEX(Lists!$AQ$2:$AQ$11,MATCH(ROW(),Lists!$AN$2:$AN$11,0)),""),IF(ISNUMBER(SEARCH("head of ",$C105)),"Head of Technology",IF(ISNUMBER(SEARCH("TDD BP",$C105)),"Business Partner",IF(OR(ISNUMBER(SEARCH("domain architect",$C105)),ISNUMBER(SEARCH("enterprise architect",$C105))),"Domain Architect",IF(ISNUMBER(SEARCH("delivery man",$C105)),"Delivery Manager",IF(OR(ISNUMBER(SEARCH("technology manager",$C105)),ISNUMBER(SEARCH("technology manger",$C105)),ISNUMBER(SEARCH("tech manager",$C105))),"Technology Manager","Squad")))))))</f>
        <v>Squad</v>
      </c>
      <c r="AS105" s="1136" t="str">
        <f>IF(TRIM($B105)="","",IFERROR(INDEX(Lists!$AA:$AA,MATCH($AP105,Lists!$Z:$Z,0)),$AP105))</f>
        <v>Site Systems</v>
      </c>
      <c r="AT105" s="1136" t="str">
        <f>IF(TRIM($B105)="","",IF(IFERROR(INDEX(Lists!$AP$2:$AP$11,MATCH(ROW(),Lists!$AN$2:$AN$11,0)),"")&lt;&gt;"",IFERROR(INDEX(Lists!$AP$2:$AP$11,MATCH(ROW(),Lists!$AN$2:$AN$11,0)),""),IF(OR(LEFT($AJ105,3)="COE",$AJ105="EGI"),$AP105,IF($AR105&lt;&gt;"Squad",$AR105,$AP105))))</f>
        <v>Site Systems</v>
      </c>
    </row>
    <row r="106" ht="18" customHeight="1" s="866">
      <c r="A106" s="1155" t="n">
        <v>114990</v>
      </c>
      <c r="B106" s="1156" t="inlineStr">
        <is>
          <t>Zhan Zhang</t>
        </is>
      </c>
      <c r="C106" s="1156" t="inlineStr">
        <is>
          <t>Solution Architect</t>
        </is>
      </c>
      <c r="D106" s="1156" t="inlineStr">
        <is>
          <t>Vedran Jukic</t>
        </is>
      </c>
      <c r="E106" s="1156" t="inlineStr">
        <is>
          <t>Technology Manager, Retail</t>
        </is>
      </c>
      <c r="F106" s="1157" t="inlineStr">
        <is>
          <t>Ampol Retail &amp; Z</t>
        </is>
      </c>
      <c r="G106" s="1158" t="inlineStr">
        <is>
          <t>Ampol Retail</t>
        </is>
      </c>
      <c r="H106" s="1156" t="inlineStr">
        <is>
          <t>Ampol Retail, Technology</t>
        </is>
      </c>
      <c r="I106" s="1156" t="inlineStr">
        <is>
          <t>Retail</t>
        </is>
      </c>
      <c r="J106" s="1158" t="inlineStr">
        <is>
          <t>Above Store</t>
        </is>
      </c>
      <c r="K106" s="1158" t="inlineStr">
        <is>
          <t>Above Store</t>
        </is>
      </c>
      <c r="L106" s="1158" t="n"/>
      <c r="M106" s="1159" t="inlineStr">
        <is>
          <t>Australia</t>
        </is>
      </c>
      <c r="N106" s="1160" t="inlineStr">
        <is>
          <t>CIC</t>
        </is>
      </c>
      <c r="O106" s="1160" t="n">
        <v>1</v>
      </c>
      <c r="P106" s="1160" t="n"/>
      <c r="Q106" s="1160" t="inlineStr">
        <is>
          <t>Permanent - Full Time</t>
        </is>
      </c>
      <c r="R106" s="1162" t="n"/>
      <c r="S106" s="1162" t="n"/>
      <c r="T106" s="1163" t="n">
        <v>182500</v>
      </c>
      <c r="U106" s="1164" t="n">
        <v>182500</v>
      </c>
      <c r="V106" s="1166" t="n">
        <v>0.12</v>
      </c>
      <c r="W106" s="1170" t="n">
        <v>0.055</v>
      </c>
      <c r="X106" s="1170" t="n">
        <v>0.12</v>
      </c>
      <c r="Y106" s="1171" t="n"/>
      <c r="Z106" s="1170" t="n">
        <v>0.04</v>
      </c>
      <c r="AA106" s="1168">
        <f>IF(TRIM($B106)="","",IF(N($AU106)&gt;0,$AU106,IF(N($S106)&gt;0,$S106*Lists!$AG$15*(1+N($Z106)),N($U106)*(1+N($V106)+N($W106)+N($X106)+N($Z106))+N($Y106))))</f>
        <v>243637.5</v>
      </c>
      <c r="AJ106" s="865" t="str">
        <f>IF(TRIM($B106)="","",IF(IFERROR(INDEX(Lists!$AO$2:$AO$11,MATCH(ROW(),Lists!$AN$2:$AN$11,0)),"")&lt;&gt;"",IFERROR(INDEX(Lists!$AO$2:$AO$11,MATCH(ROW(),Lists!$AN$2:$AN$11,0)),""),IFERROR(INDEX(Lists!$U:$U,MATCH(TRIM($I106),Lists!$T:$T,0)),TRIM($I106))))</f>
        <v>Ampol Retail</v>
      </c>
      <c r="AK106" s="865" t="str">
        <f>IF(ISNUMBER(SEARCH("vacant",$B106)),"Vacant","Filled")</f>
        <v>Filled</v>
      </c>
      <c r="AL106" s="865" t="str">
        <f>IF($M106="NZ","NZ","AU")</f>
        <v>AU</v>
      </c>
      <c r="AM106" s="865">
        <f>COUNTIF($AJ$2:$AJ106,$AJ106)</f>
        <v>66</v>
      </c>
      <c r="AN106" s="865" t="str">
        <f>$AJ106&amp;"|"&amp;$AM106</f>
        <v>Ampol Retail|66</v>
      </c>
      <c r="AP106" s="865" t="str">
        <f>IF(TRIM($B106)="","",IF($AQ106=1,"Leadership",IFERROR(INDEX(Lists!$X:$X,MATCH(TRIM($K106),Lists!$W:$W,0)),IF(OR(TRIM($K106)="",LOWER(TRIM($K106))="na"),IF(TRIM($G106)="","Unassigned",TRIM($G106)),TRIM($K106)))))</f>
        <v>Above Store</v>
      </c>
      <c r="AQ106" s="865" t="b">
        <f>IF(TRIM($B106)="","",--OR(TRIM($K106)="Leadership",TRIM($J106)="Leadership"))</f>
        <v>0</v>
      </c>
      <c r="AR106" s="1136" t="str">
        <f>IF(TRIM($B106)="","",IF(IFERROR(INDEX(Lists!$AQ$2:$AQ$11,MATCH(ROW(),Lists!$AN$2:$AN$11,0)),"")&lt;&gt;"",IFERROR(INDEX(Lists!$AQ$2:$AQ$11,MATCH(ROW(),Lists!$AN$2:$AN$11,0)),""),IF(ISNUMBER(SEARCH("head of ",$C106)),"Head of Technology",IF(ISNUMBER(SEARCH("TDD BP",$C106)),"Business Partner",IF(OR(ISNUMBER(SEARCH("domain architect",$C106)),ISNUMBER(SEARCH("enterprise architect",$C106))),"Domain Architect",IF(ISNUMBER(SEARCH("delivery man",$C106)),"Delivery Manager",IF(OR(ISNUMBER(SEARCH("technology manager",$C106)),ISNUMBER(SEARCH("technology manger",$C106)),ISNUMBER(SEARCH("tech manager",$C106))),"Technology Manager","Squad")))))))</f>
        <v>Squad</v>
      </c>
      <c r="AS106" s="1136" t="str">
        <f>IF(TRIM($B106)="","",IFERROR(INDEX(Lists!$AA:$AA,MATCH($AP106,Lists!$Z:$Z,0)),$AP106))</f>
        <v>Above Store</v>
      </c>
      <c r="AT106" s="1136" t="str">
        <f>IF(TRIM($B106)="","",IF(IFERROR(INDEX(Lists!$AP$2:$AP$11,MATCH(ROW(),Lists!$AN$2:$AN$11,0)),"")&lt;&gt;"",IFERROR(INDEX(Lists!$AP$2:$AP$11,MATCH(ROW(),Lists!$AN$2:$AN$11,0)),""),IF(OR(LEFT($AJ106,3)="COE",$AJ106="EGI"),$AP106,IF($AR106&lt;&gt;"Squad",$AR106,$AP106))))</f>
        <v>Above Store</v>
      </c>
    </row>
    <row r="107" ht="18" customHeight="1" s="866">
      <c r="A107" s="1155" t="n">
        <v>114829</v>
      </c>
      <c r="B107" s="1156" t="inlineStr">
        <is>
          <t>Zuan Zheng</t>
        </is>
      </c>
      <c r="C107" s="1156" t="inlineStr">
        <is>
          <t>Systems Analyst</t>
        </is>
      </c>
      <c r="D107" s="1156" t="inlineStr">
        <is>
          <t>Tracy Lee Reaper</t>
        </is>
      </c>
      <c r="E107" s="1156" t="inlineStr">
        <is>
          <t>Tech Manager, Merchandising &amp; WFM</t>
        </is>
      </c>
      <c r="F107" s="1157" t="inlineStr">
        <is>
          <t>Ampol Retail &amp; Z</t>
        </is>
      </c>
      <c r="G107" s="1158" t="inlineStr">
        <is>
          <t>Ampol Retail</t>
        </is>
      </c>
      <c r="H107" s="1156" t="inlineStr">
        <is>
          <t>Ampol Retail, Merch &amp; RTA</t>
        </is>
      </c>
      <c r="I107" s="1156" t="inlineStr">
        <is>
          <t>Retail</t>
        </is>
      </c>
      <c r="J107" s="1158" t="inlineStr">
        <is>
          <t>Above Store</t>
        </is>
      </c>
      <c r="K107" s="1158" t="inlineStr">
        <is>
          <t>Above Store</t>
        </is>
      </c>
      <c r="L107" s="1158" t="n"/>
      <c r="M107" s="1159" t="inlineStr">
        <is>
          <t>Singapore</t>
        </is>
      </c>
      <c r="N107" s="1160" t="inlineStr">
        <is>
          <t>CIB</t>
        </is>
      </c>
      <c r="O107" s="1160" t="n">
        <v>1</v>
      </c>
      <c r="P107" s="1160" t="n"/>
      <c r="Q107" s="1160" t="inlineStr">
        <is>
          <t>Permanent - Full Time</t>
        </is>
      </c>
      <c r="R107" s="1162" t="n"/>
      <c r="S107" s="1162" t="n"/>
      <c r="T107" s="1163" t="n">
        <v>133000</v>
      </c>
      <c r="U107" s="1164" t="n">
        <v>160930</v>
      </c>
      <c r="V107" s="1166" t="n">
        <v>0.25</v>
      </c>
      <c r="W107" s="1162" t="n"/>
      <c r="X107" s="1166" t="n">
        <v>0.17</v>
      </c>
      <c r="Y107" s="1907" t="n">
        <v>3310</v>
      </c>
      <c r="Z107" s="1207" t="n">
        <v>0.045</v>
      </c>
      <c r="AA107" s="1168">
        <f>IF(TRIM($B107)="","",IF(N($AU107)&gt;0,$AU107,IF(N($S107)&gt;0,$S107*Lists!$AG$15*(1+N($Z107)),N($U107)*(1+N($V107)+N($W107)+N($X107)+N($Z107))+N($Y107))))</f>
        <v>239072.45</v>
      </c>
      <c r="AJ107" s="865" t="str">
        <f>IF(TRIM($B107)="","",IF(IFERROR(INDEX(Lists!$AO$2:$AO$11,MATCH(ROW(),Lists!$AN$2:$AN$11,0)),"")&lt;&gt;"",IFERROR(INDEX(Lists!$AO$2:$AO$11,MATCH(ROW(),Lists!$AN$2:$AN$11,0)),""),IFERROR(INDEX(Lists!$U:$U,MATCH(TRIM($I107),Lists!$T:$T,0)),TRIM($I107))))</f>
        <v>Ampol Retail</v>
      </c>
      <c r="AK107" s="865" t="str">
        <f>IF(ISNUMBER(SEARCH("vacant",$B107)),"Vacant","Filled")</f>
        <v>Filled</v>
      </c>
      <c r="AL107" s="865" t="str">
        <f>IF($M107="NZ","NZ","AU")</f>
        <v>AU</v>
      </c>
      <c r="AM107" s="865">
        <f>COUNTIF($AJ$2:$AJ107,$AJ107)</f>
        <v>67</v>
      </c>
      <c r="AN107" s="865" t="str">
        <f>$AJ107&amp;"|"&amp;$AM107</f>
        <v>Ampol Retail|67</v>
      </c>
      <c r="AP107" s="865" t="str">
        <f>IF(TRIM($B107)="","",IF($AQ107=1,"Leadership",IFERROR(INDEX(Lists!$X:$X,MATCH(TRIM($K107),Lists!$W:$W,0)),IF(OR(TRIM($K107)="",LOWER(TRIM($K107))="na"),IF(TRIM($G107)="","Unassigned",TRIM($G107)),TRIM($K107)))))</f>
        <v>Above Store</v>
      </c>
      <c r="AQ107" s="865" t="b">
        <f>IF(TRIM($B107)="","",--OR(TRIM($K107)="Leadership",TRIM($J107)="Leadership"))</f>
        <v>0</v>
      </c>
      <c r="AR107" s="1136" t="str">
        <f>IF(TRIM($B107)="","",IF(IFERROR(INDEX(Lists!$AQ$2:$AQ$11,MATCH(ROW(),Lists!$AN$2:$AN$11,0)),"")&lt;&gt;"",IFERROR(INDEX(Lists!$AQ$2:$AQ$11,MATCH(ROW(),Lists!$AN$2:$AN$11,0)),""),IF(ISNUMBER(SEARCH("head of ",$C107)),"Head of Technology",IF(ISNUMBER(SEARCH("TDD BP",$C107)),"Business Partner",IF(OR(ISNUMBER(SEARCH("domain architect",$C107)),ISNUMBER(SEARCH("enterprise architect",$C107))),"Domain Architect",IF(ISNUMBER(SEARCH("delivery man",$C107)),"Delivery Manager",IF(OR(ISNUMBER(SEARCH("technology manager",$C107)),ISNUMBER(SEARCH("technology manger",$C107)),ISNUMBER(SEARCH("tech manager",$C107))),"Technology Manager","Squad")))))))</f>
        <v>Squad</v>
      </c>
      <c r="AS107" s="1136" t="str">
        <f>IF(TRIM($B107)="","",IFERROR(INDEX(Lists!$AA:$AA,MATCH($AP107,Lists!$Z:$Z,0)),$AP107))</f>
        <v>Above Store</v>
      </c>
      <c r="AT107" s="1136" t="str">
        <f>IF(TRIM($B107)="","",IF(IFERROR(INDEX(Lists!$AP$2:$AP$11,MATCH(ROW(),Lists!$AN$2:$AN$11,0)),"")&lt;&gt;"",IFERROR(INDEX(Lists!$AP$2:$AP$11,MATCH(ROW(),Lists!$AN$2:$AN$11,0)),""),IF(OR(LEFT($AJ107,3)="COE",$AJ107="EGI"),$AP107,IF($AR107&lt;&gt;"Squad",$AR107,$AP107))))</f>
        <v>Above Store</v>
      </c>
    </row>
    <row r="108" ht="18" customHeight="1" s="866">
      <c r="A108" s="1208" t="inlineStr">
        <is>
          <t>C</t>
        </is>
      </c>
      <c r="B108" s="1209" t="inlineStr">
        <is>
          <t>Aaron Lu</t>
        </is>
      </c>
      <c r="C108" s="1209" t="inlineStr">
        <is>
          <t>Engineer - BE</t>
        </is>
      </c>
      <c r="D108" s="1209" t="inlineStr">
        <is>
          <t>Vacant</t>
        </is>
      </c>
      <c r="E108" s="1209" t="inlineStr">
        <is>
          <t>Technology Manager, Digital Engineering</t>
        </is>
      </c>
      <c r="F108" s="1210" t="inlineStr">
        <is>
          <t>Customer</t>
        </is>
      </c>
      <c r="G108" s="1199" t="inlineStr">
        <is>
          <t>Digital</t>
        </is>
      </c>
      <c r="H108" s="1199" t="inlineStr">
        <is>
          <t>Tech, Digital Engineering</t>
        </is>
      </c>
      <c r="I108" s="1199" t="inlineStr">
        <is>
          <t>Ampol Customer</t>
        </is>
      </c>
      <c r="J108" s="1209" t="inlineStr">
        <is>
          <t>Ampol Digital</t>
        </is>
      </c>
      <c r="K108" s="1209" t="inlineStr">
        <is>
          <t>Ampol Web</t>
        </is>
      </c>
      <c r="L108" s="1199" t="n"/>
      <c r="M108" s="1211" t="inlineStr">
        <is>
          <t>Australia</t>
        </is>
      </c>
      <c r="N108" s="1199" t="inlineStr">
        <is>
          <t>NA</t>
        </is>
      </c>
      <c r="O108" s="1199" t="n">
        <v>1</v>
      </c>
      <c r="P108" s="1199" t="n"/>
      <c r="Q108" s="1199" t="inlineStr">
        <is>
          <t>Permanent - Full Time</t>
        </is>
      </c>
      <c r="R108" s="1199" t="n"/>
      <c r="S108" s="1199" t="n"/>
      <c r="T108" s="1212" t="n">
        <v>176280</v>
      </c>
      <c r="U108" s="1213" t="n">
        <v>176280</v>
      </c>
      <c r="V108" s="1214" t="n">
        <v>0.12</v>
      </c>
      <c r="W108" s="1215" t="n">
        <v>0.055</v>
      </c>
      <c r="X108" s="1215" t="n">
        <v>0.12</v>
      </c>
      <c r="Y108" s="1215" t="n"/>
      <c r="Z108" s="1215" t="n">
        <v>0.04</v>
      </c>
      <c r="AA108" s="1216">
        <f>IF(TRIM($B108)="","",IF(N($AU108)&gt;0,$AU108,IF(N($S108)&gt;0,$S108*Lists!$AG$15*(1+N($Z108)),N($U108)*(1+N($V108)+N($W108)+N($X108)+N($Z108))+N($Y108))))</f>
        <v>235333.8</v>
      </c>
      <c r="AB108" s="1217" t="n"/>
      <c r="AC108" s="1217" t="n"/>
      <c r="AD108" s="1217" t="n"/>
      <c r="AE108" s="1217" t="n"/>
      <c r="AF108" s="1217" t="n"/>
      <c r="AG108" s="1217" t="n"/>
      <c r="AJ108" s="865" t="str">
        <f>IF(TRIM($B108)="","",IF(IFERROR(INDEX(Lists!$AO$2:$AO$11,MATCH(ROW(),Lists!$AN$2:$AN$11,0)),"")&lt;&gt;"",IFERROR(INDEX(Lists!$AO$2:$AO$11,MATCH(ROW(),Lists!$AN$2:$AN$11,0)),""),IFERROR(INDEX(Lists!$U:$U,MATCH(TRIM($I108),Lists!$T:$T,0)),TRIM($I108))))</f>
        <v>Customer</v>
      </c>
      <c r="AK108" s="865" t="str">
        <f>IF(ISNUMBER(SEARCH("vacant",$B108)),"Vacant","Filled")</f>
        <v>Filled</v>
      </c>
      <c r="AL108" s="865" t="str">
        <f>IF($M108="NZ","NZ","AU")</f>
        <v>AU</v>
      </c>
      <c r="AM108" s="865">
        <f>COUNTIF($AJ$2:$AJ108,$AJ108)</f>
        <v>1</v>
      </c>
      <c r="AN108" s="865" t="str">
        <f>$AJ108&amp;"|"&amp;$AM108</f>
        <v>Customer|1</v>
      </c>
      <c r="AP108" s="865" t="str">
        <f>IF(TRIM($B108)="","",IF($AQ108=1,"Leadership",IFERROR(INDEX(Lists!$X:$X,MATCH(TRIM($K108),Lists!$W:$W,0)),IF(OR(TRIM($K108)="",LOWER(TRIM($K108))="na"),IF(TRIM($G108)="","Unassigned",TRIM($G108)),TRIM($K108)))))</f>
        <v>Ampol Web</v>
      </c>
      <c r="AQ108" s="865" t="b">
        <f>IF(TRIM($B108)="","",--OR(TRIM($K108)="Leadership",TRIM($J108)="Leadership"))</f>
        <v>0</v>
      </c>
      <c r="AR108" s="1136" t="str">
        <f>IF(TRIM($B108)="","",IF(IFERROR(INDEX(Lists!$AQ$2:$AQ$11,MATCH(ROW(),Lists!$AN$2:$AN$11,0)),"")&lt;&gt;"",IFERROR(INDEX(Lists!$AQ$2:$AQ$11,MATCH(ROW(),Lists!$AN$2:$AN$11,0)),""),IF(ISNUMBER(SEARCH("head of ",$C108)),"Head of Technology",IF(ISNUMBER(SEARCH("TDD BP",$C108)),"Business Partner",IF(OR(ISNUMBER(SEARCH("domain architect",$C108)),ISNUMBER(SEARCH("enterprise architect",$C108))),"Domain Architect",IF(ISNUMBER(SEARCH("delivery man",$C108)),"Delivery Manager",IF(OR(ISNUMBER(SEARCH("technology manager",$C108)),ISNUMBER(SEARCH("technology manger",$C108)),ISNUMBER(SEARCH("tech manager",$C108))),"Technology Manager","Squad")))))))</f>
        <v>Squad</v>
      </c>
      <c r="AS108" s="1136" t="str">
        <f>IF(TRIM($B108)="","",IFERROR(INDEX(Lists!$AA:$AA,MATCH($AP108,Lists!$Z:$Z,0)),$AP108))</f>
        <v>Ampol Web</v>
      </c>
      <c r="AT108" s="1136" t="str">
        <f>IF(TRIM($B108)="","",IF(IFERROR(INDEX(Lists!$AP$2:$AP$11,MATCH(ROW(),Lists!$AN$2:$AN$11,0)),"")&lt;&gt;"",IFERROR(INDEX(Lists!$AP$2:$AP$11,MATCH(ROW(),Lists!$AN$2:$AN$11,0)),""),IF(OR(LEFT($AJ108,3)="COE",$AJ108="EGI"),$AP108,IF($AR108&lt;&gt;"Squad",$AR108,$AP108))))</f>
        <v>Ampol Web</v>
      </c>
    </row>
    <row r="109" ht="18" customHeight="1" s="866">
      <c r="A109" s="1208" t="n">
        <v>116408</v>
      </c>
      <c r="B109" s="1209" t="inlineStr">
        <is>
          <t>Abhilash Reddy</t>
        </is>
      </c>
      <c r="C109" s="1209" t="inlineStr">
        <is>
          <t>Project Manager</t>
        </is>
      </c>
      <c r="D109" s="1209" t="inlineStr">
        <is>
          <t>Vacant</t>
        </is>
      </c>
      <c r="E109" s="1209" t="inlineStr">
        <is>
          <t>Program Manager</t>
        </is>
      </c>
      <c r="F109" s="1210" t="inlineStr">
        <is>
          <t>Customer</t>
        </is>
      </c>
      <c r="G109" s="1199" t="inlineStr">
        <is>
          <t>Customer, PMO</t>
        </is>
      </c>
      <c r="H109" s="1209" t="n"/>
      <c r="I109" s="1199" t="inlineStr">
        <is>
          <t>Ampol Customer</t>
        </is>
      </c>
      <c r="J109" s="1209" t="inlineStr">
        <is>
          <t>Ampol Digital</t>
        </is>
      </c>
      <c r="K109" s="1209" t="inlineStr">
        <is>
          <t>Leadership</t>
        </is>
      </c>
      <c r="L109" s="1199" t="n"/>
      <c r="M109" s="1211" t="inlineStr">
        <is>
          <t>Australia</t>
        </is>
      </c>
      <c r="N109" s="1199" t="inlineStr">
        <is>
          <t>CIC</t>
        </is>
      </c>
      <c r="O109" s="1199" t="n">
        <v>1</v>
      </c>
      <c r="P109" s="1199" t="n"/>
      <c r="Q109" s="1218" t="inlineStr">
        <is>
          <t>Contractor</t>
        </is>
      </c>
      <c r="R109" s="1218" t="inlineStr">
        <is>
          <t>?</t>
        </is>
      </c>
      <c r="S109" s="1199" t="n">
        <v>1200</v>
      </c>
      <c r="T109" s="1212" t="n">
        <v>0</v>
      </c>
      <c r="U109" s="1212" t="n"/>
      <c r="V109" s="1199" t="n"/>
      <c r="W109" s="1199" t="n"/>
      <c r="X109" s="1199" t="n"/>
      <c r="Y109" s="1199" t="n"/>
      <c r="Z109" s="1199" t="n"/>
      <c r="AA109" s="1219">
        <f>IF(TRIM($B109)="","",IF(N($AU109)&gt;0,$AU109,IF(N($S109)&gt;0,$S109*Lists!$AG$15*(1+N($Z109)),N($U109)*(1+N($V109)+N($W109)+N($X109)+N($Z109))+N($Y109))))</f>
        <v>266400</v>
      </c>
      <c r="AB109" s="1217" t="n"/>
      <c r="AC109" s="1217" t="n"/>
      <c r="AD109" s="1217" t="n"/>
      <c r="AE109" s="1217" t="n"/>
      <c r="AF109" s="1217" t="n"/>
      <c r="AG109" s="1217" t="n"/>
      <c r="AJ109" s="865" t="str">
        <f>IF(TRIM($B109)="","",IF(IFERROR(INDEX(Lists!$AO$2:$AO$11,MATCH(ROW(),Lists!$AN$2:$AN$11,0)),"")&lt;&gt;"",IFERROR(INDEX(Lists!$AO$2:$AO$11,MATCH(ROW(),Lists!$AN$2:$AN$11,0)),""),IFERROR(INDEX(Lists!$U:$U,MATCH(TRIM($I109),Lists!$T:$T,0)),TRIM($I109))))</f>
        <v>Customer</v>
      </c>
      <c r="AK109" s="865" t="str">
        <f>IF(ISNUMBER(SEARCH("vacant",$B109)),"Vacant","Filled")</f>
        <v>Filled</v>
      </c>
      <c r="AL109" s="865" t="str">
        <f>IF($M109="NZ","NZ","AU")</f>
        <v>AU</v>
      </c>
      <c r="AM109" s="865">
        <f>COUNTIF($AJ$2:$AJ109,$AJ109)</f>
        <v>2</v>
      </c>
      <c r="AN109" s="865" t="str">
        <f>$AJ109&amp;"|"&amp;$AM109</f>
        <v>Customer|2</v>
      </c>
      <c r="AP109" s="865" t="str">
        <f>IF(TRIM($B109)="","",IF($AQ109=1,"Leadership",IFERROR(INDEX(Lists!$X:$X,MATCH(TRIM($K109),Lists!$W:$W,0)),IF(OR(TRIM($K109)="",LOWER(TRIM($K109))="na"),IF(TRIM($G109)="","Unassigned",TRIM($G109)),TRIM($K109)))))</f>
        <v>Leadership</v>
      </c>
      <c r="AQ109" s="865" t="b">
        <f>IF(TRIM($B109)="","",--OR(TRIM($K109)="Leadership",TRIM($J109)="Leadership"))</f>
        <v>1</v>
      </c>
      <c r="AR109" s="1136" t="str">
        <f>IF(TRIM($B109)="","",IF(IFERROR(INDEX(Lists!$AQ$2:$AQ$11,MATCH(ROW(),Lists!$AN$2:$AN$11,0)),"")&lt;&gt;"",IFERROR(INDEX(Lists!$AQ$2:$AQ$11,MATCH(ROW(),Lists!$AN$2:$AN$11,0)),""),IF(ISNUMBER(SEARCH("head of ",$C109)),"Head of Technology",IF(ISNUMBER(SEARCH("TDD BP",$C109)),"Business Partner",IF(OR(ISNUMBER(SEARCH("domain architect",$C109)),ISNUMBER(SEARCH("enterprise architect",$C109))),"Domain Architect",IF(ISNUMBER(SEARCH("delivery man",$C109)),"Delivery Manager",IF(OR(ISNUMBER(SEARCH("technology manager",$C109)),ISNUMBER(SEARCH("technology manger",$C109)),ISNUMBER(SEARCH("tech manager",$C109))),"Technology Manager","Squad")))))))</f>
        <v>Squad</v>
      </c>
      <c r="AS109" s="1136" t="str">
        <f>IF(TRIM($B109)="","",IFERROR(INDEX(Lists!$AA:$AA,MATCH($AP109,Lists!$Z:$Z,0)),$AP109))</f>
        <v>Leadership</v>
      </c>
      <c r="AT109" s="1136" t="str">
        <f>IF(TRIM($B109)="","",IF(IFERROR(INDEX(Lists!$AP$2:$AP$11,MATCH(ROW(),Lists!$AN$2:$AN$11,0)),"")&lt;&gt;"",IFERROR(INDEX(Lists!$AP$2:$AP$11,MATCH(ROW(),Lists!$AN$2:$AN$11,0)),""),IF(OR(LEFT($AJ109,3)="COE",$AJ109="EGI"),$AP109,IF($AR109&lt;&gt;"Squad",$AR109,$AP109))))</f>
        <v>Leadership</v>
      </c>
    </row>
    <row r="110" ht="18" customHeight="1" s="866">
      <c r="A110" s="1208" t="n"/>
      <c r="B110" s="1209" t="inlineStr">
        <is>
          <t>Adriel Jeyanandhan</t>
        </is>
      </c>
      <c r="C110" s="1209" t="inlineStr">
        <is>
          <t>Delivery Manager</t>
        </is>
      </c>
      <c r="D110" s="1209" t="inlineStr">
        <is>
          <t>Shona Paul</t>
        </is>
      </c>
      <c r="E110" s="1209" t="inlineStr">
        <is>
          <t>Head of Technology, Digital</t>
        </is>
      </c>
      <c r="F110" s="1210" t="inlineStr">
        <is>
          <t>Customer</t>
        </is>
      </c>
      <c r="G110" s="1199" t="inlineStr">
        <is>
          <t>Digital</t>
        </is>
      </c>
      <c r="H110" s="1199" t="inlineStr">
        <is>
          <t>Digital, Delivery</t>
        </is>
      </c>
      <c r="I110" s="1199" t="inlineStr">
        <is>
          <t>Ampol Customer</t>
        </is>
      </c>
      <c r="J110" s="1209" t="inlineStr">
        <is>
          <t>Ampol Digital</t>
        </is>
      </c>
      <c r="K110" s="1209" t="inlineStr">
        <is>
          <t>Leadership</t>
        </is>
      </c>
      <c r="L110" s="1199" t="n"/>
      <c r="M110" s="1211" t="inlineStr">
        <is>
          <t>Australia</t>
        </is>
      </c>
      <c r="N110" s="1199" t="inlineStr">
        <is>
          <t>CSB</t>
        </is>
      </c>
      <c r="O110" s="1199" t="n">
        <v>1</v>
      </c>
      <c r="P110" s="1199" t="n"/>
      <c r="Q110" s="1199" t="inlineStr">
        <is>
          <t>Permanent - Full Time</t>
        </is>
      </c>
      <c r="R110" s="1218" t="n"/>
      <c r="S110" s="1199" t="n"/>
      <c r="T110" s="1212" t="n">
        <v>163310</v>
      </c>
      <c r="U110" s="1212" t="n">
        <v>163310</v>
      </c>
      <c r="V110" s="1199" t="n">
        <v>0.12</v>
      </c>
      <c r="W110" s="1199" t="n">
        <v>0.055</v>
      </c>
      <c r="X110" s="1199" t="n">
        <v>0.12</v>
      </c>
      <c r="Y110" s="1199" t="n"/>
      <c r="Z110" s="1199" t="n">
        <v>0.04</v>
      </c>
      <c r="AA110" s="1219">
        <f>IF(TRIM($B110)="","",IF(N($AU110)&gt;0,$AU110,IF(N($S110)&gt;0,$S110*Lists!$AG$15*(1+N($Z110)),N($U110)*(1+N($V110)+N($W110)+N($X110)+N($Z110))+N($Y110))))</f>
        <v>218018.85</v>
      </c>
      <c r="AB110" s="1217" t="n"/>
      <c r="AC110" s="1217" t="n"/>
      <c r="AD110" s="1217" t="n"/>
      <c r="AE110" s="1217" t="n"/>
      <c r="AF110" s="1217" t="n"/>
      <c r="AG110" s="1217" t="n"/>
      <c r="AJ110" s="865" t="str">
        <f>IF(TRIM($B110)="","",IF(IFERROR(INDEX(Lists!$AO$2:$AO$11,MATCH(ROW(),Lists!$AN$2:$AN$11,0)),"")&lt;&gt;"",IFERROR(INDEX(Lists!$AO$2:$AO$11,MATCH(ROW(),Lists!$AN$2:$AN$11,0)),""),IFERROR(INDEX(Lists!$U:$U,MATCH(TRIM($I110),Lists!$T:$T,0)),TRIM($I110))))</f>
        <v>Customer</v>
      </c>
      <c r="AK110" s="865" t="str">
        <f>IF(ISNUMBER(SEARCH("vacant",$B110)),"Vacant","Filled")</f>
        <v>Filled</v>
      </c>
      <c r="AL110" s="865" t="str">
        <f>IF($M110="NZ","NZ","AU")</f>
        <v>AU</v>
      </c>
      <c r="AM110" s="865">
        <f>COUNTIF($AJ$2:$AJ110,$AJ110)</f>
        <v>3</v>
      </c>
      <c r="AN110" s="865" t="str">
        <f>$AJ110&amp;"|"&amp;$AM110</f>
        <v>Customer|3</v>
      </c>
      <c r="AP110" s="865" t="str">
        <f>IF(TRIM($B110)="","",IF($AQ110=1,"Leadership",IFERROR(INDEX(Lists!$X:$X,MATCH(TRIM($K110),Lists!$W:$W,0)),IF(OR(TRIM($K110)="",LOWER(TRIM($K110))="na"),IF(TRIM($G110)="","Unassigned",TRIM($G110)),TRIM($K110)))))</f>
        <v>Leadership</v>
      </c>
      <c r="AQ110" s="865" t="b">
        <f>IF(TRIM($B110)="","",--OR(TRIM($K110)="Leadership",TRIM($J110)="Leadership"))</f>
        <v>1</v>
      </c>
      <c r="AR110" s="1136" t="str">
        <f>IF(TRIM($B110)="","",IF(IFERROR(INDEX(Lists!$AQ$2:$AQ$11,MATCH(ROW(),Lists!$AN$2:$AN$11,0)),"")&lt;&gt;"",IFERROR(INDEX(Lists!$AQ$2:$AQ$11,MATCH(ROW(),Lists!$AN$2:$AN$11,0)),""),IF(ISNUMBER(SEARCH("head of ",$C110)),"Head of Technology",IF(ISNUMBER(SEARCH("TDD BP",$C110)),"Business Partner",IF(OR(ISNUMBER(SEARCH("domain architect",$C110)),ISNUMBER(SEARCH("enterprise architect",$C110))),"Domain Architect",IF(ISNUMBER(SEARCH("delivery man",$C110)),"Delivery Manager",IF(OR(ISNUMBER(SEARCH("technology manager",$C110)),ISNUMBER(SEARCH("technology manger",$C110)),ISNUMBER(SEARCH("tech manager",$C110))),"Technology Manager","Squad")))))))</f>
        <v>Delivery Manager</v>
      </c>
      <c r="AS110" s="1136" t="str">
        <f>IF(TRIM($B110)="","",IFERROR(INDEX(Lists!$AA:$AA,MATCH($AP110,Lists!$Z:$Z,0)),$AP110))</f>
        <v>Leadership</v>
      </c>
      <c r="AT110" s="1136" t="str">
        <f>IF(TRIM($B110)="","",IF(IFERROR(INDEX(Lists!$AP$2:$AP$11,MATCH(ROW(),Lists!$AN$2:$AN$11,0)),"")&lt;&gt;"",IFERROR(INDEX(Lists!$AP$2:$AP$11,MATCH(ROW(),Lists!$AN$2:$AN$11,0)),""),IF(OR(LEFT($AJ110,3)="COE",$AJ110="EGI"),$AP110,IF($AR110&lt;&gt;"Squad",$AR110,$AP110))))</f>
        <v>Delivery Manager</v>
      </c>
    </row>
    <row r="111" ht="18" customHeight="1" s="866">
      <c r="A111" s="1208" t="inlineStr">
        <is>
          <t>C</t>
        </is>
      </c>
      <c r="B111" s="1209" t="inlineStr">
        <is>
          <t>Alan Peng</t>
        </is>
      </c>
      <c r="C111" s="1209" t="inlineStr">
        <is>
          <t>Delivery Lead</t>
        </is>
      </c>
      <c r="D111" s="1199" t="inlineStr">
        <is>
          <t>Vacant</t>
        </is>
      </c>
      <c r="E111" s="1209" t="inlineStr">
        <is>
          <t>Delivery Manager, Digital</t>
        </is>
      </c>
      <c r="F111" s="1210" t="inlineStr">
        <is>
          <t>Customer</t>
        </is>
      </c>
      <c r="G111" s="1199" t="inlineStr">
        <is>
          <t>Digital</t>
        </is>
      </c>
      <c r="H111" s="1199" t="inlineStr">
        <is>
          <t>Digital, Delivery</t>
        </is>
      </c>
      <c r="I111" s="1199" t="inlineStr">
        <is>
          <t>Ampol Customer</t>
        </is>
      </c>
      <c r="J111" s="1209" t="inlineStr">
        <is>
          <t>EGI</t>
        </is>
      </c>
      <c r="K111" s="1209" t="inlineStr">
        <is>
          <t>EGI Customer</t>
        </is>
      </c>
      <c r="L111" s="1199" t="n"/>
      <c r="M111" s="1211" t="inlineStr">
        <is>
          <t>Australia</t>
        </is>
      </c>
      <c r="N111" s="1199" t="inlineStr">
        <is>
          <t>NA</t>
        </is>
      </c>
      <c r="O111" s="1199" t="n">
        <v>1</v>
      </c>
      <c r="P111" s="1199" t="n"/>
      <c r="Q111" s="1199" t="inlineStr">
        <is>
          <t>Permanent - Full Time</t>
        </is>
      </c>
      <c r="R111" s="1199" t="n"/>
      <c r="S111" s="1199" t="n"/>
      <c r="T111" s="1212" t="n">
        <v>161830</v>
      </c>
      <c r="U111" s="1213" t="n">
        <v>161830</v>
      </c>
      <c r="V111" s="1214" t="n">
        <v>0.12</v>
      </c>
      <c r="W111" s="1215" t="n">
        <v>0.055</v>
      </c>
      <c r="X111" s="1215" t="n">
        <v>0.12</v>
      </c>
      <c r="Y111" s="1215" t="n"/>
      <c r="Z111" s="1215" t="n">
        <v>0.04</v>
      </c>
      <c r="AA111" s="1216">
        <f>IF(TRIM($B111)="","",IF(N($AU111)&gt;0,$AU111,IF(N($S111)&gt;0,$S111*Lists!$AG$15*(1+N($Z111)),N($U111)*(1+N($V111)+N($W111)+N($X111)+N($Z111))+N($Y111))))</f>
        <v>216043.05</v>
      </c>
      <c r="AB111" s="1217" t="n"/>
      <c r="AC111" s="1217" t="n"/>
      <c r="AD111" s="1217" t="n"/>
      <c r="AE111" s="1217" t="n"/>
      <c r="AF111" s="1217" t="n"/>
      <c r="AG111" s="1217" t="n"/>
      <c r="AJ111" s="865" t="str">
        <f>IF(TRIM($B111)="","",IF(IFERROR(INDEX(Lists!$AO$2:$AO$11,MATCH(ROW(),Lists!$AN$2:$AN$11,0)),"")&lt;&gt;"",IFERROR(INDEX(Lists!$AO$2:$AO$11,MATCH(ROW(),Lists!$AN$2:$AN$11,0)),""),IFERROR(INDEX(Lists!$U:$U,MATCH(TRIM($I111),Lists!$T:$T,0)),TRIM($I111))))</f>
        <v>Customer</v>
      </c>
      <c r="AK111" s="865" t="str">
        <f>IF(ISNUMBER(SEARCH("vacant",$B111)),"Vacant","Filled")</f>
        <v>Filled</v>
      </c>
      <c r="AL111" s="865" t="str">
        <f>IF($M111="NZ","NZ","AU")</f>
        <v>AU</v>
      </c>
      <c r="AM111" s="865">
        <f>COUNTIF($AJ$2:$AJ111,$AJ111)</f>
        <v>4</v>
      </c>
      <c r="AN111" s="865" t="str">
        <f>$AJ111&amp;"|"&amp;$AM111</f>
        <v>Customer|4</v>
      </c>
      <c r="AP111" s="865" t="str">
        <f>IF(TRIM($B111)="","",IF($AQ111=1,"Leadership",IFERROR(INDEX(Lists!$X:$X,MATCH(TRIM($K111),Lists!$W:$W,0)),IF(OR(TRIM($K111)="",LOWER(TRIM($K111))="na"),IF(TRIM($G111)="","Unassigned",TRIM($G111)),TRIM($K111)))))</f>
        <v>EGI Customer</v>
      </c>
      <c r="AQ111" s="865" t="b">
        <f>IF(TRIM($B111)="","",--OR(TRIM($K111)="Leadership",TRIM($J111)="Leadership"))</f>
        <v>0</v>
      </c>
      <c r="AR111" s="1136" t="str">
        <f>IF(TRIM($B111)="","",IF(IFERROR(INDEX(Lists!$AQ$2:$AQ$11,MATCH(ROW(),Lists!$AN$2:$AN$11,0)),"")&lt;&gt;"",IFERROR(INDEX(Lists!$AQ$2:$AQ$11,MATCH(ROW(),Lists!$AN$2:$AN$11,0)),""),IF(ISNUMBER(SEARCH("head of ",$C111)),"Head of Technology",IF(ISNUMBER(SEARCH("TDD BP",$C111)),"Business Partner",IF(OR(ISNUMBER(SEARCH("domain architect",$C111)),ISNUMBER(SEARCH("enterprise architect",$C111))),"Domain Architect",IF(ISNUMBER(SEARCH("delivery man",$C111)),"Delivery Manager",IF(OR(ISNUMBER(SEARCH("technology manager",$C111)),ISNUMBER(SEARCH("technology manger",$C111)),ISNUMBER(SEARCH("tech manager",$C111))),"Technology Manager","Squad")))))))</f>
        <v>Squad</v>
      </c>
      <c r="AS111" s="1136" t="str">
        <f>IF(TRIM($B111)="","",IFERROR(INDEX(Lists!$AA:$AA,MATCH($AP111,Lists!$Z:$Z,0)),$AP111))</f>
        <v>EGI Customer</v>
      </c>
      <c r="AT111" s="1136" t="str">
        <f>IF(TRIM($B111)="","",IF(IFERROR(INDEX(Lists!$AP$2:$AP$11,MATCH(ROW(),Lists!$AN$2:$AN$11,0)),"")&lt;&gt;"",IFERROR(INDEX(Lists!$AP$2:$AP$11,MATCH(ROW(),Lists!$AN$2:$AN$11,0)),""),IF(OR(LEFT($AJ111,3)="COE",$AJ111="EGI"),$AP111,IF($AR111&lt;&gt;"Squad",$AR111,$AP111))))</f>
        <v>EGI Customer</v>
      </c>
    </row>
    <row r="112" ht="18" customHeight="1" s="866">
      <c r="A112" s="1208" t="n">
        <v>113463</v>
      </c>
      <c r="B112" s="1209" t="inlineStr">
        <is>
          <t>Alisha Allport</t>
        </is>
      </c>
      <c r="C112" s="1209" t="inlineStr">
        <is>
          <t>Principal Experience Designer</t>
        </is>
      </c>
      <c r="D112" s="1209" t="inlineStr">
        <is>
          <t>Byron Thornhill</t>
        </is>
      </c>
      <c r="E112" s="1209" t="inlineStr">
        <is>
          <t>Design Manager</t>
        </is>
      </c>
      <c r="F112" s="1210" t="inlineStr">
        <is>
          <t>Customer</t>
        </is>
      </c>
      <c r="G112" s="1199" t="inlineStr">
        <is>
          <t>Digital</t>
        </is>
      </c>
      <c r="H112" s="1199" t="inlineStr">
        <is>
          <t>Digital, Design</t>
        </is>
      </c>
      <c r="I112" s="1199" t="inlineStr">
        <is>
          <t>Ampol Customer</t>
        </is>
      </c>
      <c r="J112" s="1209" t="inlineStr">
        <is>
          <t>Ampol Digital</t>
        </is>
      </c>
      <c r="K112" s="1209" t="inlineStr">
        <is>
          <t>Ampol App</t>
        </is>
      </c>
      <c r="L112" s="1199" t="n"/>
      <c r="M112" s="1211" t="inlineStr">
        <is>
          <t>Australia</t>
        </is>
      </c>
      <c r="N112" s="1199" t="inlineStr">
        <is>
          <t>CIC</t>
        </is>
      </c>
      <c r="O112" s="1199" t="n">
        <v>1</v>
      </c>
      <c r="P112" s="1199" t="n"/>
      <c r="Q112" s="1199" t="inlineStr">
        <is>
          <t>Permanent - Full Time</t>
        </is>
      </c>
      <c r="R112" s="1199" t="n"/>
      <c r="S112" s="1199" t="n"/>
      <c r="T112" s="1212" t="n">
        <v>111380</v>
      </c>
      <c r="U112" s="1213" t="n">
        <v>111380</v>
      </c>
      <c r="V112" s="1214" t="n">
        <v>0.1</v>
      </c>
      <c r="W112" s="1215" t="n">
        <v>0.055</v>
      </c>
      <c r="X112" s="1215" t="n">
        <v>0.12</v>
      </c>
      <c r="Y112" s="1215" t="n"/>
      <c r="Z112" s="1215" t="n">
        <v>0.04</v>
      </c>
      <c r="AA112" s="1216">
        <f>IF(TRIM($B112)="","",IF(N($AU112)&gt;0,$AU112,IF(N($S112)&gt;0,$S112*Lists!$AG$15*(1+N($Z112)),N($U112)*(1+N($V112)+N($W112)+N($X112)+N($Z112))+N($Y112))))</f>
        <v>146464.7</v>
      </c>
      <c r="AB112" s="1217" t="n"/>
      <c r="AC112" s="1217" t="n"/>
      <c r="AD112" s="1217" t="n"/>
      <c r="AE112" s="1217" t="n"/>
      <c r="AF112" s="1217" t="n"/>
      <c r="AG112" s="1217" t="n"/>
      <c r="AJ112" s="865" t="str">
        <f>IF(TRIM($B112)="","",IF(IFERROR(INDEX(Lists!$AO$2:$AO$11,MATCH(ROW(),Lists!$AN$2:$AN$11,0)),"")&lt;&gt;"",IFERROR(INDEX(Lists!$AO$2:$AO$11,MATCH(ROW(),Lists!$AN$2:$AN$11,0)),""),IFERROR(INDEX(Lists!$U:$U,MATCH(TRIM($I112),Lists!$T:$T,0)),TRIM($I112))))</f>
        <v>Customer</v>
      </c>
      <c r="AK112" s="865" t="str">
        <f>IF(ISNUMBER(SEARCH("vacant",$B112)),"Vacant","Filled")</f>
        <v>Filled</v>
      </c>
      <c r="AL112" s="865" t="str">
        <f>IF($M112="NZ","NZ","AU")</f>
        <v>AU</v>
      </c>
      <c r="AM112" s="865">
        <f>COUNTIF($AJ$2:$AJ112,$AJ112)</f>
        <v>5</v>
      </c>
      <c r="AN112" s="865" t="str">
        <f>$AJ112&amp;"|"&amp;$AM112</f>
        <v>Customer|5</v>
      </c>
      <c r="AP112" s="865" t="str">
        <f>IF(TRIM($B112)="","",IF($AQ112=1,"Leadership",IFERROR(INDEX(Lists!$X:$X,MATCH(TRIM($K112),Lists!$W:$W,0)),IF(OR(TRIM($K112)="",LOWER(TRIM($K112))="na"),IF(TRIM($G112)="","Unassigned",TRIM($G112)),TRIM($K112)))))</f>
        <v>Ampol App</v>
      </c>
      <c r="AQ112" s="865" t="b">
        <f>IF(TRIM($B112)="","",--OR(TRIM($K112)="Leadership",TRIM($J112)="Leadership"))</f>
        <v>0</v>
      </c>
      <c r="AR112" s="1136" t="str">
        <f>IF(TRIM($B112)="","",IF(IFERROR(INDEX(Lists!$AQ$2:$AQ$11,MATCH(ROW(),Lists!$AN$2:$AN$11,0)),"")&lt;&gt;"",IFERROR(INDEX(Lists!$AQ$2:$AQ$11,MATCH(ROW(),Lists!$AN$2:$AN$11,0)),""),IF(ISNUMBER(SEARCH("head of ",$C112)),"Head of Technology",IF(ISNUMBER(SEARCH("TDD BP",$C112)),"Business Partner",IF(OR(ISNUMBER(SEARCH("domain architect",$C112)),ISNUMBER(SEARCH("enterprise architect",$C112))),"Domain Architect",IF(ISNUMBER(SEARCH("delivery man",$C112)),"Delivery Manager",IF(OR(ISNUMBER(SEARCH("technology manager",$C112)),ISNUMBER(SEARCH("technology manger",$C112)),ISNUMBER(SEARCH("tech manager",$C112))),"Technology Manager","Squad")))))))</f>
        <v>Squad</v>
      </c>
      <c r="AS112" s="1136" t="str">
        <f>IF(TRIM($B112)="","",IFERROR(INDEX(Lists!$AA:$AA,MATCH($AP112,Lists!$Z:$Z,0)),$AP112))</f>
        <v>Ampol App</v>
      </c>
      <c r="AT112" s="1136" t="str">
        <f>IF(TRIM($B112)="","",IF(IFERROR(INDEX(Lists!$AP$2:$AP$11,MATCH(ROW(),Lists!$AN$2:$AN$11,0)),"")&lt;&gt;"",IFERROR(INDEX(Lists!$AP$2:$AP$11,MATCH(ROW(),Lists!$AN$2:$AN$11,0)),""),IF(OR(LEFT($AJ112,3)="COE",$AJ112="EGI"),$AP112,IF($AR112&lt;&gt;"Squad",$AR112,$AP112))))</f>
        <v>Ampol App</v>
      </c>
    </row>
    <row r="113" ht="18" customHeight="1" s="866">
      <c r="A113" s="1220" t="n">
        <v>99999113507</v>
      </c>
      <c r="B113" s="1209" t="inlineStr">
        <is>
          <t>Andy Stewart</t>
        </is>
      </c>
      <c r="C113" s="1209" t="inlineStr">
        <is>
          <t>Head of Technology, Loyalty &amp; Martech</t>
        </is>
      </c>
      <c r="D113" s="1209" t="inlineStr">
        <is>
          <t>Harley Giles</t>
        </is>
      </c>
      <c r="E113" s="1209" t="inlineStr">
        <is>
          <t>GM TDD, Customer</t>
        </is>
      </c>
      <c r="F113" s="1210" t="inlineStr">
        <is>
          <t>Customer</t>
        </is>
      </c>
      <c r="G113" s="1199" t="inlineStr">
        <is>
          <t>Loyalty &amp; Martech</t>
        </is>
      </c>
      <c r="H113" s="1209" t="n"/>
      <c r="I113" s="1199" t="inlineStr">
        <is>
          <t>Ampol Customer</t>
        </is>
      </c>
      <c r="J113" s="1209" t="inlineStr">
        <is>
          <t>Z Energy (Digitial) and Ampol Customer</t>
        </is>
      </c>
      <c r="K113" s="1209" t="inlineStr">
        <is>
          <t>Leadership</t>
        </is>
      </c>
      <c r="L113" s="1199" t="n"/>
      <c r="M113" s="1211" t="inlineStr">
        <is>
          <t>NZ</t>
        </is>
      </c>
      <c r="N113" s="1209" t="inlineStr">
        <is>
          <t xml:space="preserve">CSC </t>
        </is>
      </c>
      <c r="O113" s="1209" t="n">
        <v>1</v>
      </c>
      <c r="P113" s="1199" t="n"/>
      <c r="Q113" s="1199" t="inlineStr">
        <is>
          <t>Permanent - Full Time</t>
        </is>
      </c>
      <c r="R113" s="1199" t="n"/>
      <c r="S113" s="1199" t="n"/>
      <c r="T113" s="1212" t="n">
        <v>194910</v>
      </c>
      <c r="U113" s="1213" t="n">
        <v>194910</v>
      </c>
      <c r="V113" s="1214" t="n">
        <v>0.12</v>
      </c>
      <c r="W113" s="1215" t="n">
        <v>0.055</v>
      </c>
      <c r="X113" s="1215" t="n">
        <v>0.12</v>
      </c>
      <c r="Y113" s="1215" t="n"/>
      <c r="Z113" s="1215" t="n">
        <v>0.04</v>
      </c>
      <c r="AA113" s="1216">
        <f>IF(TRIM($B113)="","",IF(N($AU113)&gt;0,$AU113,IF(N($S113)&gt;0,$S113*Lists!$AG$15*(1+N($Z113)),N($U113)*(1+N($V113)+N($W113)+N($X113)+N($Z113))+N($Y113))))</f>
        <v>260204.85</v>
      </c>
      <c r="AB113" s="1217" t="n"/>
      <c r="AC113" s="1217" t="n"/>
      <c r="AD113" s="1217" t="n"/>
      <c r="AE113" s="1217" t="n"/>
      <c r="AF113" s="1217" t="n"/>
      <c r="AG113" s="1217" t="n"/>
      <c r="AH113" s="1908" t="n"/>
      <c r="AJ113" s="865" t="str">
        <f>IF(TRIM($B113)="","",IF(IFERROR(INDEX(Lists!$AO$2:$AO$11,MATCH(ROW(),Lists!$AN$2:$AN$11,0)),"")&lt;&gt;"",IFERROR(INDEX(Lists!$AO$2:$AO$11,MATCH(ROW(),Lists!$AN$2:$AN$11,0)),""),IFERROR(INDEX(Lists!$U:$U,MATCH(TRIM($I113),Lists!$T:$T,0)),TRIM($I113))))</f>
        <v>Customer</v>
      </c>
      <c r="AK113" s="865" t="str">
        <f>IF(ISNUMBER(SEARCH("vacant",$B113)),"Vacant","Filled")</f>
        <v>Filled</v>
      </c>
      <c r="AL113" s="865" t="str">
        <f>IF($M113="NZ","NZ","AU")</f>
        <v>NZ</v>
      </c>
      <c r="AM113" s="865">
        <f>COUNTIF($AJ$2:$AJ113,$AJ113)</f>
        <v>6</v>
      </c>
      <c r="AN113" s="865" t="str">
        <f>$AJ113&amp;"|"&amp;$AM113</f>
        <v>Customer|6</v>
      </c>
      <c r="AP113" s="865" t="str">
        <f>IF(TRIM($B113)="","",IF($AQ113=1,"Leadership",IFERROR(INDEX(Lists!$X:$X,MATCH(TRIM($K113),Lists!$W:$W,0)),IF(OR(TRIM($K113)="",LOWER(TRIM($K113))="na"),IF(TRIM($G113)="","Unassigned",TRIM($G113)),TRIM($K113)))))</f>
        <v>Leadership</v>
      </c>
      <c r="AQ113" s="865" t="b">
        <f>IF(TRIM($B113)="","",--OR(TRIM($K113)="Leadership",TRIM($J113)="Leadership"))</f>
        <v>1</v>
      </c>
      <c r="AR113" s="1136" t="str">
        <f>IF(TRIM($B113)="","",IF(IFERROR(INDEX(Lists!$AQ$2:$AQ$11,MATCH(ROW(),Lists!$AN$2:$AN$11,0)),"")&lt;&gt;"",IFERROR(INDEX(Lists!$AQ$2:$AQ$11,MATCH(ROW(),Lists!$AN$2:$AN$11,0)),""),IF(ISNUMBER(SEARCH("head of ",$C113)),"Head of Technology",IF(ISNUMBER(SEARCH("TDD BP",$C113)),"Business Partner",IF(OR(ISNUMBER(SEARCH("domain architect",$C113)),ISNUMBER(SEARCH("enterprise architect",$C113))),"Domain Architect",IF(ISNUMBER(SEARCH("delivery man",$C113)),"Delivery Manager",IF(OR(ISNUMBER(SEARCH("technology manager",$C113)),ISNUMBER(SEARCH("technology manger",$C113)),ISNUMBER(SEARCH("tech manager",$C113))),"Technology Manager","Squad")))))))</f>
        <v>Head of Technology</v>
      </c>
      <c r="AS113" s="1136" t="str">
        <f>IF(TRIM($B113)="","",IFERROR(INDEX(Lists!$AA:$AA,MATCH($AP113,Lists!$Z:$Z,0)),$AP113))</f>
        <v>Leadership</v>
      </c>
      <c r="AT113" s="1136" t="str">
        <f>IF(TRIM($B113)="","",IF(IFERROR(INDEX(Lists!$AP$2:$AP$11,MATCH(ROW(),Lists!$AN$2:$AN$11,0)),"")&lt;&gt;"",IFERROR(INDEX(Lists!$AP$2:$AP$11,MATCH(ROW(),Lists!$AN$2:$AN$11,0)),""),IF(OR(LEFT($AJ113,3)="COE",$AJ113="EGI"),$AP113,IF($AR113&lt;&gt;"Squad",$AR113,$AP113))))</f>
        <v>Head of Technology</v>
      </c>
    </row>
    <row r="114" ht="18" customHeight="1" s="866">
      <c r="A114" s="1208" t="n">
        <v>99999101324</v>
      </c>
      <c r="B114" s="1199" t="inlineStr">
        <is>
          <t>Angela Gilbert</t>
        </is>
      </c>
      <c r="C114" s="1199" t="inlineStr">
        <is>
          <t>Martech Lead - Dynamics</t>
        </is>
      </c>
      <c r="D114" s="1199" t="inlineStr">
        <is>
          <t>Vacant</t>
        </is>
      </c>
      <c r="E114" s="1199" t="inlineStr">
        <is>
          <t>Delivery Manager, Loyalty</t>
        </is>
      </c>
      <c r="F114" s="1210" t="inlineStr">
        <is>
          <t>Customer</t>
        </is>
      </c>
      <c r="G114" s="1199" t="inlineStr">
        <is>
          <t>Loyalty &amp; Martech</t>
        </is>
      </c>
      <c r="H114" s="1209" t="inlineStr">
        <is>
          <t xml:space="preserve">Loyalty, Delivery </t>
        </is>
      </c>
      <c r="I114" s="1199" t="inlineStr">
        <is>
          <t>Ampol Customer</t>
        </is>
      </c>
      <c r="J114" s="1199" t="inlineStr">
        <is>
          <t>Ampol Loyalty &amp; Martech</t>
        </is>
      </c>
      <c r="K114" s="1199" t="inlineStr">
        <is>
          <t>Ampol Loyalty &amp; Martech</t>
        </is>
      </c>
      <c r="L114" s="1199" t="n"/>
      <c r="M114" s="1211" t="inlineStr">
        <is>
          <t>NZ</t>
        </is>
      </c>
      <c r="N114" s="1199" t="inlineStr">
        <is>
          <t>CIC</t>
        </is>
      </c>
      <c r="O114" s="1209" t="n">
        <v>0.8</v>
      </c>
      <c r="P114" s="1199" t="n"/>
      <c r="Q114" s="1199" t="inlineStr">
        <is>
          <t>Temporary - Full Time</t>
        </is>
      </c>
      <c r="R114" s="1199" t="n"/>
      <c r="S114" s="1199" t="n"/>
      <c r="T114" s="1212" t="n">
        <v>150000</v>
      </c>
      <c r="U114" s="1213" t="n">
        <v>150000</v>
      </c>
      <c r="V114" s="1214" t="n">
        <v>0.12</v>
      </c>
      <c r="W114" s="1215" t="n">
        <v>0.055</v>
      </c>
      <c r="X114" s="1215" t="n">
        <v>0.12</v>
      </c>
      <c r="Y114" s="1215" t="n"/>
      <c r="Z114" s="1215" t="n">
        <v>0.04</v>
      </c>
      <c r="AA114" s="1216">
        <f>IF(TRIM($B114)="","",IF(N($AU114)&gt;0,$AU114,IF(N($S114)&gt;0,$S114*Lists!$AG$15*(1+N($Z114)),N($U114)*(1+N($V114)+N($W114)+N($X114)+N($Z114))+N($Y114))))</f>
        <v>200250</v>
      </c>
      <c r="AB114" s="1217" t="n"/>
      <c r="AC114" s="1217" t="n"/>
      <c r="AD114" s="1217" t="n"/>
      <c r="AE114" s="1217" t="n"/>
      <c r="AF114" s="1217" t="n"/>
      <c r="AG114" s="1217" t="n"/>
      <c r="AH114" s="1908" t="n"/>
      <c r="AJ114" s="865" t="str">
        <f>IF(TRIM($B114)="","",IF(IFERROR(INDEX(Lists!$AO$2:$AO$11,MATCH(ROW(),Lists!$AN$2:$AN$11,0)),"")&lt;&gt;"",IFERROR(INDEX(Lists!$AO$2:$AO$11,MATCH(ROW(),Lists!$AN$2:$AN$11,0)),""),IFERROR(INDEX(Lists!$U:$U,MATCH(TRIM($I114),Lists!$T:$T,0)),TRIM($I114))))</f>
        <v>Customer</v>
      </c>
      <c r="AK114" s="865" t="str">
        <f>IF(ISNUMBER(SEARCH("vacant",$B114)),"Vacant","Filled")</f>
        <v>Filled</v>
      </c>
      <c r="AL114" s="865" t="str">
        <f>IF($M114="NZ","NZ","AU")</f>
        <v>NZ</v>
      </c>
      <c r="AM114" s="865">
        <f>COUNTIF($AJ$2:$AJ114,$AJ114)</f>
        <v>7</v>
      </c>
      <c r="AN114" s="865" t="str">
        <f>$AJ114&amp;"|"&amp;$AM114</f>
        <v>Customer|7</v>
      </c>
      <c r="AP114" s="865" t="str">
        <f>IF(TRIM($B114)="","",IF($AQ114=1,"Leadership",IFERROR(INDEX(Lists!$X:$X,MATCH(TRIM($K114),Lists!$W:$W,0)),IF(OR(TRIM($K114)="",LOWER(TRIM($K114))="na"),IF(TRIM($G114)="","Unassigned",TRIM($G114)),TRIM($K114)))))</f>
        <v>Ampol Loyalty &amp; Martech</v>
      </c>
      <c r="AQ114" s="865" t="b">
        <f>IF(TRIM($B114)="","",--OR(TRIM($K114)="Leadership",TRIM($J114)="Leadership"))</f>
        <v>0</v>
      </c>
      <c r="AR114" s="1136" t="str">
        <f>IF(TRIM($B114)="","",IF(IFERROR(INDEX(Lists!$AQ$2:$AQ$11,MATCH(ROW(),Lists!$AN$2:$AN$11,0)),"")&lt;&gt;"",IFERROR(INDEX(Lists!$AQ$2:$AQ$11,MATCH(ROW(),Lists!$AN$2:$AN$11,0)),""),IF(ISNUMBER(SEARCH("head of ",$C114)),"Head of Technology",IF(ISNUMBER(SEARCH("TDD BP",$C114)),"Business Partner",IF(OR(ISNUMBER(SEARCH("domain architect",$C114)),ISNUMBER(SEARCH("enterprise architect",$C114))),"Domain Architect",IF(ISNUMBER(SEARCH("delivery man",$C114)),"Delivery Manager",IF(OR(ISNUMBER(SEARCH("technology manager",$C114)),ISNUMBER(SEARCH("technology manger",$C114)),ISNUMBER(SEARCH("tech manager",$C114))),"Technology Manager","Squad")))))))</f>
        <v>Squad</v>
      </c>
      <c r="AS114" s="1136" t="str">
        <f>IF(TRIM($B114)="","",IFERROR(INDEX(Lists!$AA:$AA,MATCH($AP114,Lists!$Z:$Z,0)),$AP114))</f>
        <v>Ampol Loyalty &amp; Martech</v>
      </c>
      <c r="AT114" s="1136" t="str">
        <f>IF(TRIM($B114)="","",IF(IFERROR(INDEX(Lists!$AP$2:$AP$11,MATCH(ROW(),Lists!$AN$2:$AN$11,0)),"")&lt;&gt;"",IFERROR(INDEX(Lists!$AP$2:$AP$11,MATCH(ROW(),Lists!$AN$2:$AN$11,0)),""),IF(OR(LEFT($AJ114,3)="COE",$AJ114="EGI"),$AP114,IF($AR114&lt;&gt;"Squad",$AR114,$AP114))))</f>
        <v>Ampol Loyalty &amp; Martech</v>
      </c>
    </row>
    <row r="115" ht="18" customHeight="1" s="866">
      <c r="A115" s="1208" t="n">
        <v>98144</v>
      </c>
      <c r="B115" s="1209" t="inlineStr">
        <is>
          <t>Angie Ng</t>
        </is>
      </c>
      <c r="C115" s="1209" t="inlineStr">
        <is>
          <t>Snr Engineer - BE</t>
        </is>
      </c>
      <c r="D115" s="1209" t="inlineStr">
        <is>
          <t>Khalid Mahmud</t>
        </is>
      </c>
      <c r="E115" s="1209" t="inlineStr">
        <is>
          <t>Lead Engineer - BE</t>
        </is>
      </c>
      <c r="F115" s="1210" t="inlineStr">
        <is>
          <t>Customer</t>
        </is>
      </c>
      <c r="G115" s="1199" t="inlineStr">
        <is>
          <t>Digital</t>
        </is>
      </c>
      <c r="H115" s="1199" t="inlineStr">
        <is>
          <t>Tech, Digital Engineering</t>
        </is>
      </c>
      <c r="I115" s="1199" t="inlineStr">
        <is>
          <t>Ampol Customer</t>
        </is>
      </c>
      <c r="J115" s="1209" t="inlineStr">
        <is>
          <t>EGI</t>
        </is>
      </c>
      <c r="K115" s="1209" t="inlineStr">
        <is>
          <t>EGI Customer</t>
        </is>
      </c>
      <c r="L115" s="1199" t="n"/>
      <c r="M115" s="1211" t="inlineStr">
        <is>
          <t>Australia</t>
        </is>
      </c>
      <c r="N115" s="1199" t="inlineStr">
        <is>
          <t>CIB</t>
        </is>
      </c>
      <c r="O115" s="1199" t="n">
        <v>1</v>
      </c>
      <c r="P115" s="1199" t="n"/>
      <c r="Q115" s="1199" t="inlineStr">
        <is>
          <t>Permanent - Full Time</t>
        </is>
      </c>
      <c r="R115" s="1199" t="n"/>
      <c r="S115" s="1199" t="n"/>
      <c r="T115" s="1212" t="n">
        <v>190980</v>
      </c>
      <c r="U115" s="1213" t="n">
        <v>190980</v>
      </c>
      <c r="V115" s="1214" t="n">
        <v>0.12</v>
      </c>
      <c r="W115" s="1215" t="n">
        <v>0.055</v>
      </c>
      <c r="X115" s="1215" t="n">
        <v>0.12</v>
      </c>
      <c r="Y115" s="1215" t="n"/>
      <c r="Z115" s="1215" t="n">
        <v>0.04</v>
      </c>
      <c r="AA115" s="1216">
        <f>IF(TRIM($B115)="","",IF(N($AU115)&gt;0,$AU115,IF(N($S115)&gt;0,$S115*Lists!$AG$15*(1+N($Z115)),N($U115)*(1+N($V115)+N($W115)+N($X115)+N($Z115))+N($Y115))))</f>
        <v>254958.3</v>
      </c>
      <c r="AB115" s="1217" t="n"/>
      <c r="AC115" s="1217" t="n"/>
      <c r="AD115" s="1217" t="n"/>
      <c r="AE115" s="1217" t="n"/>
      <c r="AF115" s="1217" t="n"/>
      <c r="AG115" s="1217" t="n"/>
      <c r="AH115" s="1908" t="n"/>
      <c r="AJ115" s="865" t="str">
        <f>IF(TRIM($B115)="","",IF(IFERROR(INDEX(Lists!$AO$2:$AO$11,MATCH(ROW(),Lists!$AN$2:$AN$11,0)),"")&lt;&gt;"",IFERROR(INDEX(Lists!$AO$2:$AO$11,MATCH(ROW(),Lists!$AN$2:$AN$11,0)),""),IFERROR(INDEX(Lists!$U:$U,MATCH(TRIM($I115),Lists!$T:$T,0)),TRIM($I115))))</f>
        <v>Customer</v>
      </c>
      <c r="AK115" s="865" t="str">
        <f>IF(ISNUMBER(SEARCH("vacant",$B115)),"Vacant","Filled")</f>
        <v>Filled</v>
      </c>
      <c r="AL115" s="865" t="str">
        <f>IF($M115="NZ","NZ","AU")</f>
        <v>AU</v>
      </c>
      <c r="AM115" s="865">
        <f>COUNTIF($AJ$2:$AJ115,$AJ115)</f>
        <v>8</v>
      </c>
      <c r="AN115" s="865" t="str">
        <f>$AJ115&amp;"|"&amp;$AM115</f>
        <v>Customer|8</v>
      </c>
      <c r="AP115" s="865" t="str">
        <f>IF(TRIM($B115)="","",IF($AQ115=1,"Leadership",IFERROR(INDEX(Lists!$X:$X,MATCH(TRIM($K115),Lists!$W:$W,0)),IF(OR(TRIM($K115)="",LOWER(TRIM($K115))="na"),IF(TRIM($G115)="","Unassigned",TRIM($G115)),TRIM($K115)))))</f>
        <v>EGI Customer</v>
      </c>
      <c r="AQ115" s="865" t="b">
        <f>IF(TRIM($B115)="","",--OR(TRIM($K115)="Leadership",TRIM($J115)="Leadership"))</f>
        <v>0</v>
      </c>
      <c r="AR115" s="1136" t="str">
        <f>IF(TRIM($B115)="","",IF(IFERROR(INDEX(Lists!$AQ$2:$AQ$11,MATCH(ROW(),Lists!$AN$2:$AN$11,0)),"")&lt;&gt;"",IFERROR(INDEX(Lists!$AQ$2:$AQ$11,MATCH(ROW(),Lists!$AN$2:$AN$11,0)),""),IF(ISNUMBER(SEARCH("head of ",$C115)),"Head of Technology",IF(ISNUMBER(SEARCH("TDD BP",$C115)),"Business Partner",IF(OR(ISNUMBER(SEARCH("domain architect",$C115)),ISNUMBER(SEARCH("enterprise architect",$C115))),"Domain Architect",IF(ISNUMBER(SEARCH("delivery man",$C115)),"Delivery Manager",IF(OR(ISNUMBER(SEARCH("technology manager",$C115)),ISNUMBER(SEARCH("technology manger",$C115)),ISNUMBER(SEARCH("tech manager",$C115))),"Technology Manager","Squad")))))))</f>
        <v>Squad</v>
      </c>
      <c r="AS115" s="1136" t="str">
        <f>IF(TRIM($B115)="","",IFERROR(INDEX(Lists!$AA:$AA,MATCH($AP115,Lists!$Z:$Z,0)),$AP115))</f>
        <v>EGI Customer</v>
      </c>
      <c r="AT115" s="1136" t="str">
        <f>IF(TRIM($B115)="","",IF(IFERROR(INDEX(Lists!$AP$2:$AP$11,MATCH(ROW(),Lists!$AN$2:$AN$11,0)),"")&lt;&gt;"",IFERROR(INDEX(Lists!$AP$2:$AP$11,MATCH(ROW(),Lists!$AN$2:$AN$11,0)),""),IF(OR(LEFT($AJ115,3)="COE",$AJ115="EGI"),$AP115,IF($AR115&lt;&gt;"Squad",$AR115,$AP115))))</f>
        <v>EGI Customer</v>
      </c>
    </row>
    <row r="116" ht="18" customHeight="1" s="866">
      <c r="A116" s="1208" t="inlineStr">
        <is>
          <t>C</t>
        </is>
      </c>
      <c r="B116" s="1209" t="inlineStr">
        <is>
          <t>Annabel Phu</t>
        </is>
      </c>
      <c r="C116" s="1209" t="inlineStr">
        <is>
          <t>Engineer - Mobile</t>
        </is>
      </c>
      <c r="D116" s="1209" t="inlineStr">
        <is>
          <t>Mitesh Shah</t>
        </is>
      </c>
      <c r="E116" s="1209" t="inlineStr">
        <is>
          <t>Technology Manager, Digitial</t>
        </is>
      </c>
      <c r="F116" s="1210" t="inlineStr">
        <is>
          <t>Customer</t>
        </is>
      </c>
      <c r="G116" s="1199" t="inlineStr">
        <is>
          <t>Digital</t>
        </is>
      </c>
      <c r="H116" s="1209" t="inlineStr">
        <is>
          <t>Digital, Tech</t>
        </is>
      </c>
      <c r="I116" s="1199" t="inlineStr">
        <is>
          <t>Ampol Customer</t>
        </is>
      </c>
      <c r="J116" s="1209" t="inlineStr">
        <is>
          <t>Ampol Digital</t>
        </is>
      </c>
      <c r="K116" s="1209" t="inlineStr">
        <is>
          <t>Ampol App</t>
        </is>
      </c>
      <c r="L116" s="1199" t="n"/>
      <c r="M116" s="1211" t="inlineStr">
        <is>
          <t>Australia</t>
        </is>
      </c>
      <c r="N116" s="1199" t="inlineStr">
        <is>
          <t>NA</t>
        </is>
      </c>
      <c r="O116" s="1199" t="n">
        <v>1</v>
      </c>
      <c r="P116" s="1199" t="n"/>
      <c r="Q116" s="1199" t="inlineStr">
        <is>
          <t>Contractor</t>
        </is>
      </c>
      <c r="R116" s="1199" t="inlineStr">
        <is>
          <t>?</t>
        </is>
      </c>
      <c r="S116" s="1199" t="n">
        <v>1200</v>
      </c>
      <c r="T116" s="1212" t="n">
        <v>0</v>
      </c>
      <c r="U116" s="1213" t="n"/>
      <c r="V116" s="1214" t="n"/>
      <c r="W116" s="1215" t="n"/>
      <c r="X116" s="1215" t="n"/>
      <c r="Y116" s="1215" t="n"/>
      <c r="Z116" s="1215" t="n"/>
      <c r="AA116" s="1216">
        <f>IF(TRIM($B116)="","",IF(N($AU116)&gt;0,$AU116,IF(N($S116)&gt;0,$S116*Lists!$AG$15*(1+N($Z116)),N($U116)*(1+N($V116)+N($W116)+N($X116)+N($Z116))+N($Y116))))</f>
        <v>266400</v>
      </c>
      <c r="AB116" s="1217" t="n"/>
      <c r="AC116" s="1217" t="n"/>
      <c r="AD116" s="1217" t="n"/>
      <c r="AE116" s="1217" t="n"/>
      <c r="AF116" s="1217" t="n"/>
      <c r="AG116" s="1217" t="n"/>
      <c r="AH116" s="1908" t="n"/>
      <c r="AJ116" s="865" t="str">
        <f>IF(TRIM($B116)="","",IF(IFERROR(INDEX(Lists!$AO$2:$AO$11,MATCH(ROW(),Lists!$AN$2:$AN$11,0)),"")&lt;&gt;"",IFERROR(INDEX(Lists!$AO$2:$AO$11,MATCH(ROW(),Lists!$AN$2:$AN$11,0)),""),IFERROR(INDEX(Lists!$U:$U,MATCH(TRIM($I116),Lists!$T:$T,0)),TRIM($I116))))</f>
        <v>Customer</v>
      </c>
      <c r="AK116" s="865" t="str">
        <f>IF(ISNUMBER(SEARCH("vacant",$B116)),"Vacant","Filled")</f>
        <v>Filled</v>
      </c>
      <c r="AL116" s="865" t="str">
        <f>IF($M116="NZ","NZ","AU")</f>
        <v>AU</v>
      </c>
      <c r="AM116" s="865">
        <f>COUNTIF($AJ$2:$AJ116,$AJ116)</f>
        <v>9</v>
      </c>
      <c r="AN116" s="865" t="str">
        <f>$AJ116&amp;"|"&amp;$AM116</f>
        <v>Customer|9</v>
      </c>
      <c r="AP116" s="865" t="str">
        <f>IF(TRIM($B116)="","",IF($AQ116=1,"Leadership",IFERROR(INDEX(Lists!$X:$X,MATCH(TRIM($K116),Lists!$W:$W,0)),IF(OR(TRIM($K116)="",LOWER(TRIM($K116))="na"),IF(TRIM($G116)="","Unassigned",TRIM($G116)),TRIM($K116)))))</f>
        <v>Ampol App</v>
      </c>
      <c r="AQ116" s="865" t="b">
        <f>IF(TRIM($B116)="","",--OR(TRIM($K116)="Leadership",TRIM($J116)="Leadership"))</f>
        <v>0</v>
      </c>
      <c r="AR116" s="1136" t="str">
        <f>IF(TRIM($B116)="","",IF(IFERROR(INDEX(Lists!$AQ$2:$AQ$11,MATCH(ROW(),Lists!$AN$2:$AN$11,0)),"")&lt;&gt;"",IFERROR(INDEX(Lists!$AQ$2:$AQ$11,MATCH(ROW(),Lists!$AN$2:$AN$11,0)),""),IF(ISNUMBER(SEARCH("head of ",$C116)),"Head of Technology",IF(ISNUMBER(SEARCH("TDD BP",$C116)),"Business Partner",IF(OR(ISNUMBER(SEARCH("domain architect",$C116)),ISNUMBER(SEARCH("enterprise architect",$C116))),"Domain Architect",IF(ISNUMBER(SEARCH("delivery man",$C116)),"Delivery Manager",IF(OR(ISNUMBER(SEARCH("technology manager",$C116)),ISNUMBER(SEARCH("technology manger",$C116)),ISNUMBER(SEARCH("tech manager",$C116))),"Technology Manager","Squad")))))))</f>
        <v>Squad</v>
      </c>
      <c r="AS116" s="1136" t="str">
        <f>IF(TRIM($B116)="","",IFERROR(INDEX(Lists!$AA:$AA,MATCH($AP116,Lists!$Z:$Z,0)),$AP116))</f>
        <v>Ampol App</v>
      </c>
      <c r="AT116" s="1136" t="str">
        <f>IF(TRIM($B116)="","",IF(IFERROR(INDEX(Lists!$AP$2:$AP$11,MATCH(ROW(),Lists!$AN$2:$AN$11,0)),"")&lt;&gt;"",IFERROR(INDEX(Lists!$AP$2:$AP$11,MATCH(ROW(),Lists!$AN$2:$AN$11,0)),""),IF(OR(LEFT($AJ116,3)="COE",$AJ116="EGI"),$AP116,IF($AR116&lt;&gt;"Squad",$AR116,$AP116))))</f>
        <v>Ampol App</v>
      </c>
    </row>
    <row r="117" ht="18" customHeight="1" s="866">
      <c r="A117" s="1208" t="n">
        <v>99999102164</v>
      </c>
      <c r="B117" s="1199" t="inlineStr">
        <is>
          <t>Anthony Gen</t>
        </is>
      </c>
      <c r="C117" s="1199" t="inlineStr">
        <is>
          <t>Data Analyst</t>
        </is>
      </c>
      <c r="D117" s="1199" t="inlineStr">
        <is>
          <t>Vacant</t>
        </is>
      </c>
      <c r="E117" s="1199" t="inlineStr">
        <is>
          <t>Technology Manager, Data &amp; Engineering</t>
        </is>
      </c>
      <c r="F117" s="1210" t="inlineStr">
        <is>
          <t>Customer</t>
        </is>
      </c>
      <c r="G117" s="1199" t="inlineStr">
        <is>
          <t>Loyalty &amp; Martech</t>
        </is>
      </c>
      <c r="H117" s="1209" t="inlineStr">
        <is>
          <t>Loyalty, Data &amp; Engineering</t>
        </is>
      </c>
      <c r="I117" s="1199" t="inlineStr">
        <is>
          <t>Ampol Customer</t>
        </is>
      </c>
      <c r="J117" s="1199" t="inlineStr">
        <is>
          <t>Z Loyalty &amp; Martech</t>
        </is>
      </c>
      <c r="K117" s="1209" t="inlineStr">
        <is>
          <t>Z Loyalty &amp; Martech</t>
        </is>
      </c>
      <c r="L117" s="1199" t="n"/>
      <c r="M117" s="1211" t="inlineStr">
        <is>
          <t>NZ</t>
        </is>
      </c>
      <c r="N117" s="1199" t="inlineStr">
        <is>
          <t>CIA</t>
        </is>
      </c>
      <c r="O117" s="1209" t="n">
        <v>1</v>
      </c>
      <c r="P117" s="1199" t="n"/>
      <c r="Q117" s="1218" t="inlineStr">
        <is>
          <t>cxc</t>
        </is>
      </c>
      <c r="R117" s="1218" t="inlineStr">
        <is>
          <t>Daily</t>
        </is>
      </c>
      <c r="S117" s="1199" t="n">
        <v>807.2</v>
      </c>
      <c r="T117" s="1212" t="n">
        <v>0</v>
      </c>
      <c r="U117" s="1212" t="n"/>
      <c r="V117" s="1199" t="n"/>
      <c r="W117" s="1199" t="n"/>
      <c r="X117" s="1199" t="n"/>
      <c r="Y117" s="1199" t="n"/>
      <c r="Z117" s="1199" t="n"/>
      <c r="AA117" s="1219">
        <f>IF(TRIM($B117)="","",IF(N($AU117)&gt;0,$AU117,IF(N($S117)&gt;0,$S117*Lists!$AG$15*(1+N($Z117)),N($U117)*(1+N($V117)+N($W117)+N($X117)+N($Z117))+N($Y117))))</f>
        <v>179198.4</v>
      </c>
      <c r="AB117" s="1217" t="n"/>
      <c r="AC117" s="1217" t="n"/>
      <c r="AD117" s="1217" t="n"/>
      <c r="AE117" s="1217" t="n"/>
      <c r="AF117" s="1217" t="n"/>
      <c r="AG117" s="1217" t="n"/>
      <c r="AH117" s="1908" t="n"/>
      <c r="AJ117" s="865" t="str">
        <f>IF(TRIM($B117)="","",IF(IFERROR(INDEX(Lists!$AO$2:$AO$11,MATCH(ROW(),Lists!$AN$2:$AN$11,0)),"")&lt;&gt;"",IFERROR(INDEX(Lists!$AO$2:$AO$11,MATCH(ROW(),Lists!$AN$2:$AN$11,0)),""),IFERROR(INDEX(Lists!$U:$U,MATCH(TRIM($I117),Lists!$T:$T,0)),TRIM($I117))))</f>
        <v>Customer</v>
      </c>
      <c r="AK117" s="865" t="str">
        <f>IF(ISNUMBER(SEARCH("vacant",$B117)),"Vacant","Filled")</f>
        <v>Filled</v>
      </c>
      <c r="AL117" s="865" t="str">
        <f>IF($M117="NZ","NZ","AU")</f>
        <v>NZ</v>
      </c>
      <c r="AM117" s="865">
        <f>COUNTIF($AJ$2:$AJ117,$AJ117)</f>
        <v>10</v>
      </c>
      <c r="AN117" s="865" t="str">
        <f>$AJ117&amp;"|"&amp;$AM117</f>
        <v>Customer|10</v>
      </c>
      <c r="AP117" s="865" t="str">
        <f>IF(TRIM($B117)="","",IF($AQ117=1,"Leadership",IFERROR(INDEX(Lists!$X:$X,MATCH(TRIM($K117),Lists!$W:$W,0)),IF(OR(TRIM($K117)="",LOWER(TRIM($K117))="na"),IF(TRIM($G117)="","Unassigned",TRIM($G117)),TRIM($K117)))))</f>
        <v>Z Loyalty &amp; Martech</v>
      </c>
      <c r="AQ117" s="865" t="b">
        <f>IF(TRIM($B117)="","",--OR(TRIM($K117)="Leadership",TRIM($J117)="Leadership"))</f>
        <v>0</v>
      </c>
      <c r="AR117" s="1136" t="str">
        <f>IF(TRIM($B117)="","",IF(IFERROR(INDEX(Lists!$AQ$2:$AQ$11,MATCH(ROW(),Lists!$AN$2:$AN$11,0)),"")&lt;&gt;"",IFERROR(INDEX(Lists!$AQ$2:$AQ$11,MATCH(ROW(),Lists!$AN$2:$AN$11,0)),""),IF(ISNUMBER(SEARCH("head of ",$C117)),"Head of Technology",IF(ISNUMBER(SEARCH("TDD BP",$C117)),"Business Partner",IF(OR(ISNUMBER(SEARCH("domain architect",$C117)),ISNUMBER(SEARCH("enterprise architect",$C117))),"Domain Architect",IF(ISNUMBER(SEARCH("delivery man",$C117)),"Delivery Manager",IF(OR(ISNUMBER(SEARCH("technology manager",$C117)),ISNUMBER(SEARCH("technology manger",$C117)),ISNUMBER(SEARCH("tech manager",$C117))),"Technology Manager","Squad")))))))</f>
        <v>Squad</v>
      </c>
      <c r="AS117" s="1136" t="str">
        <f>IF(TRIM($B117)="","",IFERROR(INDEX(Lists!$AA:$AA,MATCH($AP117,Lists!$Z:$Z,0)),$AP117))</f>
        <v>Z Loyalty &amp; Martech</v>
      </c>
      <c r="AT117" s="1136" t="str">
        <f>IF(TRIM($B117)="","",IF(IFERROR(INDEX(Lists!$AP$2:$AP$11,MATCH(ROW(),Lists!$AN$2:$AN$11,0)),"")&lt;&gt;"",IFERROR(INDEX(Lists!$AP$2:$AP$11,MATCH(ROW(),Lists!$AN$2:$AN$11,0)),""),IF(OR(LEFT($AJ117,3)="COE",$AJ117="EGI"),$AP117,IF($AR117&lt;&gt;"Squad",$AR117,$AP117))))</f>
        <v>Z Loyalty &amp; Martech</v>
      </c>
    </row>
    <row r="118" ht="18" customHeight="1" s="866">
      <c r="A118" s="1208" t="n">
        <v>99999101676</v>
      </c>
      <c r="B118" s="1209" t="inlineStr">
        <is>
          <t>Ants Jackson</t>
        </is>
      </c>
      <c r="C118" s="1209" t="inlineStr">
        <is>
          <t>Experience Designer</t>
        </is>
      </c>
      <c r="D118" s="1209" t="inlineStr">
        <is>
          <t>Byron Thornhill</t>
        </is>
      </c>
      <c r="E118" s="1209" t="inlineStr">
        <is>
          <t>Design Manager</t>
        </is>
      </c>
      <c r="F118" s="1210" t="inlineStr">
        <is>
          <t>Customer</t>
        </is>
      </c>
      <c r="G118" s="1199" t="inlineStr">
        <is>
          <t>Digital</t>
        </is>
      </c>
      <c r="H118" s="1199" t="inlineStr">
        <is>
          <t>Digital, Design</t>
        </is>
      </c>
      <c r="I118" s="1199" t="inlineStr">
        <is>
          <t>Ampol Customer</t>
        </is>
      </c>
      <c r="J118" s="1209" t="inlineStr">
        <is>
          <t>Z Energy (Digitial)</t>
        </is>
      </c>
      <c r="K118" s="1209" t="inlineStr">
        <is>
          <t>Z App and Web</t>
        </is>
      </c>
      <c r="L118" s="1199" t="n"/>
      <c r="M118" s="1211" t="inlineStr">
        <is>
          <t>NZ</t>
        </is>
      </c>
      <c r="N118" s="1199" t="inlineStr">
        <is>
          <t>CIC</t>
        </is>
      </c>
      <c r="O118" s="1209" t="n">
        <v>1</v>
      </c>
      <c r="P118" s="1199" t="n"/>
      <c r="Q118" s="1199" t="inlineStr">
        <is>
          <t>Temporary - Full Time</t>
        </is>
      </c>
      <c r="R118" s="1218" t="n"/>
      <c r="S118" s="1199" t="n"/>
      <c r="T118" s="1212" t="n">
        <v>165000</v>
      </c>
      <c r="U118" s="1212" t="n">
        <v>165000</v>
      </c>
      <c r="V118" s="1199" t="n">
        <v>0.12</v>
      </c>
      <c r="W118" s="1199" t="n">
        <v>0.055</v>
      </c>
      <c r="X118" s="1199" t="n">
        <v>0.12</v>
      </c>
      <c r="Y118" s="1199" t="n"/>
      <c r="Z118" s="1199" t="n">
        <v>0.04</v>
      </c>
      <c r="AA118" s="1219">
        <f>IF(TRIM($B118)="","",IF(N($AU118)&gt;0,$AU118,IF(N($S118)&gt;0,$S118*Lists!$AG$15*(1+N($Z118)),N($U118)*(1+N($V118)+N($W118)+N($X118)+N($Z118))+N($Y118))))</f>
        <v>220275</v>
      </c>
      <c r="AB118" s="1217" t="n"/>
      <c r="AC118" s="1217" t="n"/>
      <c r="AD118" s="1217" t="n"/>
      <c r="AE118" s="1217" t="n"/>
      <c r="AF118" s="1217" t="n"/>
      <c r="AG118" s="1217" t="n"/>
      <c r="AH118" s="1908" t="n"/>
      <c r="AJ118" s="865" t="str">
        <f>IF(TRIM($B118)="","",IF(IFERROR(INDEX(Lists!$AO$2:$AO$11,MATCH(ROW(),Lists!$AN$2:$AN$11,0)),"")&lt;&gt;"",IFERROR(INDEX(Lists!$AO$2:$AO$11,MATCH(ROW(),Lists!$AN$2:$AN$11,0)),""),IFERROR(INDEX(Lists!$U:$U,MATCH(TRIM($I118),Lists!$T:$T,0)),TRIM($I118))))</f>
        <v>Customer</v>
      </c>
      <c r="AK118" s="865" t="str">
        <f>IF(ISNUMBER(SEARCH("vacant",$B118)),"Vacant","Filled")</f>
        <v>Filled</v>
      </c>
      <c r="AL118" s="865" t="str">
        <f>IF($M118="NZ","NZ","AU")</f>
        <v>NZ</v>
      </c>
      <c r="AM118" s="865">
        <f>COUNTIF($AJ$2:$AJ118,$AJ118)</f>
        <v>11</v>
      </c>
      <c r="AN118" s="865" t="str">
        <f>$AJ118&amp;"|"&amp;$AM118</f>
        <v>Customer|11</v>
      </c>
      <c r="AP118" s="865" t="str">
        <f>IF(TRIM($B118)="","",IF($AQ118=1,"Leadership",IFERROR(INDEX(Lists!$X:$X,MATCH(TRIM($K118),Lists!$W:$W,0)),IF(OR(TRIM($K118)="",LOWER(TRIM($K118))="na"),IF(TRIM($G118)="","Unassigned",TRIM($G118)),TRIM($K118)))))</f>
        <v>Z App and Web</v>
      </c>
      <c r="AQ118" s="865" t="b">
        <f>IF(TRIM($B118)="","",--OR(TRIM($K118)="Leadership",TRIM($J118)="Leadership"))</f>
        <v>0</v>
      </c>
      <c r="AR118" s="1136" t="str">
        <f>IF(TRIM($B118)="","",IF(IFERROR(INDEX(Lists!$AQ$2:$AQ$11,MATCH(ROW(),Lists!$AN$2:$AN$11,0)),"")&lt;&gt;"",IFERROR(INDEX(Lists!$AQ$2:$AQ$11,MATCH(ROW(),Lists!$AN$2:$AN$11,0)),""),IF(ISNUMBER(SEARCH("head of ",$C118)),"Head of Technology",IF(ISNUMBER(SEARCH("TDD BP",$C118)),"Business Partner",IF(OR(ISNUMBER(SEARCH("domain architect",$C118)),ISNUMBER(SEARCH("enterprise architect",$C118))),"Domain Architect",IF(ISNUMBER(SEARCH("delivery man",$C118)),"Delivery Manager",IF(OR(ISNUMBER(SEARCH("technology manager",$C118)),ISNUMBER(SEARCH("technology manger",$C118)),ISNUMBER(SEARCH("tech manager",$C118))),"Technology Manager","Squad")))))))</f>
        <v>Squad</v>
      </c>
      <c r="AS118" s="1136" t="str">
        <f>IF(TRIM($B118)="","",IFERROR(INDEX(Lists!$AA:$AA,MATCH($AP118,Lists!$Z:$Z,0)),$AP118))</f>
        <v>Z App and Web</v>
      </c>
      <c r="AT118" s="1136" t="str">
        <f>IF(TRIM($B118)="","",IF(IFERROR(INDEX(Lists!$AP$2:$AP$11,MATCH(ROW(),Lists!$AN$2:$AN$11,0)),"")&lt;&gt;"",IFERROR(INDEX(Lists!$AP$2:$AP$11,MATCH(ROW(),Lists!$AN$2:$AN$11,0)),""),IF(OR(LEFT($AJ118,3)="COE",$AJ118="EGI"),$AP118,IF($AR118&lt;&gt;"Squad",$AR118,$AP118))))</f>
        <v>Z App and Web</v>
      </c>
    </row>
    <row r="119" ht="18" customHeight="1" s="866">
      <c r="A119" s="1208" t="inlineStr">
        <is>
          <t>C</t>
        </is>
      </c>
      <c r="B119" s="1209" t="inlineStr">
        <is>
          <t>Anup Antony</t>
        </is>
      </c>
      <c r="C119" s="1209" t="inlineStr">
        <is>
          <t>Engineer - BE</t>
        </is>
      </c>
      <c r="D119" s="1209" t="inlineStr">
        <is>
          <t>Vacant</t>
        </is>
      </c>
      <c r="E119" s="1209" t="inlineStr">
        <is>
          <t>Technology Manager, Digital Engineering</t>
        </is>
      </c>
      <c r="F119" s="1210" t="inlineStr">
        <is>
          <t>Customer</t>
        </is>
      </c>
      <c r="G119" s="1199" t="inlineStr">
        <is>
          <t>Digital</t>
        </is>
      </c>
      <c r="H119" s="1199" t="inlineStr">
        <is>
          <t>Tech, Digital Engineering</t>
        </is>
      </c>
      <c r="I119" s="1199" t="inlineStr">
        <is>
          <t>Ampol Customer</t>
        </is>
      </c>
      <c r="J119" s="1209" t="inlineStr">
        <is>
          <t>Ampol Digital</t>
        </is>
      </c>
      <c r="K119" s="1209" t="inlineStr">
        <is>
          <t>Ampol App</t>
        </is>
      </c>
      <c r="L119" s="1199" t="n"/>
      <c r="M119" s="1211" t="inlineStr">
        <is>
          <t>Australia</t>
        </is>
      </c>
      <c r="N119" s="1199" t="inlineStr">
        <is>
          <t>NA</t>
        </is>
      </c>
      <c r="O119" s="1199" t="n">
        <v>1</v>
      </c>
      <c r="P119" s="1199" t="n"/>
      <c r="Q119" s="1199" t="inlineStr">
        <is>
          <t>cxc</t>
        </is>
      </c>
      <c r="R119" s="1199" t="inlineStr">
        <is>
          <t>Daily</t>
        </is>
      </c>
      <c r="S119" s="1199" t="n">
        <v>1150</v>
      </c>
      <c r="T119" s="1212" t="n">
        <v>0</v>
      </c>
      <c r="U119" s="1213" t="n"/>
      <c r="V119" s="1214" t="n"/>
      <c r="W119" s="1215" t="n"/>
      <c r="X119" s="1215" t="n"/>
      <c r="Y119" s="1215" t="n"/>
      <c r="Z119" s="1215" t="n"/>
      <c r="AA119" s="1216">
        <f>IF(TRIM($B119)="","",IF(N($AU119)&gt;0,$AU119,IF(N($S119)&gt;0,$S119*Lists!$AG$15*(1+N($Z119)),N($U119)*(1+N($V119)+N($W119)+N($X119)+N($Z119))+N($Y119))))</f>
        <v>255300</v>
      </c>
      <c r="AB119" s="1217" t="n"/>
      <c r="AC119" s="1217" t="n"/>
      <c r="AD119" s="1217" t="n"/>
      <c r="AE119" s="1217" t="n"/>
      <c r="AF119" s="1217" t="n"/>
      <c r="AG119" s="1217" t="n"/>
      <c r="AH119" s="1908" t="n"/>
      <c r="AJ119" s="865" t="str">
        <f>IF(TRIM($B119)="","",IF(IFERROR(INDEX(Lists!$AO$2:$AO$11,MATCH(ROW(),Lists!$AN$2:$AN$11,0)),"")&lt;&gt;"",IFERROR(INDEX(Lists!$AO$2:$AO$11,MATCH(ROW(),Lists!$AN$2:$AN$11,0)),""),IFERROR(INDEX(Lists!$U:$U,MATCH(TRIM($I119),Lists!$T:$T,0)),TRIM($I119))))</f>
        <v>Customer</v>
      </c>
      <c r="AK119" s="865" t="str">
        <f>IF(ISNUMBER(SEARCH("vacant",$B119)),"Vacant","Filled")</f>
        <v>Filled</v>
      </c>
      <c r="AL119" s="865" t="str">
        <f>IF($M119="NZ","NZ","AU")</f>
        <v>AU</v>
      </c>
      <c r="AM119" s="865">
        <f>COUNTIF($AJ$2:$AJ119,$AJ119)</f>
        <v>12</v>
      </c>
      <c r="AN119" s="865" t="str">
        <f>$AJ119&amp;"|"&amp;$AM119</f>
        <v>Customer|12</v>
      </c>
      <c r="AP119" s="865" t="str">
        <f>IF(TRIM($B119)="","",IF($AQ119=1,"Leadership",IFERROR(INDEX(Lists!$X:$X,MATCH(TRIM($K119),Lists!$W:$W,0)),IF(OR(TRIM($K119)="",LOWER(TRIM($K119))="na"),IF(TRIM($G119)="","Unassigned",TRIM($G119)),TRIM($K119)))))</f>
        <v>Ampol App</v>
      </c>
      <c r="AQ119" s="865" t="b">
        <f>IF(TRIM($B119)="","",--OR(TRIM($K119)="Leadership",TRIM($J119)="Leadership"))</f>
        <v>0</v>
      </c>
      <c r="AR119" s="1136" t="str">
        <f>IF(TRIM($B119)="","",IF(IFERROR(INDEX(Lists!$AQ$2:$AQ$11,MATCH(ROW(),Lists!$AN$2:$AN$11,0)),"")&lt;&gt;"",IFERROR(INDEX(Lists!$AQ$2:$AQ$11,MATCH(ROW(),Lists!$AN$2:$AN$11,0)),""),IF(ISNUMBER(SEARCH("head of ",$C119)),"Head of Technology",IF(ISNUMBER(SEARCH("TDD BP",$C119)),"Business Partner",IF(OR(ISNUMBER(SEARCH("domain architect",$C119)),ISNUMBER(SEARCH("enterprise architect",$C119))),"Domain Architect",IF(ISNUMBER(SEARCH("delivery man",$C119)),"Delivery Manager",IF(OR(ISNUMBER(SEARCH("technology manager",$C119)),ISNUMBER(SEARCH("technology manger",$C119)),ISNUMBER(SEARCH("tech manager",$C119))),"Technology Manager","Squad")))))))</f>
        <v>Squad</v>
      </c>
      <c r="AS119" s="1136" t="str">
        <f>IF(TRIM($B119)="","",IFERROR(INDEX(Lists!$AA:$AA,MATCH($AP119,Lists!$Z:$Z,0)),$AP119))</f>
        <v>Ampol App</v>
      </c>
      <c r="AT119" s="1136" t="str">
        <f>IF(TRIM($B119)="","",IF(IFERROR(INDEX(Lists!$AP$2:$AP$11,MATCH(ROW(),Lists!$AN$2:$AN$11,0)),"")&lt;&gt;"",IFERROR(INDEX(Lists!$AP$2:$AP$11,MATCH(ROW(),Lists!$AN$2:$AN$11,0)),""),IF(OR(LEFT($AJ119,3)="COE",$AJ119="EGI"),$AP119,IF($AR119&lt;&gt;"Squad",$AR119,$AP119))))</f>
        <v>Ampol App</v>
      </c>
    </row>
    <row r="120" ht="18" customHeight="1" s="866">
      <c r="A120" s="1208" t="n">
        <v>117173</v>
      </c>
      <c r="B120" s="1209" t="inlineStr">
        <is>
          <t>Ashwini Gaikwad</t>
        </is>
      </c>
      <c r="C120" s="1209" t="inlineStr">
        <is>
          <t>Quality Assurance</t>
        </is>
      </c>
      <c r="D120" s="1209" t="inlineStr">
        <is>
          <t>Mitesh Shah</t>
        </is>
      </c>
      <c r="E120" s="1209" t="inlineStr">
        <is>
          <t>Technology Manager, Digitial</t>
        </is>
      </c>
      <c r="F120" s="1210" t="inlineStr">
        <is>
          <t>Customer</t>
        </is>
      </c>
      <c r="G120" s="1199" t="inlineStr">
        <is>
          <t>Digital</t>
        </is>
      </c>
      <c r="H120" s="1209" t="inlineStr">
        <is>
          <t>Digital, Tech</t>
        </is>
      </c>
      <c r="I120" s="1199" t="inlineStr">
        <is>
          <t>Ampol Customer</t>
        </is>
      </c>
      <c r="J120" s="1209" t="inlineStr">
        <is>
          <t>Ampol Digital</t>
        </is>
      </c>
      <c r="K120" s="1209" t="inlineStr">
        <is>
          <t>Ampol Web</t>
        </is>
      </c>
      <c r="L120" s="1199" t="n"/>
      <c r="M120" s="1211" t="inlineStr">
        <is>
          <t>Australia</t>
        </is>
      </c>
      <c r="N120" s="1199" t="inlineStr">
        <is>
          <t>CDC</t>
        </is>
      </c>
      <c r="O120" s="1199" t="n">
        <v>1</v>
      </c>
      <c r="P120" s="1199" t="n"/>
      <c r="Q120" s="1199" t="inlineStr">
        <is>
          <t>Permanent - Full Time</t>
        </is>
      </c>
      <c r="R120" s="1218" t="n"/>
      <c r="S120" s="1199" t="n"/>
      <c r="T120" s="1212" t="n">
        <v>126350</v>
      </c>
      <c r="U120" s="1212" t="n">
        <v>126350</v>
      </c>
      <c r="V120" s="1199" t="n">
        <v>0.12</v>
      </c>
      <c r="W120" s="1199" t="n">
        <v>0.055</v>
      </c>
      <c r="X120" s="1199" t="n">
        <v>0.12</v>
      </c>
      <c r="Y120" s="1199" t="n"/>
      <c r="Z120" s="1199" t="n">
        <v>0.04</v>
      </c>
      <c r="AA120" s="1219">
        <f>IF(TRIM($B120)="","",IF(N($AU120)&gt;0,$AU120,IF(N($S120)&gt;0,$S120*Lists!$AG$15*(1+N($Z120)),N($U120)*(1+N($V120)+N($W120)+N($X120)+N($Z120))+N($Y120))))</f>
        <v>168677.25</v>
      </c>
      <c r="AB120" s="1217" t="n"/>
      <c r="AC120" s="1217" t="n"/>
      <c r="AD120" s="1217" t="n"/>
      <c r="AE120" s="1217" t="n"/>
      <c r="AF120" s="1217" t="n"/>
      <c r="AG120" s="1217" t="n"/>
      <c r="AH120" s="1908" t="n"/>
      <c r="AJ120" s="865" t="str">
        <f>IF(TRIM($B120)="","",IF(IFERROR(INDEX(Lists!$AO$2:$AO$11,MATCH(ROW(),Lists!$AN$2:$AN$11,0)),"")&lt;&gt;"",IFERROR(INDEX(Lists!$AO$2:$AO$11,MATCH(ROW(),Lists!$AN$2:$AN$11,0)),""),IFERROR(INDEX(Lists!$U:$U,MATCH(TRIM($I120),Lists!$T:$T,0)),TRIM($I120))))</f>
        <v>Customer</v>
      </c>
      <c r="AK120" s="865" t="str">
        <f>IF(ISNUMBER(SEARCH("vacant",$B120)),"Vacant","Filled")</f>
        <v>Filled</v>
      </c>
      <c r="AL120" s="865" t="str">
        <f>IF($M120="NZ","NZ","AU")</f>
        <v>AU</v>
      </c>
      <c r="AM120" s="865">
        <f>COUNTIF($AJ$2:$AJ120,$AJ120)</f>
        <v>13</v>
      </c>
      <c r="AN120" s="865" t="str">
        <f>$AJ120&amp;"|"&amp;$AM120</f>
        <v>Customer|13</v>
      </c>
      <c r="AP120" s="865" t="str">
        <f>IF(TRIM($B120)="","",IF($AQ120=1,"Leadership",IFERROR(INDEX(Lists!$X:$X,MATCH(TRIM($K120),Lists!$W:$W,0)),IF(OR(TRIM($K120)="",LOWER(TRIM($K120))="na"),IF(TRIM($G120)="","Unassigned",TRIM($G120)),TRIM($K120)))))</f>
        <v>Ampol Web</v>
      </c>
      <c r="AQ120" s="865" t="b">
        <f>IF(TRIM($B120)="","",--OR(TRIM($K120)="Leadership",TRIM($J120)="Leadership"))</f>
        <v>0</v>
      </c>
      <c r="AR120" s="1136" t="str">
        <f>IF(TRIM($B120)="","",IF(IFERROR(INDEX(Lists!$AQ$2:$AQ$11,MATCH(ROW(),Lists!$AN$2:$AN$11,0)),"")&lt;&gt;"",IFERROR(INDEX(Lists!$AQ$2:$AQ$11,MATCH(ROW(),Lists!$AN$2:$AN$11,0)),""),IF(ISNUMBER(SEARCH("head of ",$C120)),"Head of Technology",IF(ISNUMBER(SEARCH("TDD BP",$C120)),"Business Partner",IF(OR(ISNUMBER(SEARCH("domain architect",$C120)),ISNUMBER(SEARCH("enterprise architect",$C120))),"Domain Architect",IF(ISNUMBER(SEARCH("delivery man",$C120)),"Delivery Manager",IF(OR(ISNUMBER(SEARCH("technology manager",$C120)),ISNUMBER(SEARCH("technology manger",$C120)),ISNUMBER(SEARCH("tech manager",$C120))),"Technology Manager","Squad")))))))</f>
        <v>Squad</v>
      </c>
      <c r="AS120" s="1136" t="str">
        <f>IF(TRIM($B120)="","",IFERROR(INDEX(Lists!$AA:$AA,MATCH($AP120,Lists!$Z:$Z,0)),$AP120))</f>
        <v>Ampol Web</v>
      </c>
      <c r="AT120" s="1136" t="str">
        <f>IF(TRIM($B120)="","",IF(IFERROR(INDEX(Lists!$AP$2:$AP$11,MATCH(ROW(),Lists!$AN$2:$AN$11,0)),"")&lt;&gt;"",IFERROR(INDEX(Lists!$AP$2:$AP$11,MATCH(ROW(),Lists!$AN$2:$AN$11,0)),""),IF(OR(LEFT($AJ120,3)="COE",$AJ120="EGI"),$AP120,IF($AR120&lt;&gt;"Squad",$AR120,$AP120))))</f>
        <v>Ampol Web</v>
      </c>
    </row>
    <row r="121" ht="18" customHeight="1" s="866">
      <c r="A121" s="1208" t="n">
        <v>99999101500</v>
      </c>
      <c r="B121" s="1199" t="inlineStr">
        <is>
          <t>Bharat Talreja</t>
        </is>
      </c>
      <c r="C121" s="1199" t="inlineStr">
        <is>
          <t>Marketing Technology Lead</t>
        </is>
      </c>
      <c r="D121" s="1199" t="inlineStr">
        <is>
          <t>Kris Hamilton</t>
        </is>
      </c>
      <c r="E121" s="1199" t="inlineStr">
        <is>
          <t>Technology Manager, Loyalty &amp; Martech</t>
        </is>
      </c>
      <c r="F121" s="1210" t="inlineStr">
        <is>
          <t>Customer</t>
        </is>
      </c>
      <c r="G121" s="1199" t="inlineStr">
        <is>
          <t>Loyalty &amp; Martech</t>
        </is>
      </c>
      <c r="H121" s="1199" t="inlineStr">
        <is>
          <t>Loyalty, Tech</t>
        </is>
      </c>
      <c r="I121" s="1199" t="inlineStr">
        <is>
          <t>Ampol Customer</t>
        </is>
      </c>
      <c r="J121" s="1199" t="inlineStr">
        <is>
          <t>Z Loyalty &amp; Martech</t>
        </is>
      </c>
      <c r="K121" s="1199" t="inlineStr">
        <is>
          <t>Z Loyalty &amp; Martech</t>
        </is>
      </c>
      <c r="L121" s="1199" t="n"/>
      <c r="M121" s="1211" t="inlineStr">
        <is>
          <t>NZ</t>
        </is>
      </c>
      <c r="N121" s="1199" t="inlineStr">
        <is>
          <t>CIC</t>
        </is>
      </c>
      <c r="O121" s="1209" t="n">
        <v>1</v>
      </c>
      <c r="P121" s="1199" t="n"/>
      <c r="Q121" s="1199" t="inlineStr">
        <is>
          <t>Contractor</t>
        </is>
      </c>
      <c r="R121" s="1199" t="inlineStr">
        <is>
          <t>?</t>
        </is>
      </c>
      <c r="S121" s="1199" t="n">
        <v>1200</v>
      </c>
      <c r="T121" s="1212" t="n">
        <v>0</v>
      </c>
      <c r="U121" s="1213" t="n"/>
      <c r="V121" s="1214" t="n"/>
      <c r="W121" s="1215" t="n"/>
      <c r="X121" s="1215" t="n"/>
      <c r="Y121" s="1215" t="n"/>
      <c r="Z121" s="1215" t="n"/>
      <c r="AA121" s="1216">
        <f>IF(TRIM($B121)="","",IF(N($AU121)&gt;0,$AU121,IF(N($S121)&gt;0,$S121*Lists!$AG$15*(1+N($Z121)),N($U121)*(1+N($V121)+N($W121)+N($X121)+N($Z121))+N($Y121))))</f>
        <v>266400</v>
      </c>
      <c r="AB121" s="1217" t="n"/>
      <c r="AC121" s="1217" t="n"/>
      <c r="AD121" s="1217" t="n"/>
      <c r="AE121" s="1217" t="n"/>
      <c r="AF121" s="1217" t="n"/>
      <c r="AG121" s="1217" t="n"/>
      <c r="AH121" s="1908" t="n"/>
      <c r="AJ121" s="865" t="str">
        <f>IF(TRIM($B121)="","",IF(IFERROR(INDEX(Lists!$AO$2:$AO$11,MATCH(ROW(),Lists!$AN$2:$AN$11,0)),"")&lt;&gt;"",IFERROR(INDEX(Lists!$AO$2:$AO$11,MATCH(ROW(),Lists!$AN$2:$AN$11,0)),""),IFERROR(INDEX(Lists!$U:$U,MATCH(TRIM($I121),Lists!$T:$T,0)),TRIM($I121))))</f>
        <v>Customer</v>
      </c>
      <c r="AK121" s="865" t="str">
        <f>IF(ISNUMBER(SEARCH("vacant",$B121)),"Vacant","Filled")</f>
        <v>Filled</v>
      </c>
      <c r="AL121" s="865" t="str">
        <f>IF($M121="NZ","NZ","AU")</f>
        <v>NZ</v>
      </c>
      <c r="AM121" s="865">
        <f>COUNTIF($AJ$2:$AJ121,$AJ121)</f>
        <v>14</v>
      </c>
      <c r="AN121" s="865" t="str">
        <f>$AJ121&amp;"|"&amp;$AM121</f>
        <v>Customer|14</v>
      </c>
      <c r="AP121" s="865" t="str">
        <f>IF(TRIM($B121)="","",IF($AQ121=1,"Leadership",IFERROR(INDEX(Lists!$X:$X,MATCH(TRIM($K121),Lists!$W:$W,0)),IF(OR(TRIM($K121)="",LOWER(TRIM($K121))="na"),IF(TRIM($G121)="","Unassigned",TRIM($G121)),TRIM($K121)))))</f>
        <v>Z Loyalty &amp; Martech</v>
      </c>
      <c r="AQ121" s="865" t="b">
        <f>IF(TRIM($B121)="","",--OR(TRIM($K121)="Leadership",TRIM($J121)="Leadership"))</f>
        <v>0</v>
      </c>
      <c r="AR121" s="1136" t="str">
        <f>IF(TRIM($B121)="","",IF(IFERROR(INDEX(Lists!$AQ$2:$AQ$11,MATCH(ROW(),Lists!$AN$2:$AN$11,0)),"")&lt;&gt;"",IFERROR(INDEX(Lists!$AQ$2:$AQ$11,MATCH(ROW(),Lists!$AN$2:$AN$11,0)),""),IF(ISNUMBER(SEARCH("head of ",$C121)),"Head of Technology",IF(ISNUMBER(SEARCH("TDD BP",$C121)),"Business Partner",IF(OR(ISNUMBER(SEARCH("domain architect",$C121)),ISNUMBER(SEARCH("enterprise architect",$C121))),"Domain Architect",IF(ISNUMBER(SEARCH("delivery man",$C121)),"Delivery Manager",IF(OR(ISNUMBER(SEARCH("technology manager",$C121)),ISNUMBER(SEARCH("technology manger",$C121)),ISNUMBER(SEARCH("tech manager",$C121))),"Technology Manager","Squad")))))))</f>
        <v>Squad</v>
      </c>
      <c r="AS121" s="1136" t="str">
        <f>IF(TRIM($B121)="","",IFERROR(INDEX(Lists!$AA:$AA,MATCH($AP121,Lists!$Z:$Z,0)),$AP121))</f>
        <v>Z Loyalty &amp; Martech</v>
      </c>
      <c r="AT121" s="1136" t="str">
        <f>IF(TRIM($B121)="","",IF(IFERROR(INDEX(Lists!$AP$2:$AP$11,MATCH(ROW(),Lists!$AN$2:$AN$11,0)),"")&lt;&gt;"",IFERROR(INDEX(Lists!$AP$2:$AP$11,MATCH(ROW(),Lists!$AN$2:$AN$11,0)),""),IF(OR(LEFT($AJ121,3)="COE",$AJ121="EGI"),$AP121,IF($AR121&lt;&gt;"Squad",$AR121,$AP121))))</f>
        <v>Z Loyalty &amp; Martech</v>
      </c>
    </row>
    <row r="122" ht="18" customHeight="1" s="866">
      <c r="A122" s="1208" t="n">
        <v>108287</v>
      </c>
      <c r="B122" s="1209" t="inlineStr">
        <is>
          <t>Binumon Mathai</t>
        </is>
      </c>
      <c r="C122" s="1209" t="inlineStr">
        <is>
          <t>Senior Quality Assurance</t>
        </is>
      </c>
      <c r="D122" s="1209" t="inlineStr">
        <is>
          <t>Mitesh Shah</t>
        </is>
      </c>
      <c r="E122" s="1209" t="inlineStr">
        <is>
          <t>Technology Manager, Digitial</t>
        </is>
      </c>
      <c r="F122" s="1210" t="inlineStr">
        <is>
          <t>Customer</t>
        </is>
      </c>
      <c r="G122" s="1199" t="inlineStr">
        <is>
          <t>Digital</t>
        </is>
      </c>
      <c r="H122" s="1209" t="inlineStr">
        <is>
          <t>Digital, Tech</t>
        </is>
      </c>
      <c r="I122" s="1199" t="inlineStr">
        <is>
          <t>Ampol Customer</t>
        </is>
      </c>
      <c r="J122" s="1209" t="inlineStr">
        <is>
          <t>Ampol Digital</t>
        </is>
      </c>
      <c r="K122" s="1209" t="inlineStr">
        <is>
          <t>Ampol App</t>
        </is>
      </c>
      <c r="L122" s="1199" t="n"/>
      <c r="M122" s="1211" t="inlineStr">
        <is>
          <t>Australia</t>
        </is>
      </c>
      <c r="N122" s="1199" t="inlineStr">
        <is>
          <t>CIB</t>
        </is>
      </c>
      <c r="O122" s="1199" t="n">
        <v>1</v>
      </c>
      <c r="P122" s="1199" t="n"/>
      <c r="Q122" s="1218" t="inlineStr">
        <is>
          <t>cxc</t>
        </is>
      </c>
      <c r="R122" s="1218" t="inlineStr">
        <is>
          <t>Daily</t>
        </is>
      </c>
      <c r="S122" s="1199" t="n">
        <v>1008</v>
      </c>
      <c r="T122" s="1212" t="n">
        <v>0</v>
      </c>
      <c r="U122" s="1212" t="n"/>
      <c r="V122" s="1199" t="n"/>
      <c r="W122" s="1199" t="n"/>
      <c r="X122" s="1199" t="n"/>
      <c r="Y122" s="1199" t="n"/>
      <c r="Z122" s="1199" t="n"/>
      <c r="AA122" s="1219">
        <f>IF(TRIM($B122)="","",IF(N($AU122)&gt;0,$AU122,IF(N($S122)&gt;0,$S122*Lists!$AG$15*(1+N($Z122)),N($U122)*(1+N($V122)+N($W122)+N($X122)+N($Z122))+N($Y122))))</f>
        <v>223776</v>
      </c>
      <c r="AB122" s="1217" t="n"/>
      <c r="AC122" s="1217" t="n"/>
      <c r="AD122" s="1217" t="n"/>
      <c r="AE122" s="1217" t="n"/>
      <c r="AF122" s="1217" t="n"/>
      <c r="AG122" s="1217" t="n"/>
      <c r="AH122" s="1908" t="n"/>
      <c r="AJ122" s="865" t="str">
        <f>IF(TRIM($B122)="","",IF(IFERROR(INDEX(Lists!$AO$2:$AO$11,MATCH(ROW(),Lists!$AN$2:$AN$11,0)),"")&lt;&gt;"",IFERROR(INDEX(Lists!$AO$2:$AO$11,MATCH(ROW(),Lists!$AN$2:$AN$11,0)),""),IFERROR(INDEX(Lists!$U:$U,MATCH(TRIM($I122),Lists!$T:$T,0)),TRIM($I122))))</f>
        <v>Customer</v>
      </c>
      <c r="AK122" s="865" t="str">
        <f>IF(ISNUMBER(SEARCH("vacant",$B122)),"Vacant","Filled")</f>
        <v>Filled</v>
      </c>
      <c r="AL122" s="865" t="str">
        <f>IF($M122="NZ","NZ","AU")</f>
        <v>AU</v>
      </c>
      <c r="AM122" s="865">
        <f>COUNTIF($AJ$2:$AJ122,$AJ122)</f>
        <v>15</v>
      </c>
      <c r="AN122" s="865" t="str">
        <f>$AJ122&amp;"|"&amp;$AM122</f>
        <v>Customer|15</v>
      </c>
      <c r="AP122" s="865" t="str">
        <f>IF(TRIM($B122)="","",IF($AQ122=1,"Leadership",IFERROR(INDEX(Lists!$X:$X,MATCH(TRIM($K122),Lists!$W:$W,0)),IF(OR(TRIM($K122)="",LOWER(TRIM($K122))="na"),IF(TRIM($G122)="","Unassigned",TRIM($G122)),TRIM($K122)))))</f>
        <v>Ampol App</v>
      </c>
      <c r="AQ122" s="865" t="b">
        <f>IF(TRIM($B122)="","",--OR(TRIM($K122)="Leadership",TRIM($J122)="Leadership"))</f>
        <v>0</v>
      </c>
      <c r="AR122" s="1136" t="str">
        <f>IF(TRIM($B122)="","",IF(IFERROR(INDEX(Lists!$AQ$2:$AQ$11,MATCH(ROW(),Lists!$AN$2:$AN$11,0)),"")&lt;&gt;"",IFERROR(INDEX(Lists!$AQ$2:$AQ$11,MATCH(ROW(),Lists!$AN$2:$AN$11,0)),""),IF(ISNUMBER(SEARCH("head of ",$C122)),"Head of Technology",IF(ISNUMBER(SEARCH("TDD BP",$C122)),"Business Partner",IF(OR(ISNUMBER(SEARCH("domain architect",$C122)),ISNUMBER(SEARCH("enterprise architect",$C122))),"Domain Architect",IF(ISNUMBER(SEARCH("delivery man",$C122)),"Delivery Manager",IF(OR(ISNUMBER(SEARCH("technology manager",$C122)),ISNUMBER(SEARCH("technology manger",$C122)),ISNUMBER(SEARCH("tech manager",$C122))),"Technology Manager","Squad")))))))</f>
        <v>Squad</v>
      </c>
      <c r="AS122" s="1136" t="str">
        <f>IF(TRIM($B122)="","",IFERROR(INDEX(Lists!$AA:$AA,MATCH($AP122,Lists!$Z:$Z,0)),$AP122))</f>
        <v>Ampol App</v>
      </c>
      <c r="AT122" s="1136" t="str">
        <f>IF(TRIM($B122)="","",IF(IFERROR(INDEX(Lists!$AP$2:$AP$11,MATCH(ROW(),Lists!$AN$2:$AN$11,0)),"")&lt;&gt;"",IFERROR(INDEX(Lists!$AP$2:$AP$11,MATCH(ROW(),Lists!$AN$2:$AN$11,0)),""),IF(OR(LEFT($AJ122,3)="COE",$AJ122="EGI"),$AP122,IF($AR122&lt;&gt;"Squad",$AR122,$AP122))))</f>
        <v>Ampol App</v>
      </c>
    </row>
    <row r="123" ht="18" customHeight="1" s="866">
      <c r="A123" s="1208" t="n">
        <v>99999101220</v>
      </c>
      <c r="B123" s="1209" t="inlineStr">
        <is>
          <t>Byron Thornhill</t>
        </is>
      </c>
      <c r="C123" s="1209" t="inlineStr">
        <is>
          <t>Design Manager</t>
        </is>
      </c>
      <c r="D123" s="1209" t="inlineStr">
        <is>
          <t>Shona Paul</t>
        </is>
      </c>
      <c r="E123" s="1209" t="inlineStr">
        <is>
          <t>Head of Technology, Digital</t>
        </is>
      </c>
      <c r="F123" s="1210" t="inlineStr">
        <is>
          <t>Customer</t>
        </is>
      </c>
      <c r="G123" s="1199" t="inlineStr">
        <is>
          <t>Digital</t>
        </is>
      </c>
      <c r="H123" s="1199" t="inlineStr">
        <is>
          <t>Digital, Design</t>
        </is>
      </c>
      <c r="I123" s="1199" t="inlineStr">
        <is>
          <t>Ampol Customer</t>
        </is>
      </c>
      <c r="J123" s="1221" t="inlineStr">
        <is>
          <t>Z Energy (Digitial) and Ampol Customer</t>
        </is>
      </c>
      <c r="K123" s="1209" t="inlineStr">
        <is>
          <t>Leadership</t>
        </is>
      </c>
      <c r="L123" s="1199" t="n"/>
      <c r="M123" s="1211" t="inlineStr">
        <is>
          <t>NZ</t>
        </is>
      </c>
      <c r="N123" s="1199" t="inlineStr">
        <is>
          <t>CSB</t>
        </is>
      </c>
      <c r="O123" s="1209" t="n">
        <v>1</v>
      </c>
      <c r="P123" s="1199" t="n"/>
      <c r="Q123" s="1199" t="inlineStr">
        <is>
          <t>Permanent - Full Time</t>
        </is>
      </c>
      <c r="R123" s="1218" t="n"/>
      <c r="S123" s="1199" t="n"/>
      <c r="T123" s="1212" t="n">
        <v>119900</v>
      </c>
      <c r="U123" s="1212" t="n">
        <v>119900</v>
      </c>
      <c r="V123" s="1199" t="n">
        <v>0.1</v>
      </c>
      <c r="W123" s="1199" t="n">
        <v>0.055</v>
      </c>
      <c r="X123" s="1199" t="n">
        <v>0.12</v>
      </c>
      <c r="Y123" s="1199" t="n"/>
      <c r="Z123" s="1199" t="n">
        <v>0.04</v>
      </c>
      <c r="AA123" s="1219">
        <f>IF(TRIM($B123)="","",IF(N($AU123)&gt;0,$AU123,IF(N($S123)&gt;0,$S123*Lists!$AG$15*(1+N($Z123)),N($U123)*(1+N($V123)+N($W123)+N($X123)+N($Z123))+N($Y123))))</f>
        <v>157668.5</v>
      </c>
      <c r="AB123" s="1217" t="n"/>
      <c r="AC123" s="1217" t="n"/>
      <c r="AD123" s="1217" t="n"/>
      <c r="AE123" s="1217" t="n"/>
      <c r="AF123" s="1217" t="n"/>
      <c r="AG123" s="1217" t="n"/>
      <c r="AH123" s="1908" t="n"/>
      <c r="AJ123" s="865" t="str">
        <f>IF(TRIM($B123)="","",IF(IFERROR(INDEX(Lists!$AO$2:$AO$11,MATCH(ROW(),Lists!$AN$2:$AN$11,0)),"")&lt;&gt;"",IFERROR(INDEX(Lists!$AO$2:$AO$11,MATCH(ROW(),Lists!$AN$2:$AN$11,0)),""),IFERROR(INDEX(Lists!$U:$U,MATCH(TRIM($I123),Lists!$T:$T,0)),TRIM($I123))))</f>
        <v>Customer</v>
      </c>
      <c r="AK123" s="865" t="str">
        <f>IF(ISNUMBER(SEARCH("vacant",$B123)),"Vacant","Filled")</f>
        <v>Filled</v>
      </c>
      <c r="AL123" s="865" t="str">
        <f>IF($M123="NZ","NZ","AU")</f>
        <v>NZ</v>
      </c>
      <c r="AM123" s="865">
        <f>COUNTIF($AJ$2:$AJ123,$AJ123)</f>
        <v>16</v>
      </c>
      <c r="AN123" s="865" t="str">
        <f>$AJ123&amp;"|"&amp;$AM123</f>
        <v>Customer|16</v>
      </c>
      <c r="AP123" s="865" t="str">
        <f>IF(TRIM($B123)="","",IF($AQ123=1,"Leadership",IFERROR(INDEX(Lists!$X:$X,MATCH(TRIM($K123),Lists!$W:$W,0)),IF(OR(TRIM($K123)="",LOWER(TRIM($K123))="na"),IF(TRIM($G123)="","Unassigned",TRIM($G123)),TRIM($K123)))))</f>
        <v>Leadership</v>
      </c>
      <c r="AQ123" s="865" t="b">
        <f>IF(TRIM($B123)="","",--OR(TRIM($K123)="Leadership",TRIM($J123)="Leadership"))</f>
        <v>1</v>
      </c>
      <c r="AR123" s="1136" t="str">
        <f>IF(TRIM($B123)="","",IF(IFERROR(INDEX(Lists!$AQ$2:$AQ$11,MATCH(ROW(),Lists!$AN$2:$AN$11,0)),"")&lt;&gt;"",IFERROR(INDEX(Lists!$AQ$2:$AQ$11,MATCH(ROW(),Lists!$AN$2:$AN$11,0)),""),IF(ISNUMBER(SEARCH("head of ",$C123)),"Head of Technology",IF(ISNUMBER(SEARCH("TDD BP",$C123)),"Business Partner",IF(OR(ISNUMBER(SEARCH("domain architect",$C123)),ISNUMBER(SEARCH("enterprise architect",$C123))),"Domain Architect",IF(ISNUMBER(SEARCH("delivery man",$C123)),"Delivery Manager",IF(OR(ISNUMBER(SEARCH("technology manager",$C123)),ISNUMBER(SEARCH("technology manger",$C123)),ISNUMBER(SEARCH("tech manager",$C123))),"Technology Manager","Squad")))))))</f>
        <v>Squad</v>
      </c>
      <c r="AS123" s="1136" t="str">
        <f>IF(TRIM($B123)="","",IFERROR(INDEX(Lists!$AA:$AA,MATCH($AP123,Lists!$Z:$Z,0)),$AP123))</f>
        <v>Leadership</v>
      </c>
      <c r="AT123" s="1136" t="str">
        <f>IF(TRIM($B123)="","",IF(IFERROR(INDEX(Lists!$AP$2:$AP$11,MATCH(ROW(),Lists!$AN$2:$AN$11,0)),"")&lt;&gt;"",IFERROR(INDEX(Lists!$AP$2:$AP$11,MATCH(ROW(),Lists!$AN$2:$AN$11,0)),""),IF(OR(LEFT($AJ123,3)="COE",$AJ123="EGI"),$AP123,IF($AR123&lt;&gt;"Squad",$AR123,$AP123))))</f>
        <v>Leadership</v>
      </c>
    </row>
    <row r="124" ht="18" customHeight="1" s="866">
      <c r="A124" s="1208" t="n">
        <v>99999101656</v>
      </c>
      <c r="B124" s="1199" t="inlineStr">
        <is>
          <t>Carianne Monast</t>
        </is>
      </c>
      <c r="C124" s="1199" t="inlineStr">
        <is>
          <t>Martech Specialist</t>
        </is>
      </c>
      <c r="D124" s="1199" t="inlineStr">
        <is>
          <t>Kris Hamilton</t>
        </is>
      </c>
      <c r="E124" s="1199" t="inlineStr">
        <is>
          <t>Technology Manager, Loyalty &amp; Martech</t>
        </is>
      </c>
      <c r="F124" s="1210" t="inlineStr">
        <is>
          <t>Customer</t>
        </is>
      </c>
      <c r="G124" s="1199" t="inlineStr">
        <is>
          <t>Loyalty &amp; Martech</t>
        </is>
      </c>
      <c r="H124" s="1199" t="inlineStr">
        <is>
          <t>Loyalty, Tech</t>
        </is>
      </c>
      <c r="I124" s="1199" t="inlineStr">
        <is>
          <t>Ampol Customer</t>
        </is>
      </c>
      <c r="J124" s="1199" t="inlineStr">
        <is>
          <t>Z Loyalty &amp; Martech</t>
        </is>
      </c>
      <c r="K124" s="1199" t="inlineStr">
        <is>
          <t>Z Loyalty &amp; Martech</t>
        </is>
      </c>
      <c r="L124" s="1199" t="n"/>
      <c r="M124" s="1211" t="inlineStr">
        <is>
          <t>NZ</t>
        </is>
      </c>
      <c r="N124" s="1199" t="inlineStr">
        <is>
          <t>CIA</t>
        </is>
      </c>
      <c r="O124" s="1209" t="n">
        <v>1</v>
      </c>
      <c r="P124" s="1199" t="n"/>
      <c r="Q124" s="1199" t="inlineStr">
        <is>
          <t>Permanent - Full Time</t>
        </is>
      </c>
      <c r="R124" s="1199" t="n"/>
      <c r="S124" s="1199" t="n"/>
      <c r="T124" s="1212" t="n">
        <v>155320</v>
      </c>
      <c r="U124" s="1213" t="n">
        <v>155320</v>
      </c>
      <c r="V124" s="1214" t="n">
        <v>0.12</v>
      </c>
      <c r="W124" s="1215" t="n">
        <v>0.055</v>
      </c>
      <c r="X124" s="1215" t="n">
        <v>0.12</v>
      </c>
      <c r="Y124" s="1215" t="n"/>
      <c r="Z124" s="1215" t="n">
        <v>0.04</v>
      </c>
      <c r="AA124" s="1216">
        <f>IF(TRIM($B124)="","",IF(N($AU124)&gt;0,$AU124,IF(N($S124)&gt;0,$S124*Lists!$AG$15*(1+N($Z124)),N($U124)*(1+N($V124)+N($W124)+N($X124)+N($Z124))+N($Y124))))</f>
        <v>207352.2</v>
      </c>
      <c r="AB124" s="1217" t="n"/>
      <c r="AC124" s="1217" t="n"/>
      <c r="AD124" s="1217" t="n"/>
      <c r="AE124" s="1217" t="n"/>
      <c r="AF124" s="1217" t="n"/>
      <c r="AG124" s="1217" t="n"/>
      <c r="AH124" s="1908" t="n"/>
      <c r="AJ124" s="865" t="str">
        <f>IF(TRIM($B124)="","",IF(IFERROR(INDEX(Lists!$AO$2:$AO$11,MATCH(ROW(),Lists!$AN$2:$AN$11,0)),"")&lt;&gt;"",IFERROR(INDEX(Lists!$AO$2:$AO$11,MATCH(ROW(),Lists!$AN$2:$AN$11,0)),""),IFERROR(INDEX(Lists!$U:$U,MATCH(TRIM($I124),Lists!$T:$T,0)),TRIM($I124))))</f>
        <v>Customer</v>
      </c>
      <c r="AK124" s="865" t="str">
        <f>IF(ISNUMBER(SEARCH("vacant",$B124)),"Vacant","Filled")</f>
        <v>Filled</v>
      </c>
      <c r="AL124" s="865" t="str">
        <f>IF($M124="NZ","NZ","AU")</f>
        <v>NZ</v>
      </c>
      <c r="AM124" s="865">
        <f>COUNTIF($AJ$2:$AJ124,$AJ124)</f>
        <v>17</v>
      </c>
      <c r="AN124" s="865" t="str">
        <f>$AJ124&amp;"|"&amp;$AM124</f>
        <v>Customer|17</v>
      </c>
      <c r="AP124" s="865" t="str">
        <f>IF(TRIM($B124)="","",IF($AQ124=1,"Leadership",IFERROR(INDEX(Lists!$X:$X,MATCH(TRIM($K124),Lists!$W:$W,0)),IF(OR(TRIM($K124)="",LOWER(TRIM($K124))="na"),IF(TRIM($G124)="","Unassigned",TRIM($G124)),TRIM($K124)))))</f>
        <v>Z Loyalty &amp; Martech</v>
      </c>
      <c r="AQ124" s="865" t="b">
        <f>IF(TRIM($B124)="","",--OR(TRIM($K124)="Leadership",TRIM($J124)="Leadership"))</f>
        <v>0</v>
      </c>
      <c r="AR124" s="1136" t="str">
        <f>IF(TRIM($B124)="","",IF(IFERROR(INDEX(Lists!$AQ$2:$AQ$11,MATCH(ROW(),Lists!$AN$2:$AN$11,0)),"")&lt;&gt;"",IFERROR(INDEX(Lists!$AQ$2:$AQ$11,MATCH(ROW(),Lists!$AN$2:$AN$11,0)),""),IF(ISNUMBER(SEARCH("head of ",$C124)),"Head of Technology",IF(ISNUMBER(SEARCH("TDD BP",$C124)),"Business Partner",IF(OR(ISNUMBER(SEARCH("domain architect",$C124)),ISNUMBER(SEARCH("enterprise architect",$C124))),"Domain Architect",IF(ISNUMBER(SEARCH("delivery man",$C124)),"Delivery Manager",IF(OR(ISNUMBER(SEARCH("technology manager",$C124)),ISNUMBER(SEARCH("technology manger",$C124)),ISNUMBER(SEARCH("tech manager",$C124))),"Technology Manager","Squad")))))))</f>
        <v>Squad</v>
      </c>
      <c r="AS124" s="1136" t="str">
        <f>IF(TRIM($B124)="","",IFERROR(INDEX(Lists!$AA:$AA,MATCH($AP124,Lists!$Z:$Z,0)),$AP124))</f>
        <v>Z Loyalty &amp; Martech</v>
      </c>
      <c r="AT124" s="1136" t="str">
        <f>IF(TRIM($B124)="","",IF(IFERROR(INDEX(Lists!$AP$2:$AP$11,MATCH(ROW(),Lists!$AN$2:$AN$11,0)),"")&lt;&gt;"",IFERROR(INDEX(Lists!$AP$2:$AP$11,MATCH(ROW(),Lists!$AN$2:$AN$11,0)),""),IF(OR(LEFT($AJ124,3)="COE",$AJ124="EGI"),$AP124,IF($AR124&lt;&gt;"Squad",$AR124,$AP124))))</f>
        <v>Z Loyalty &amp; Martech</v>
      </c>
    </row>
    <row r="125" ht="18" customHeight="1" s="866">
      <c r="A125" s="1208" t="n">
        <v>99999101454</v>
      </c>
      <c r="B125" s="1199" t="inlineStr">
        <is>
          <t>Celia Voysey</t>
        </is>
      </c>
      <c r="C125" s="1199" t="inlineStr">
        <is>
          <t>Delivery Lead</t>
        </is>
      </c>
      <c r="D125" s="1199" t="inlineStr">
        <is>
          <t>Vacant</t>
        </is>
      </c>
      <c r="E125" s="1199" t="inlineStr">
        <is>
          <t>Delivery Manager, Loyalty</t>
        </is>
      </c>
      <c r="F125" s="1210" t="inlineStr">
        <is>
          <t>Customer</t>
        </is>
      </c>
      <c r="G125" s="1199" t="inlineStr">
        <is>
          <t>Loyalty &amp; Martech</t>
        </is>
      </c>
      <c r="H125" s="1209" t="inlineStr">
        <is>
          <t xml:space="preserve">Loyalty, Delivery </t>
        </is>
      </c>
      <c r="I125" s="1199" t="inlineStr">
        <is>
          <t>Ampol Customer</t>
        </is>
      </c>
      <c r="J125" s="1199" t="inlineStr">
        <is>
          <t>Z Loyalty &amp; Martech</t>
        </is>
      </c>
      <c r="K125" s="1199" t="inlineStr">
        <is>
          <t>Z Loyalty &amp; Martech</t>
        </is>
      </c>
      <c r="L125" s="1199" t="n"/>
      <c r="M125" s="1211" t="inlineStr">
        <is>
          <t>NZ</t>
        </is>
      </c>
      <c r="N125" s="1199" t="inlineStr">
        <is>
          <t>CIC</t>
        </is>
      </c>
      <c r="O125" s="1209" t="n">
        <v>1</v>
      </c>
      <c r="P125" s="1199" t="n"/>
      <c r="Q125" s="1199" t="inlineStr">
        <is>
          <t>Permanent - Full Time</t>
        </is>
      </c>
      <c r="R125" s="1199" t="n"/>
      <c r="S125" s="1199" t="n"/>
      <c r="T125" s="1212" t="n">
        <v>180000</v>
      </c>
      <c r="U125" s="1213" t="n">
        <v>180000</v>
      </c>
      <c r="V125" s="1214" t="n">
        <v>0.12</v>
      </c>
      <c r="W125" s="1215" t="n">
        <v>0.055</v>
      </c>
      <c r="X125" s="1215" t="n">
        <v>0.12</v>
      </c>
      <c r="Y125" s="1215" t="n"/>
      <c r="Z125" s="1215" t="n">
        <v>0.04</v>
      </c>
      <c r="AA125" s="1216">
        <f>IF(TRIM($B125)="","",IF(N($AU125)&gt;0,$AU125,IF(N($S125)&gt;0,$S125*Lists!$AG$15*(1+N($Z125)),N($U125)*(1+N($V125)+N($W125)+N($X125)+N($Z125))+N($Y125))))</f>
        <v>240300</v>
      </c>
      <c r="AB125" s="1217" t="n"/>
      <c r="AC125" s="1217" t="n"/>
      <c r="AD125" s="1217" t="n"/>
      <c r="AE125" s="1217" t="n"/>
      <c r="AF125" s="1217" t="n"/>
      <c r="AG125" s="1217" t="n"/>
      <c r="AH125" s="1908" t="n"/>
      <c r="AJ125" s="865" t="str">
        <f>IF(TRIM($B125)="","",IF(IFERROR(INDEX(Lists!$AO$2:$AO$11,MATCH(ROW(),Lists!$AN$2:$AN$11,0)),"")&lt;&gt;"",IFERROR(INDEX(Lists!$AO$2:$AO$11,MATCH(ROW(),Lists!$AN$2:$AN$11,0)),""),IFERROR(INDEX(Lists!$U:$U,MATCH(TRIM($I125),Lists!$T:$T,0)),TRIM($I125))))</f>
        <v>Customer</v>
      </c>
      <c r="AK125" s="865" t="str">
        <f>IF(ISNUMBER(SEARCH("vacant",$B125)),"Vacant","Filled")</f>
        <v>Filled</v>
      </c>
      <c r="AL125" s="865" t="str">
        <f>IF($M125="NZ","NZ","AU")</f>
        <v>NZ</v>
      </c>
      <c r="AM125" s="865">
        <f>COUNTIF($AJ$2:$AJ125,$AJ125)</f>
        <v>18</v>
      </c>
      <c r="AN125" s="865" t="str">
        <f>$AJ125&amp;"|"&amp;$AM125</f>
        <v>Customer|18</v>
      </c>
      <c r="AP125" s="865" t="str">
        <f>IF(TRIM($B125)="","",IF($AQ125=1,"Leadership",IFERROR(INDEX(Lists!$X:$X,MATCH(TRIM($K125),Lists!$W:$W,0)),IF(OR(TRIM($K125)="",LOWER(TRIM($K125))="na"),IF(TRIM($G125)="","Unassigned",TRIM($G125)),TRIM($K125)))))</f>
        <v>Z Loyalty &amp; Martech</v>
      </c>
      <c r="AQ125" s="865" t="b">
        <f>IF(TRIM($B125)="","",--OR(TRIM($K125)="Leadership",TRIM($J125)="Leadership"))</f>
        <v>0</v>
      </c>
      <c r="AR125" s="1136" t="str">
        <f>IF(TRIM($B125)="","",IF(IFERROR(INDEX(Lists!$AQ$2:$AQ$11,MATCH(ROW(),Lists!$AN$2:$AN$11,0)),"")&lt;&gt;"",IFERROR(INDEX(Lists!$AQ$2:$AQ$11,MATCH(ROW(),Lists!$AN$2:$AN$11,0)),""),IF(ISNUMBER(SEARCH("head of ",$C125)),"Head of Technology",IF(ISNUMBER(SEARCH("TDD BP",$C125)),"Business Partner",IF(OR(ISNUMBER(SEARCH("domain architect",$C125)),ISNUMBER(SEARCH("enterprise architect",$C125))),"Domain Architect",IF(ISNUMBER(SEARCH("delivery man",$C125)),"Delivery Manager",IF(OR(ISNUMBER(SEARCH("technology manager",$C125)),ISNUMBER(SEARCH("technology manger",$C125)),ISNUMBER(SEARCH("tech manager",$C125))),"Technology Manager","Squad")))))))</f>
        <v>Squad</v>
      </c>
      <c r="AS125" s="1136" t="str">
        <f>IF(TRIM($B125)="","",IFERROR(INDEX(Lists!$AA:$AA,MATCH($AP125,Lists!$Z:$Z,0)),$AP125))</f>
        <v>Z Loyalty &amp; Martech</v>
      </c>
      <c r="AT125" s="1136" t="str">
        <f>IF(TRIM($B125)="","",IF(IFERROR(INDEX(Lists!$AP$2:$AP$11,MATCH(ROW(),Lists!$AN$2:$AN$11,0)),"")&lt;&gt;"",IFERROR(INDEX(Lists!$AP$2:$AP$11,MATCH(ROW(),Lists!$AN$2:$AN$11,0)),""),IF(OR(LEFT($AJ125,3)="COE",$AJ125="EGI"),$AP125,IF($AR125&lt;&gt;"Squad",$AR125,$AP125))))</f>
        <v>Z Loyalty &amp; Martech</v>
      </c>
    </row>
    <row r="126" ht="18" customHeight="1" s="866">
      <c r="A126" s="1208" t="n">
        <v>116387</v>
      </c>
      <c r="B126" s="1209" t="inlineStr">
        <is>
          <t>Christian Lazano</t>
        </is>
      </c>
      <c r="C126" s="1209" t="inlineStr">
        <is>
          <t>Business Analyst</t>
        </is>
      </c>
      <c r="D126" s="1209" t="inlineStr">
        <is>
          <t>Vacant</t>
        </is>
      </c>
      <c r="E126" s="1209" t="inlineStr">
        <is>
          <t>customer, program manager</t>
        </is>
      </c>
      <c r="F126" s="1210" t="inlineStr">
        <is>
          <t>Customer</t>
        </is>
      </c>
      <c r="G126" s="1199" t="inlineStr">
        <is>
          <t>Customer, PMO</t>
        </is>
      </c>
      <c r="H126" s="1209" t="n"/>
      <c r="I126" s="1199" t="inlineStr">
        <is>
          <t>Ampol Customer</t>
        </is>
      </c>
      <c r="J126" s="1199" t="inlineStr">
        <is>
          <t>(All Customer)</t>
        </is>
      </c>
      <c r="K126" s="1209" t="inlineStr">
        <is>
          <t>Leadership</t>
        </is>
      </c>
      <c r="L126" s="1199" t="n"/>
      <c r="M126" s="1211" t="inlineStr">
        <is>
          <t>Australia</t>
        </is>
      </c>
      <c r="N126" s="1199" t="inlineStr">
        <is>
          <t>CIB</t>
        </is>
      </c>
      <c r="O126" s="1199" t="n">
        <v>1</v>
      </c>
      <c r="P126" s="1199" t="n"/>
      <c r="Q126" s="1199" t="inlineStr">
        <is>
          <t>Contractor</t>
        </is>
      </c>
      <c r="R126" s="1199" t="inlineStr">
        <is>
          <t>?</t>
        </is>
      </c>
      <c r="S126" s="1199" t="n">
        <v>1200</v>
      </c>
      <c r="T126" s="1212" t="n">
        <v>0</v>
      </c>
      <c r="U126" s="1213" t="n"/>
      <c r="V126" s="1214" t="n"/>
      <c r="W126" s="1215" t="n"/>
      <c r="X126" s="1215" t="n"/>
      <c r="Y126" s="1215" t="n"/>
      <c r="Z126" s="1215" t="n"/>
      <c r="AA126" s="1216">
        <f>IF(TRIM($B126)="","",IF(N($AU126)&gt;0,$AU126,IF(N($S126)&gt;0,$S126*Lists!$AG$15*(1+N($Z126)),N($U126)*(1+N($V126)+N($W126)+N($X126)+N($Z126))+N($Y126))))</f>
        <v>266400</v>
      </c>
      <c r="AB126" s="1217" t="n"/>
      <c r="AC126" s="1217" t="n"/>
      <c r="AD126" s="1217" t="n"/>
      <c r="AE126" s="1217" t="n"/>
      <c r="AF126" s="1217" t="n"/>
      <c r="AG126" s="1217" t="n"/>
      <c r="AH126" s="1908" t="n"/>
      <c r="AJ126" s="865" t="str">
        <f>IF(TRIM($B126)="","",IF(IFERROR(INDEX(Lists!$AO$2:$AO$11,MATCH(ROW(),Lists!$AN$2:$AN$11,0)),"")&lt;&gt;"",IFERROR(INDEX(Lists!$AO$2:$AO$11,MATCH(ROW(),Lists!$AN$2:$AN$11,0)),""),IFERROR(INDEX(Lists!$U:$U,MATCH(TRIM($I126),Lists!$T:$T,0)),TRIM($I126))))</f>
        <v>Customer</v>
      </c>
      <c r="AK126" s="865" t="str">
        <f>IF(ISNUMBER(SEARCH("vacant",$B126)),"Vacant","Filled")</f>
        <v>Filled</v>
      </c>
      <c r="AL126" s="865" t="str">
        <f>IF($M126="NZ","NZ","AU")</f>
        <v>AU</v>
      </c>
      <c r="AM126" s="865">
        <f>COUNTIF($AJ$2:$AJ126,$AJ126)</f>
        <v>19</v>
      </c>
      <c r="AN126" s="865" t="str">
        <f>$AJ126&amp;"|"&amp;$AM126</f>
        <v>Customer|19</v>
      </c>
      <c r="AP126" s="865" t="str">
        <f>IF(TRIM($B126)="","",IF($AQ126=1,"Leadership",IFERROR(INDEX(Lists!$X:$X,MATCH(TRIM($K126),Lists!$W:$W,0)),IF(OR(TRIM($K126)="",LOWER(TRIM($K126))="na"),IF(TRIM($G126)="","Unassigned",TRIM($G126)),TRIM($K126)))))</f>
        <v>Leadership</v>
      </c>
      <c r="AQ126" s="865" t="b">
        <f>IF(TRIM($B126)="","",--OR(TRIM($K126)="Leadership",TRIM($J126)="Leadership"))</f>
        <v>1</v>
      </c>
      <c r="AR126" s="1136" t="str">
        <f>IF(TRIM($B126)="","",IF(IFERROR(INDEX(Lists!$AQ$2:$AQ$11,MATCH(ROW(),Lists!$AN$2:$AN$11,0)),"")&lt;&gt;"",IFERROR(INDEX(Lists!$AQ$2:$AQ$11,MATCH(ROW(),Lists!$AN$2:$AN$11,0)),""),IF(ISNUMBER(SEARCH("head of ",$C126)),"Head of Technology",IF(ISNUMBER(SEARCH("TDD BP",$C126)),"Business Partner",IF(OR(ISNUMBER(SEARCH("domain architect",$C126)),ISNUMBER(SEARCH("enterprise architect",$C126))),"Domain Architect",IF(ISNUMBER(SEARCH("delivery man",$C126)),"Delivery Manager",IF(OR(ISNUMBER(SEARCH("technology manager",$C126)),ISNUMBER(SEARCH("technology manger",$C126)),ISNUMBER(SEARCH("tech manager",$C126))),"Technology Manager","Squad")))))))</f>
        <v>Squad</v>
      </c>
      <c r="AS126" s="1136" t="str">
        <f>IF(TRIM($B126)="","",IFERROR(INDEX(Lists!$AA:$AA,MATCH($AP126,Lists!$Z:$Z,0)),$AP126))</f>
        <v>Leadership</v>
      </c>
      <c r="AT126" s="1136" t="str">
        <f>IF(TRIM($B126)="","",IF(IFERROR(INDEX(Lists!$AP$2:$AP$11,MATCH(ROW(),Lists!$AN$2:$AN$11,0)),"")&lt;&gt;"",IFERROR(INDEX(Lists!$AP$2:$AP$11,MATCH(ROW(),Lists!$AN$2:$AN$11,0)),""),IF(OR(LEFT($AJ126,3)="COE",$AJ126="EGI"),$AP126,IF($AR126&lt;&gt;"Squad",$AR126,$AP126))))</f>
        <v>Leadership</v>
      </c>
    </row>
    <row r="127" ht="18" customHeight="1" s="866">
      <c r="A127" s="1208" t="n">
        <v>97357</v>
      </c>
      <c r="B127" s="1209" t="inlineStr">
        <is>
          <t>Daniel Arban</t>
        </is>
      </c>
      <c r="C127" s="1209" t="inlineStr">
        <is>
          <t>Service Delivery Lead</t>
        </is>
      </c>
      <c r="D127" s="1209" t="inlineStr">
        <is>
          <t>Mark Wilson</t>
        </is>
      </c>
      <c r="E127" s="1209" t="inlineStr">
        <is>
          <t>Digital Support Manager(AU)</t>
        </is>
      </c>
      <c r="F127" s="1210" t="inlineStr">
        <is>
          <t>Customer</t>
        </is>
      </c>
      <c r="G127" s="1199" t="inlineStr">
        <is>
          <t>Digital</t>
        </is>
      </c>
      <c r="H127" s="1209" t="inlineStr">
        <is>
          <t>Digital Support (AU)</t>
        </is>
      </c>
      <c r="I127" s="1199" t="inlineStr">
        <is>
          <t>Ampol Customer</t>
        </is>
      </c>
      <c r="J127" s="1209" t="inlineStr">
        <is>
          <t>Ampol Digital</t>
        </is>
      </c>
      <c r="K127" s="1209" t="inlineStr">
        <is>
          <t>Digital Operations</t>
        </is>
      </c>
      <c r="L127" s="1199" t="n"/>
      <c r="M127" s="1211" t="inlineStr">
        <is>
          <t>Australia</t>
        </is>
      </c>
      <c r="N127" s="1199" t="inlineStr">
        <is>
          <t>CIA</t>
        </is>
      </c>
      <c r="O127" s="1199" t="n">
        <v>1</v>
      </c>
      <c r="P127" s="1199" t="n"/>
      <c r="Q127" s="1218" t="inlineStr">
        <is>
          <t>cxc</t>
        </is>
      </c>
      <c r="R127" s="1218" t="inlineStr">
        <is>
          <t>Daily</t>
        </is>
      </c>
      <c r="S127" s="1199" t="n">
        <v>1120</v>
      </c>
      <c r="T127" s="1212" t="n">
        <v>0</v>
      </c>
      <c r="U127" s="1212" t="n"/>
      <c r="V127" s="1199" t="n"/>
      <c r="W127" s="1199" t="n"/>
      <c r="X127" s="1199" t="n"/>
      <c r="Y127" s="1199" t="n"/>
      <c r="Z127" s="1199" t="n"/>
      <c r="AA127" s="1219">
        <f>IF(TRIM($B127)="","",IF(N($AU127)&gt;0,$AU127,IF(N($S127)&gt;0,$S127*Lists!$AG$15*(1+N($Z127)),N($U127)*(1+N($V127)+N($W127)+N($X127)+N($Z127))+N($Y127))))</f>
        <v>248640</v>
      </c>
      <c r="AB127" s="1217" t="n"/>
      <c r="AC127" s="1217" t="n"/>
      <c r="AD127" s="1217" t="n"/>
      <c r="AE127" s="1217" t="n"/>
      <c r="AF127" s="1217" t="n"/>
      <c r="AG127" s="1217" t="n"/>
      <c r="AH127" s="1908" t="n"/>
      <c r="AJ127" s="865" t="str">
        <f>IF(TRIM($B127)="","",IF(IFERROR(INDEX(Lists!$AO$2:$AO$11,MATCH(ROW(),Lists!$AN$2:$AN$11,0)),"")&lt;&gt;"",IFERROR(INDEX(Lists!$AO$2:$AO$11,MATCH(ROW(),Lists!$AN$2:$AN$11,0)),""),IFERROR(INDEX(Lists!$U:$U,MATCH(TRIM($I127),Lists!$T:$T,0)),TRIM($I127))))</f>
        <v>Customer</v>
      </c>
      <c r="AK127" s="865" t="str">
        <f>IF(ISNUMBER(SEARCH("vacant",$B127)),"Vacant","Filled")</f>
        <v>Filled</v>
      </c>
      <c r="AL127" s="865" t="str">
        <f>IF($M127="NZ","NZ","AU")</f>
        <v>AU</v>
      </c>
      <c r="AM127" s="865">
        <f>COUNTIF($AJ$2:$AJ127,$AJ127)</f>
        <v>20</v>
      </c>
      <c r="AN127" s="865" t="str">
        <f>$AJ127&amp;"|"&amp;$AM127</f>
        <v>Customer|20</v>
      </c>
      <c r="AP127" s="865" t="str">
        <f>IF(TRIM($B127)="","",IF($AQ127=1,"Leadership",IFERROR(INDEX(Lists!$X:$X,MATCH(TRIM($K127),Lists!$W:$W,0)),IF(OR(TRIM($K127)="",LOWER(TRIM($K127))="na"),IF(TRIM($G127)="","Unassigned",TRIM($G127)),TRIM($K127)))))</f>
        <v>Digital Operations</v>
      </c>
      <c r="AQ127" s="865" t="b">
        <f>IF(TRIM($B127)="","",--OR(TRIM($K127)="Leadership",TRIM($J127)="Leadership"))</f>
        <v>0</v>
      </c>
      <c r="AR127" s="1136" t="str">
        <f>IF(TRIM($B127)="","",IF(IFERROR(INDEX(Lists!$AQ$2:$AQ$11,MATCH(ROW(),Lists!$AN$2:$AN$11,0)),"")&lt;&gt;"",IFERROR(INDEX(Lists!$AQ$2:$AQ$11,MATCH(ROW(),Lists!$AN$2:$AN$11,0)),""),IF(ISNUMBER(SEARCH("head of ",$C127)),"Head of Technology",IF(ISNUMBER(SEARCH("TDD BP",$C127)),"Business Partner",IF(OR(ISNUMBER(SEARCH("domain architect",$C127)),ISNUMBER(SEARCH("enterprise architect",$C127))),"Domain Architect",IF(ISNUMBER(SEARCH("delivery man",$C127)),"Delivery Manager",IF(OR(ISNUMBER(SEARCH("technology manager",$C127)),ISNUMBER(SEARCH("technology manger",$C127)),ISNUMBER(SEARCH("tech manager",$C127))),"Technology Manager","Squad")))))))</f>
        <v>Squad</v>
      </c>
      <c r="AS127" s="1136" t="str">
        <f>IF(TRIM($B127)="","",IFERROR(INDEX(Lists!$AA:$AA,MATCH($AP127,Lists!$Z:$Z,0)),$AP127))</f>
        <v>Digital Operations</v>
      </c>
      <c r="AT127" s="1136" t="str">
        <f>IF(TRIM($B127)="","",IF(IFERROR(INDEX(Lists!$AP$2:$AP$11,MATCH(ROW(),Lists!$AN$2:$AN$11,0)),"")&lt;&gt;"",IFERROR(INDEX(Lists!$AP$2:$AP$11,MATCH(ROW(),Lists!$AN$2:$AN$11,0)),""),IF(OR(LEFT($AJ127,3)="COE",$AJ127="EGI"),$AP127,IF($AR127&lt;&gt;"Squad",$AR127,$AP127))))</f>
        <v>Digital Operations</v>
      </c>
    </row>
    <row r="128" ht="18" customHeight="1" s="866">
      <c r="A128" s="1208" t="n">
        <v>109041</v>
      </c>
      <c r="B128" s="1209" t="inlineStr">
        <is>
          <t>Darwin Morales</t>
        </is>
      </c>
      <c r="C128" s="1209" t="inlineStr">
        <is>
          <t>Snr Engineer - FE</t>
        </is>
      </c>
      <c r="D128" s="1209" t="inlineStr">
        <is>
          <t>Mitesh Shah</t>
        </is>
      </c>
      <c r="E128" s="1209" t="inlineStr">
        <is>
          <t>Technology Manager, Digitial</t>
        </is>
      </c>
      <c r="F128" s="1210" t="inlineStr">
        <is>
          <t>Customer</t>
        </is>
      </c>
      <c r="G128" s="1199" t="inlineStr">
        <is>
          <t>Digital</t>
        </is>
      </c>
      <c r="H128" s="1209" t="inlineStr">
        <is>
          <t>Digital, Tech</t>
        </is>
      </c>
      <c r="I128" s="1199" t="inlineStr">
        <is>
          <t>Ampol Customer</t>
        </is>
      </c>
      <c r="J128" s="1209" t="inlineStr">
        <is>
          <t>Ampol Digital</t>
        </is>
      </c>
      <c r="K128" s="1209" t="inlineStr">
        <is>
          <t>Ampol Web</t>
        </is>
      </c>
      <c r="L128" s="1199" t="n"/>
      <c r="M128" s="1211" t="inlineStr">
        <is>
          <t>Australia</t>
        </is>
      </c>
      <c r="N128" s="1199" t="inlineStr">
        <is>
          <t>CIB</t>
        </is>
      </c>
      <c r="O128" s="1199" t="n">
        <v>1</v>
      </c>
      <c r="P128" s="1199" t="n"/>
      <c r="Q128" s="1199" t="inlineStr">
        <is>
          <t>Permanent - Full Time</t>
        </is>
      </c>
      <c r="R128" s="1218" t="n"/>
      <c r="S128" s="1199" t="n"/>
      <c r="T128" s="1212" t="n">
        <v>182090</v>
      </c>
      <c r="U128" s="1212" t="n">
        <v>182090</v>
      </c>
      <c r="V128" s="1199" t="n">
        <v>0.12</v>
      </c>
      <c r="W128" s="1199" t="n">
        <v>0.055</v>
      </c>
      <c r="X128" s="1199" t="n">
        <v>0.12</v>
      </c>
      <c r="Y128" s="1199" t="n"/>
      <c r="Z128" s="1199" t="n">
        <v>0.04</v>
      </c>
      <c r="AA128" s="1219">
        <f>IF(TRIM($B128)="","",IF(N($AU128)&gt;0,$AU128,IF(N($S128)&gt;0,$S128*Lists!$AG$15*(1+N($Z128)),N($U128)*(1+N($V128)+N($W128)+N($X128)+N($Z128))+N($Y128))))</f>
        <v>243090.15</v>
      </c>
      <c r="AB128" s="1217" t="n"/>
      <c r="AC128" s="1217" t="n"/>
      <c r="AD128" s="1217" t="n"/>
      <c r="AE128" s="1217" t="n"/>
      <c r="AF128" s="1217" t="n"/>
      <c r="AG128" s="1217" t="n"/>
      <c r="AH128" s="1908" t="n"/>
      <c r="AJ128" s="865" t="str">
        <f>IF(TRIM($B128)="","",IF(IFERROR(INDEX(Lists!$AO$2:$AO$11,MATCH(ROW(),Lists!$AN$2:$AN$11,0)),"")&lt;&gt;"",IFERROR(INDEX(Lists!$AO$2:$AO$11,MATCH(ROW(),Lists!$AN$2:$AN$11,0)),""),IFERROR(INDEX(Lists!$U:$U,MATCH(TRIM($I128),Lists!$T:$T,0)),TRIM($I128))))</f>
        <v>Customer</v>
      </c>
      <c r="AK128" s="865" t="str">
        <f>IF(ISNUMBER(SEARCH("vacant",$B128)),"Vacant","Filled")</f>
        <v>Filled</v>
      </c>
      <c r="AL128" s="865" t="str">
        <f>IF($M128="NZ","NZ","AU")</f>
        <v>AU</v>
      </c>
      <c r="AM128" s="865">
        <f>COUNTIF($AJ$2:$AJ128,$AJ128)</f>
        <v>21</v>
      </c>
      <c r="AN128" s="865" t="str">
        <f>$AJ128&amp;"|"&amp;$AM128</f>
        <v>Customer|21</v>
      </c>
      <c r="AP128" s="865" t="str">
        <f>IF(TRIM($B128)="","",IF($AQ128=1,"Leadership",IFERROR(INDEX(Lists!$X:$X,MATCH(TRIM($K128),Lists!$W:$W,0)),IF(OR(TRIM($K128)="",LOWER(TRIM($K128))="na"),IF(TRIM($G128)="","Unassigned",TRIM($G128)),TRIM($K128)))))</f>
        <v>Ampol Web</v>
      </c>
      <c r="AQ128" s="865" t="b">
        <f>IF(TRIM($B128)="","",--OR(TRIM($K128)="Leadership",TRIM($J128)="Leadership"))</f>
        <v>0</v>
      </c>
      <c r="AR128" s="1136" t="str">
        <f>IF(TRIM($B128)="","",IF(IFERROR(INDEX(Lists!$AQ$2:$AQ$11,MATCH(ROW(),Lists!$AN$2:$AN$11,0)),"")&lt;&gt;"",IFERROR(INDEX(Lists!$AQ$2:$AQ$11,MATCH(ROW(),Lists!$AN$2:$AN$11,0)),""),IF(ISNUMBER(SEARCH("head of ",$C128)),"Head of Technology",IF(ISNUMBER(SEARCH("TDD BP",$C128)),"Business Partner",IF(OR(ISNUMBER(SEARCH("domain architect",$C128)),ISNUMBER(SEARCH("enterprise architect",$C128))),"Domain Architect",IF(ISNUMBER(SEARCH("delivery man",$C128)),"Delivery Manager",IF(OR(ISNUMBER(SEARCH("technology manager",$C128)),ISNUMBER(SEARCH("technology manger",$C128)),ISNUMBER(SEARCH("tech manager",$C128))),"Technology Manager","Squad")))))))</f>
        <v>Squad</v>
      </c>
      <c r="AS128" s="1136" t="str">
        <f>IF(TRIM($B128)="","",IFERROR(INDEX(Lists!$AA:$AA,MATCH($AP128,Lists!$Z:$Z,0)),$AP128))</f>
        <v>Ampol Web</v>
      </c>
      <c r="AT128" s="1136" t="str">
        <f>IF(TRIM($B128)="","",IF(IFERROR(INDEX(Lists!$AP$2:$AP$11,MATCH(ROW(),Lists!$AN$2:$AN$11,0)),"")&lt;&gt;"",IFERROR(INDEX(Lists!$AP$2:$AP$11,MATCH(ROW(),Lists!$AN$2:$AN$11,0)),""),IF(OR(LEFT($AJ128,3)="COE",$AJ128="EGI"),$AP128,IF($AR128&lt;&gt;"Squad",$AR128,$AP128))))</f>
        <v>Ampol Web</v>
      </c>
    </row>
    <row r="129" ht="18" customHeight="1" s="866">
      <c r="A129" s="1208" t="n"/>
      <c r="B129" s="1209" t="inlineStr">
        <is>
          <t>Dasha Fothergill</t>
        </is>
      </c>
      <c r="C129" s="1209" t="inlineStr">
        <is>
          <t>Data Analyst</t>
        </is>
      </c>
      <c r="D129" s="1209" t="inlineStr">
        <is>
          <t>Vacant</t>
        </is>
      </c>
      <c r="E129" s="1209" t="inlineStr">
        <is>
          <t>Technology Manager, Data &amp; Engineering</t>
        </is>
      </c>
      <c r="F129" s="1222" t="inlineStr">
        <is>
          <t>Customer</t>
        </is>
      </c>
      <c r="G129" s="1199" t="inlineStr">
        <is>
          <t>Loyalty &amp; Martech</t>
        </is>
      </c>
      <c r="H129" s="1199" t="inlineStr">
        <is>
          <t>Loyalty, Data &amp; Engineering</t>
        </is>
      </c>
      <c r="I129" s="1199" t="inlineStr">
        <is>
          <t>Ampol Customer</t>
        </is>
      </c>
      <c r="J129" s="1199" t="inlineStr">
        <is>
          <t>EGI</t>
        </is>
      </c>
      <c r="K129" s="1209" t="inlineStr">
        <is>
          <t>EGI Customer</t>
        </is>
      </c>
      <c r="L129" s="1199" t="n"/>
      <c r="M129" s="1211" t="inlineStr">
        <is>
          <t>NZ</t>
        </is>
      </c>
      <c r="N129" s="1199" t="inlineStr">
        <is>
          <t>CIA</t>
        </is>
      </c>
      <c r="O129" s="1209" t="n">
        <v>1</v>
      </c>
      <c r="P129" s="1199" t="n"/>
      <c r="Q129" s="1199" t="inlineStr">
        <is>
          <t>v</t>
        </is>
      </c>
      <c r="R129" s="1199" t="n"/>
      <c r="S129" s="1199" t="n"/>
      <c r="T129" s="1212" t="n">
        <v>164000</v>
      </c>
      <c r="U129" s="1213" t="n">
        <v>150880</v>
      </c>
      <c r="V129" s="1214" t="n">
        <v>0.15</v>
      </c>
      <c r="W129" s="1215" t="n"/>
      <c r="X129" s="1215" t="n">
        <v>0.05</v>
      </c>
      <c r="Y129" s="1215" t="n">
        <v>2910</v>
      </c>
      <c r="Z129" s="1215" t="n">
        <v>0.03</v>
      </c>
      <c r="AA129" s="1216">
        <f>IF(TRIM($B129)="","",IF(N($AU129)&gt;0,$AU129,IF(N($S129)&gt;0,$S129*Lists!$AG$15*(1+N($Z129)),N($U129)*(1+N($V129)+N($W129)+N($X129)+N($Z129))+N($Y129))))</f>
        <v>188492.4</v>
      </c>
      <c r="AB129" s="1217" t="n"/>
      <c r="AC129" s="1217" t="n"/>
      <c r="AD129" s="1217" t="n"/>
      <c r="AE129" s="1217" t="n"/>
      <c r="AF129" s="1217" t="n"/>
      <c r="AG129" s="1217" t="n"/>
      <c r="AH129" s="1908" t="n"/>
      <c r="AJ129" s="865" t="str">
        <f>IF(TRIM($B129)="","",IF(IFERROR(INDEX(Lists!$AO$2:$AO$11,MATCH(ROW(),Lists!$AN$2:$AN$11,0)),"")&lt;&gt;"",IFERROR(INDEX(Lists!$AO$2:$AO$11,MATCH(ROW(),Lists!$AN$2:$AN$11,0)),""),IFERROR(INDEX(Lists!$U:$U,MATCH(TRIM($I129),Lists!$T:$T,0)),TRIM($I129))))</f>
        <v>Customer</v>
      </c>
      <c r="AK129" s="865" t="str">
        <f>IF(ISNUMBER(SEARCH("vacant",$B129)),"Vacant","Filled")</f>
        <v>Filled</v>
      </c>
      <c r="AL129" s="865" t="str">
        <f>IF($M129="NZ","NZ","AU")</f>
        <v>NZ</v>
      </c>
      <c r="AM129" s="865">
        <f>COUNTIF($AJ$2:$AJ129,$AJ129)</f>
        <v>22</v>
      </c>
      <c r="AN129" s="865" t="str">
        <f>$AJ129&amp;"|"&amp;$AM129</f>
        <v>Customer|22</v>
      </c>
      <c r="AP129" s="865" t="str">
        <f>IF(TRIM($B129)="","",IF($AQ129=1,"Leadership",IFERROR(INDEX(Lists!$X:$X,MATCH(TRIM($K129),Lists!$W:$W,0)),IF(OR(TRIM($K129)="",LOWER(TRIM($K129))="na"),IF(TRIM($G129)="","Unassigned",TRIM($G129)),TRIM($K129)))))</f>
        <v>EGI Customer</v>
      </c>
      <c r="AQ129" s="865" t="b">
        <f>IF(TRIM($B129)="","",--OR(TRIM($K129)="Leadership",TRIM($J129)="Leadership"))</f>
        <v>0</v>
      </c>
      <c r="AR129" s="1136" t="str">
        <f>IF(TRIM($B129)="","",IF(IFERROR(INDEX(Lists!$AQ$2:$AQ$11,MATCH(ROW(),Lists!$AN$2:$AN$11,0)),"")&lt;&gt;"",IFERROR(INDEX(Lists!$AQ$2:$AQ$11,MATCH(ROW(),Lists!$AN$2:$AN$11,0)),""),IF(ISNUMBER(SEARCH("head of ",$C129)),"Head of Technology",IF(ISNUMBER(SEARCH("TDD BP",$C129)),"Business Partner",IF(OR(ISNUMBER(SEARCH("domain architect",$C129)),ISNUMBER(SEARCH("enterprise architect",$C129))),"Domain Architect",IF(ISNUMBER(SEARCH("delivery man",$C129)),"Delivery Manager",IF(OR(ISNUMBER(SEARCH("technology manager",$C129)),ISNUMBER(SEARCH("technology manger",$C129)),ISNUMBER(SEARCH("tech manager",$C129))),"Technology Manager","Squad")))))))</f>
        <v>Squad</v>
      </c>
      <c r="AS129" s="1136" t="str">
        <f>IF(TRIM($B129)="","",IFERROR(INDEX(Lists!$AA:$AA,MATCH($AP129,Lists!$Z:$Z,0)),$AP129))</f>
        <v>EGI Customer</v>
      </c>
      <c r="AT129" s="1136" t="str">
        <f>IF(TRIM($B129)="","",IF(IFERROR(INDEX(Lists!$AP$2:$AP$11,MATCH(ROW(),Lists!$AN$2:$AN$11,0)),"")&lt;&gt;"",IFERROR(INDEX(Lists!$AP$2:$AP$11,MATCH(ROW(),Lists!$AN$2:$AN$11,0)),""),IF(OR(LEFT($AJ129,3)="COE",$AJ129="EGI"),$AP129,IF($AR129&lt;&gt;"Squad",$AR129,$AP129))))</f>
        <v>EGI Customer</v>
      </c>
    </row>
    <row r="130" ht="18" customHeight="1" s="866">
      <c r="A130" s="1208" t="n">
        <v>99999101370</v>
      </c>
      <c r="B130" s="1199" t="inlineStr">
        <is>
          <t>Denise Esguerra</t>
        </is>
      </c>
      <c r="C130" s="1199" t="inlineStr">
        <is>
          <t>Martech Specialist</t>
        </is>
      </c>
      <c r="D130" s="1199" t="inlineStr">
        <is>
          <t>Kris Hamilton</t>
        </is>
      </c>
      <c r="E130" s="1199" t="inlineStr">
        <is>
          <t>Technology Manager, Loyalty &amp; Martech</t>
        </is>
      </c>
      <c r="F130" s="1210" t="inlineStr">
        <is>
          <t>Customer</t>
        </is>
      </c>
      <c r="G130" s="1199" t="inlineStr">
        <is>
          <t>Loyalty &amp; Martech</t>
        </is>
      </c>
      <c r="H130" s="1199" t="inlineStr">
        <is>
          <t>Loyalty, Tech</t>
        </is>
      </c>
      <c r="I130" s="1199" t="inlineStr">
        <is>
          <t>Ampol Customer</t>
        </is>
      </c>
      <c r="J130" s="1199" t="inlineStr">
        <is>
          <t>(All Customer)</t>
        </is>
      </c>
      <c r="K130" s="1199" t="inlineStr">
        <is>
          <t>Z Energy Martech</t>
        </is>
      </c>
      <c r="L130" s="1199" t="n"/>
      <c r="M130" s="1211" t="inlineStr">
        <is>
          <t>NZ</t>
        </is>
      </c>
      <c r="N130" s="1199" t="inlineStr">
        <is>
          <t>CIA</t>
        </is>
      </c>
      <c r="O130" s="1209" t="n">
        <v>1</v>
      </c>
      <c r="P130" s="1199" t="n"/>
      <c r="Q130" s="1199" t="inlineStr">
        <is>
          <t>Permanent - Full Time</t>
        </is>
      </c>
      <c r="R130" s="1199" t="n"/>
      <c r="S130" s="1199" t="n"/>
      <c r="T130" s="1212" t="n">
        <v>135000</v>
      </c>
      <c r="U130" s="1213" t="n">
        <v>135000</v>
      </c>
      <c r="V130" s="1214" t="n">
        <v>0.1</v>
      </c>
      <c r="W130" s="1199" t="n">
        <v>0.055</v>
      </c>
      <c r="X130" s="1214" t="n">
        <v>0.12</v>
      </c>
      <c r="Y130" s="1910" t="n"/>
      <c r="Z130" s="1214" t="n">
        <v>0.04</v>
      </c>
      <c r="AA130" s="1216">
        <f>IF(TRIM($B130)="","",IF(N($AU130)&gt;0,$AU130,IF(N($S130)&gt;0,$S130*Lists!$AG$15*(1+N($Z130)),N($U130)*(1+N($V130)+N($W130)+N($X130)+N($Z130))+N($Y130))))</f>
        <v>177525</v>
      </c>
      <c r="AB130" s="1217" t="n"/>
      <c r="AC130" s="1217" t="n"/>
      <c r="AD130" s="1217" t="n"/>
      <c r="AE130" s="1217" t="n"/>
      <c r="AF130" s="1217" t="n"/>
      <c r="AG130" s="1217" t="n"/>
      <c r="AH130" s="1908" t="n"/>
      <c r="AJ130" s="865" t="str">
        <f>IF(TRIM($B130)="","",IF(IFERROR(INDEX(Lists!$AO$2:$AO$11,MATCH(ROW(),Lists!$AN$2:$AN$11,0)),"")&lt;&gt;"",IFERROR(INDEX(Lists!$AO$2:$AO$11,MATCH(ROW(),Lists!$AN$2:$AN$11,0)),""),IFERROR(INDEX(Lists!$U:$U,MATCH(TRIM($I130),Lists!$T:$T,0)),TRIM($I130))))</f>
        <v>Customer</v>
      </c>
      <c r="AK130" s="865" t="str">
        <f>IF(ISNUMBER(SEARCH("vacant",$B130)),"Vacant","Filled")</f>
        <v>Filled</v>
      </c>
      <c r="AL130" s="865" t="str">
        <f>IF($M130="NZ","NZ","AU")</f>
        <v>NZ</v>
      </c>
      <c r="AM130" s="865">
        <f>COUNTIF($AJ$2:$AJ130,$AJ130)</f>
        <v>23</v>
      </c>
      <c r="AN130" s="865" t="str">
        <f>$AJ130&amp;"|"&amp;$AM130</f>
        <v>Customer|23</v>
      </c>
      <c r="AP130" s="865" t="str">
        <f>IF(TRIM($B130)="","",IF($AQ130=1,"Leadership",IFERROR(INDEX(Lists!$X:$X,MATCH(TRIM($K130),Lists!$W:$W,0)),IF(OR(TRIM($K130)="",LOWER(TRIM($K130))="na"),IF(TRIM($G130)="","Unassigned",TRIM($G130)),TRIM($K130)))))</f>
        <v>Z Loyalty &amp; Martech</v>
      </c>
      <c r="AQ130" s="865" t="b">
        <f>IF(TRIM($B130)="","",--OR(TRIM($K130)="Leadership",TRIM($J130)="Leadership"))</f>
        <v>0</v>
      </c>
      <c r="AR130" s="1136" t="str">
        <f>IF(TRIM($B130)="","",IF(IFERROR(INDEX(Lists!$AQ$2:$AQ$11,MATCH(ROW(),Lists!$AN$2:$AN$11,0)),"")&lt;&gt;"",IFERROR(INDEX(Lists!$AQ$2:$AQ$11,MATCH(ROW(),Lists!$AN$2:$AN$11,0)),""),IF(ISNUMBER(SEARCH("head of ",$C130)),"Head of Technology",IF(ISNUMBER(SEARCH("TDD BP",$C130)),"Business Partner",IF(OR(ISNUMBER(SEARCH("domain architect",$C130)),ISNUMBER(SEARCH("enterprise architect",$C130))),"Domain Architect",IF(ISNUMBER(SEARCH("delivery man",$C130)),"Delivery Manager",IF(OR(ISNUMBER(SEARCH("technology manager",$C130)),ISNUMBER(SEARCH("technology manger",$C130)),ISNUMBER(SEARCH("tech manager",$C130))),"Technology Manager","Squad")))))))</f>
        <v>Squad</v>
      </c>
      <c r="AS130" s="1136" t="str">
        <f>IF(TRIM($B130)="","",IFERROR(INDEX(Lists!$AA:$AA,MATCH($AP130,Lists!$Z:$Z,0)),$AP130))</f>
        <v>Z Loyalty &amp; Martech</v>
      </c>
      <c r="AT130" s="1136" t="str">
        <f>IF(TRIM($B130)="","",IF(IFERROR(INDEX(Lists!$AP$2:$AP$11,MATCH(ROW(),Lists!$AN$2:$AN$11,0)),"")&lt;&gt;"",IFERROR(INDEX(Lists!$AP$2:$AP$11,MATCH(ROW(),Lists!$AN$2:$AN$11,0)),""),IF(OR(LEFT($AJ130,3)="COE",$AJ130="EGI"),$AP130,IF($AR130&lt;&gt;"Squad",$AR130,$AP130))))</f>
        <v>Z Loyalty &amp; Martech</v>
      </c>
    </row>
    <row r="131" ht="18" customHeight="1" s="866">
      <c r="A131" s="1208" t="inlineStr">
        <is>
          <t>V</t>
        </is>
      </c>
      <c r="B131" s="1156" t="inlineStr">
        <is>
          <t>Ed Tacey</t>
        </is>
      </c>
      <c r="C131" s="1209" t="inlineStr">
        <is>
          <t>AI Enablement Lead</t>
        </is>
      </c>
      <c r="D131" s="1209" t="inlineStr">
        <is>
          <t>Harley Giles</t>
        </is>
      </c>
      <c r="E131" s="1209" t="inlineStr">
        <is>
          <t>GM TDD, Customer</t>
        </is>
      </c>
      <c r="F131" s="1210" t="inlineStr">
        <is>
          <t>Customer</t>
        </is>
      </c>
      <c r="G131" s="1199" t="inlineStr">
        <is>
          <t>Customer, AI Enablement</t>
        </is>
      </c>
      <c r="H131" s="1199" t="n"/>
      <c r="I131" s="1199" t="inlineStr">
        <is>
          <t>Ampol Customer</t>
        </is>
      </c>
      <c r="J131" s="1209" t="inlineStr">
        <is>
          <t>(All Customer)</t>
        </is>
      </c>
      <c r="K131" s="1209" t="inlineStr">
        <is>
          <t>Leadership</t>
        </is>
      </c>
      <c r="L131" s="1199" t="n"/>
      <c r="M131" s="1211" t="inlineStr">
        <is>
          <t>Australia</t>
        </is>
      </c>
      <c r="N131" s="1199" t="inlineStr">
        <is>
          <t>CSB</t>
        </is>
      </c>
      <c r="O131" s="1199" t="n">
        <v>1</v>
      </c>
      <c r="P131" s="1199" t="n"/>
      <c r="Q131" s="1209" t="inlineStr">
        <is>
          <t>Permanent - Part Time</t>
        </is>
      </c>
      <c r="R131" s="1199" t="n"/>
      <c r="S131" s="1199" t="n"/>
      <c r="T131" s="1212" t="n">
        <v>169030</v>
      </c>
      <c r="U131" s="1213" t="n">
        <v>155507.6</v>
      </c>
      <c r="V131" s="1224" t="n">
        <v>0.15</v>
      </c>
      <c r="W131" s="1209" t="n"/>
      <c r="X131" s="1214" t="n">
        <v>0.05</v>
      </c>
      <c r="Y131" s="1910" t="n">
        <v>2910</v>
      </c>
      <c r="Z131" s="1214" t="n">
        <v>0.03</v>
      </c>
      <c r="AA131" s="1216">
        <f>IF(TRIM($B131)="","",IF(N($AU131)&gt;0,$AU131,IF(N($S131)&gt;0,$S131*Lists!$AG$15*(1+N($Z131)),N($U131)*(1+N($V131)+N($W131)+N($X131)+N($Z131))+N($Y131))))</f>
        <v>194184.348</v>
      </c>
      <c r="AB131" s="1217" t="n"/>
      <c r="AC131" s="1217" t="n"/>
      <c r="AD131" s="1217" t="n"/>
      <c r="AE131" s="1217" t="n"/>
      <c r="AF131" s="1217" t="n"/>
      <c r="AG131" s="1217" t="n"/>
      <c r="AJ131" s="865" t="str">
        <f>IF(TRIM($B131)="","",IF(IFERROR(INDEX(Lists!$AO$2:$AO$11,MATCH(ROW(),Lists!$AN$2:$AN$11,0)),"")&lt;&gt;"",IFERROR(INDEX(Lists!$AO$2:$AO$11,MATCH(ROW(),Lists!$AN$2:$AN$11,0)),""),IFERROR(INDEX(Lists!$U:$U,MATCH(TRIM($I131),Lists!$T:$T,0)),TRIM($I131))))</f>
        <v>Customer</v>
      </c>
      <c r="AK131" s="865" t="str">
        <f>IF(ISNUMBER(SEARCH("vacant",$B131)),"Vacant","Filled")</f>
        <v>Filled</v>
      </c>
      <c r="AL131" s="865" t="str">
        <f>IF($M131="NZ","NZ","AU")</f>
        <v>AU</v>
      </c>
      <c r="AM131" s="865">
        <f>COUNTIF($AJ$2:$AJ131,$AJ131)</f>
        <v>24</v>
      </c>
      <c r="AN131" s="865" t="str">
        <f>$AJ131&amp;"|"&amp;$AM131</f>
        <v>Customer|24</v>
      </c>
      <c r="AP131" s="865" t="str">
        <f>IF(TRIM($B131)="","",IF($AQ131=1,"Leadership",IFERROR(INDEX(Lists!$X:$X,MATCH(TRIM($K131),Lists!$W:$W,0)),IF(OR(TRIM($K131)="",LOWER(TRIM($K131))="na"),IF(TRIM($G131)="","Unassigned",TRIM($G131)),TRIM($K131)))))</f>
        <v>Leadership</v>
      </c>
      <c r="AQ131" s="865" t="b">
        <f>IF(TRIM($B131)="","",--OR(TRIM($K131)="Leadership",TRIM($J131)="Leadership"))</f>
        <v>1</v>
      </c>
      <c r="AR131" s="1136" t="str">
        <f>IF(TRIM($B131)="","",IF(IFERROR(INDEX(Lists!$AQ$2:$AQ$11,MATCH(ROW(),Lists!$AN$2:$AN$11,0)),"")&lt;&gt;"",IFERROR(INDEX(Lists!$AQ$2:$AQ$11,MATCH(ROW(),Lists!$AN$2:$AN$11,0)),""),IF(ISNUMBER(SEARCH("head of ",$C131)),"Head of Technology",IF(ISNUMBER(SEARCH("TDD BP",$C131)),"Business Partner",IF(OR(ISNUMBER(SEARCH("domain architect",$C131)),ISNUMBER(SEARCH("enterprise architect",$C131))),"Domain Architect",IF(ISNUMBER(SEARCH("delivery man",$C131)),"Delivery Manager",IF(OR(ISNUMBER(SEARCH("technology manager",$C131)),ISNUMBER(SEARCH("technology manger",$C131)),ISNUMBER(SEARCH("tech manager",$C131))),"Technology Manager","Squad")))))))</f>
        <v>Squad</v>
      </c>
      <c r="AS131" s="1136" t="str">
        <f>IF(TRIM($B131)="","",IFERROR(INDEX(Lists!$AA:$AA,MATCH($AP131,Lists!$Z:$Z,0)),$AP131))</f>
        <v>Leadership</v>
      </c>
      <c r="AT131" s="1136" t="str">
        <f>IF(TRIM($B131)="","",IF(IFERROR(INDEX(Lists!$AP$2:$AP$11,MATCH(ROW(),Lists!$AN$2:$AN$11,0)),"")&lt;&gt;"",IFERROR(INDEX(Lists!$AP$2:$AP$11,MATCH(ROW(),Lists!$AN$2:$AN$11,0)),""),IF(OR(LEFT($AJ131,3)="COE",$AJ131="EGI"),$AP131,IF($AR131&lt;&gt;"Squad",$AR131,$AP131))))</f>
        <v>Leadership</v>
      </c>
    </row>
    <row r="132" ht="18" customHeight="1" s="866">
      <c r="A132" s="1208" t="n">
        <v>114411</v>
      </c>
      <c r="B132" s="1209" t="inlineStr">
        <is>
          <t>Edwin Justin</t>
        </is>
      </c>
      <c r="C132" s="1209" t="inlineStr">
        <is>
          <t>Senior Engineer - BE</t>
        </is>
      </c>
      <c r="D132" s="1209" t="inlineStr">
        <is>
          <t>Khalid Mahmud</t>
        </is>
      </c>
      <c r="E132" s="1209" t="inlineStr">
        <is>
          <t>Lead Engineer - BE</t>
        </is>
      </c>
      <c r="F132" s="1210" t="inlineStr">
        <is>
          <t>Customer</t>
        </is>
      </c>
      <c r="G132" s="1199" t="inlineStr">
        <is>
          <t>Digital</t>
        </is>
      </c>
      <c r="H132" s="1199" t="inlineStr">
        <is>
          <t>Tech, Digital Engineering</t>
        </is>
      </c>
      <c r="I132" s="1199" t="inlineStr">
        <is>
          <t>Ampol Customer</t>
        </is>
      </c>
      <c r="J132" s="1209" t="inlineStr">
        <is>
          <t>Ampol Digital</t>
        </is>
      </c>
      <c r="K132" s="1209" t="inlineStr">
        <is>
          <t>Ampol App</t>
        </is>
      </c>
      <c r="L132" s="1199" t="n"/>
      <c r="M132" s="1211" t="inlineStr">
        <is>
          <t>Australia</t>
        </is>
      </c>
      <c r="N132" s="1199" t="inlineStr">
        <is>
          <t>CIB</t>
        </is>
      </c>
      <c r="O132" s="1199" t="n">
        <v>1</v>
      </c>
      <c r="P132" s="1199" t="n"/>
      <c r="Q132" s="1199" t="inlineStr">
        <is>
          <t>Permanent - Full Time</t>
        </is>
      </c>
      <c r="R132" s="1199" t="n"/>
      <c r="S132" s="1199" t="n"/>
      <c r="T132" s="1212" t="n">
        <v>145910</v>
      </c>
      <c r="U132" s="1213" t="n">
        <v>145910</v>
      </c>
      <c r="V132" s="1214" t="n">
        <v>0.12</v>
      </c>
      <c r="W132" s="1215" t="n">
        <v>0.055</v>
      </c>
      <c r="X132" s="1215" t="n">
        <v>0.12</v>
      </c>
      <c r="Y132" s="1215" t="n"/>
      <c r="Z132" s="1215" t="n">
        <v>0.04</v>
      </c>
      <c r="AA132" s="1216">
        <f>IF(TRIM($B132)="","",IF(N($AU132)&gt;0,$AU132,IF(N($S132)&gt;0,$S132*Lists!$AG$15*(1+N($Z132)),N($U132)*(1+N($V132)+N($W132)+N($X132)+N($Z132))+N($Y132))))</f>
        <v>194789.85</v>
      </c>
      <c r="AB132" s="1217" t="n">
        <v>113508</v>
      </c>
      <c r="AC132" s="1217" t="n"/>
      <c r="AD132" s="1217" t="n"/>
      <c r="AE132" s="1217" t="n"/>
      <c r="AF132" s="1217" t="n"/>
      <c r="AG132" s="1217" t="n"/>
      <c r="AH132" s="1908" t="n"/>
      <c r="AJ132" s="865" t="str">
        <f>IF(TRIM($B132)="","",IF(IFERROR(INDEX(Lists!$AO$2:$AO$11,MATCH(ROW(),Lists!$AN$2:$AN$11,0)),"")&lt;&gt;"",IFERROR(INDEX(Lists!$AO$2:$AO$11,MATCH(ROW(),Lists!$AN$2:$AN$11,0)),""),IFERROR(INDEX(Lists!$U:$U,MATCH(TRIM($I132),Lists!$T:$T,0)),TRIM($I132))))</f>
        <v>Customer</v>
      </c>
      <c r="AK132" s="865" t="str">
        <f>IF(ISNUMBER(SEARCH("vacant",$B132)),"Vacant","Filled")</f>
        <v>Filled</v>
      </c>
      <c r="AL132" s="865" t="str">
        <f>IF($M132="NZ","NZ","AU")</f>
        <v>AU</v>
      </c>
      <c r="AM132" s="865">
        <f>COUNTIF($AJ$2:$AJ132,$AJ132)</f>
        <v>25</v>
      </c>
      <c r="AN132" s="865" t="str">
        <f>$AJ132&amp;"|"&amp;$AM132</f>
        <v>Customer|25</v>
      </c>
      <c r="AP132" s="865" t="str">
        <f>IF(TRIM($B132)="","",IF($AQ132=1,"Leadership",IFERROR(INDEX(Lists!$X:$X,MATCH(TRIM($K132),Lists!$W:$W,0)),IF(OR(TRIM($K132)="",LOWER(TRIM($K132))="na"),IF(TRIM($G132)="","Unassigned",TRIM($G132)),TRIM($K132)))))</f>
        <v>Ampol App</v>
      </c>
      <c r="AQ132" s="865" t="b">
        <f>IF(TRIM($B132)="","",--OR(TRIM($K132)="Leadership",TRIM($J132)="Leadership"))</f>
        <v>0</v>
      </c>
      <c r="AR132" s="1136" t="str">
        <f>IF(TRIM($B132)="","",IF(IFERROR(INDEX(Lists!$AQ$2:$AQ$11,MATCH(ROW(),Lists!$AN$2:$AN$11,0)),"")&lt;&gt;"",IFERROR(INDEX(Lists!$AQ$2:$AQ$11,MATCH(ROW(),Lists!$AN$2:$AN$11,0)),""),IF(ISNUMBER(SEARCH("head of ",$C132)),"Head of Technology",IF(ISNUMBER(SEARCH("TDD BP",$C132)),"Business Partner",IF(OR(ISNUMBER(SEARCH("domain architect",$C132)),ISNUMBER(SEARCH("enterprise architect",$C132))),"Domain Architect",IF(ISNUMBER(SEARCH("delivery man",$C132)),"Delivery Manager",IF(OR(ISNUMBER(SEARCH("technology manager",$C132)),ISNUMBER(SEARCH("technology manger",$C132)),ISNUMBER(SEARCH("tech manager",$C132))),"Technology Manager","Squad")))))))</f>
        <v>Squad</v>
      </c>
      <c r="AS132" s="1136" t="str">
        <f>IF(TRIM($B132)="","",IFERROR(INDEX(Lists!$AA:$AA,MATCH($AP132,Lists!$Z:$Z,0)),$AP132))</f>
        <v>Ampol App</v>
      </c>
      <c r="AT132" s="1136" t="str">
        <f>IF(TRIM($B132)="","",IF(IFERROR(INDEX(Lists!$AP$2:$AP$11,MATCH(ROW(),Lists!$AN$2:$AN$11,0)),"")&lt;&gt;"",IFERROR(INDEX(Lists!$AP$2:$AP$11,MATCH(ROW(),Lists!$AN$2:$AN$11,0)),""),IF(OR(LEFT($AJ132,3)="COE",$AJ132="EGI"),$AP132,IF($AR132&lt;&gt;"Squad",$AR132,$AP132))))</f>
        <v>Ampol App</v>
      </c>
    </row>
    <row r="133" ht="18" customHeight="1" s="866">
      <c r="A133" s="1208" t="n">
        <v>106200</v>
      </c>
      <c r="B133" s="1209" t="inlineStr">
        <is>
          <t>Emile Violi</t>
        </is>
      </c>
      <c r="C133" s="1209" t="inlineStr">
        <is>
          <t>Engineer - BE</t>
        </is>
      </c>
      <c r="D133" s="1209" t="inlineStr">
        <is>
          <t>Mark Wilson</t>
        </is>
      </c>
      <c r="E133" s="1209" t="inlineStr">
        <is>
          <t>Digital Support Manager(AU)</t>
        </is>
      </c>
      <c r="F133" s="1210" t="inlineStr">
        <is>
          <t>Customer</t>
        </is>
      </c>
      <c r="G133" s="1199" t="inlineStr">
        <is>
          <t>Digital</t>
        </is>
      </c>
      <c r="H133" s="1209" t="inlineStr">
        <is>
          <t>Digital Support (AU)</t>
        </is>
      </c>
      <c r="I133" s="1199" t="inlineStr">
        <is>
          <t>Ampol Customer</t>
        </is>
      </c>
      <c r="J133" s="1209" t="inlineStr">
        <is>
          <t>Ampol Digital</t>
        </is>
      </c>
      <c r="K133" s="1209" t="inlineStr">
        <is>
          <t>Digital Operations</t>
        </is>
      </c>
      <c r="L133" s="1199" t="n"/>
      <c r="M133" s="1211" t="inlineStr">
        <is>
          <t>Australia</t>
        </is>
      </c>
      <c r="N133" s="1199" t="inlineStr">
        <is>
          <t>CIB</t>
        </is>
      </c>
      <c r="O133" s="1199" t="n">
        <v>1</v>
      </c>
      <c r="P133" s="1199" t="n"/>
      <c r="Q133" s="1209" t="inlineStr">
        <is>
          <t>Permanent - Full Time</t>
        </is>
      </c>
      <c r="R133" s="1199" t="n"/>
      <c r="S133" s="1199" t="n"/>
      <c r="T133" s="1212" t="n">
        <v>133930</v>
      </c>
      <c r="U133" s="1213" t="n">
        <v>123215.6</v>
      </c>
      <c r="V133" s="1224" t="n">
        <v>0.15</v>
      </c>
      <c r="W133" s="1209" t="n"/>
      <c r="X133" s="1214" t="n">
        <v>0.05</v>
      </c>
      <c r="Y133" s="1910" t="n">
        <v>2910</v>
      </c>
      <c r="Z133" s="1214" t="n">
        <v>0.03</v>
      </c>
      <c r="AA133" s="1216">
        <f>IF(TRIM($B133)="","",IF(N($AU133)&gt;0,$AU133,IF(N($S133)&gt;0,$S133*Lists!$AG$15*(1+N($Z133)),N($U133)*(1+N($V133)+N($W133)+N($X133)+N($Z133))+N($Y133))))</f>
        <v>154465.188</v>
      </c>
      <c r="AB133" s="1217" t="n"/>
      <c r="AC133" s="1217" t="n"/>
      <c r="AD133" s="1217" t="n"/>
      <c r="AE133" s="1217" t="n"/>
      <c r="AF133" s="1217" t="n"/>
      <c r="AG133" s="1217" t="n"/>
      <c r="AH133" s="1908" t="n"/>
      <c r="AJ133" s="865" t="str">
        <f>IF(TRIM($B133)="","",IF(IFERROR(INDEX(Lists!$AO$2:$AO$11,MATCH(ROW(),Lists!$AN$2:$AN$11,0)),"")&lt;&gt;"",IFERROR(INDEX(Lists!$AO$2:$AO$11,MATCH(ROW(),Lists!$AN$2:$AN$11,0)),""),IFERROR(INDEX(Lists!$U:$U,MATCH(TRIM($I133),Lists!$T:$T,0)),TRIM($I133))))</f>
        <v>Customer</v>
      </c>
      <c r="AK133" s="865" t="str">
        <f>IF(ISNUMBER(SEARCH("vacant",$B133)),"Vacant","Filled")</f>
        <v>Filled</v>
      </c>
      <c r="AL133" s="865" t="str">
        <f>IF($M133="NZ","NZ","AU")</f>
        <v>AU</v>
      </c>
      <c r="AM133" s="865">
        <f>COUNTIF($AJ$2:$AJ133,$AJ133)</f>
        <v>26</v>
      </c>
      <c r="AN133" s="865" t="str">
        <f>$AJ133&amp;"|"&amp;$AM133</f>
        <v>Customer|26</v>
      </c>
      <c r="AP133" s="865" t="str">
        <f>IF(TRIM($B133)="","",IF($AQ133=1,"Leadership",IFERROR(INDEX(Lists!$X:$X,MATCH(TRIM($K133),Lists!$W:$W,0)),IF(OR(TRIM($K133)="",LOWER(TRIM($K133))="na"),IF(TRIM($G133)="","Unassigned",TRIM($G133)),TRIM($K133)))))</f>
        <v>Digital Operations</v>
      </c>
      <c r="AQ133" s="865" t="b">
        <f>IF(TRIM($B133)="","",--OR(TRIM($K133)="Leadership",TRIM($J133)="Leadership"))</f>
        <v>0</v>
      </c>
      <c r="AR133" s="1136" t="str">
        <f>IF(TRIM($B133)="","",IF(IFERROR(INDEX(Lists!$AQ$2:$AQ$11,MATCH(ROW(),Lists!$AN$2:$AN$11,0)),"")&lt;&gt;"",IFERROR(INDEX(Lists!$AQ$2:$AQ$11,MATCH(ROW(),Lists!$AN$2:$AN$11,0)),""),IF(ISNUMBER(SEARCH("head of ",$C133)),"Head of Technology",IF(ISNUMBER(SEARCH("TDD BP",$C133)),"Business Partner",IF(OR(ISNUMBER(SEARCH("domain architect",$C133)),ISNUMBER(SEARCH("enterprise architect",$C133))),"Domain Architect",IF(ISNUMBER(SEARCH("delivery man",$C133)),"Delivery Manager",IF(OR(ISNUMBER(SEARCH("technology manager",$C133)),ISNUMBER(SEARCH("technology manger",$C133)),ISNUMBER(SEARCH("tech manager",$C133))),"Technology Manager","Squad")))))))</f>
        <v>Squad</v>
      </c>
      <c r="AS133" s="1136" t="str">
        <f>IF(TRIM($B133)="","",IFERROR(INDEX(Lists!$AA:$AA,MATCH($AP133,Lists!$Z:$Z,0)),$AP133))</f>
        <v>Digital Operations</v>
      </c>
      <c r="AT133" s="1136" t="str">
        <f>IF(TRIM($B133)="","",IF(IFERROR(INDEX(Lists!$AP$2:$AP$11,MATCH(ROW(),Lists!$AN$2:$AN$11,0)),"")&lt;&gt;"",IFERROR(INDEX(Lists!$AP$2:$AP$11,MATCH(ROW(),Lists!$AN$2:$AN$11,0)),""),IF(OR(LEFT($AJ133,3)="COE",$AJ133="EGI"),$AP133,IF($AR133&lt;&gt;"Squad",$AR133,$AP133))))</f>
        <v>Digital Operations</v>
      </c>
    </row>
    <row r="134" ht="18" customHeight="1" s="866">
      <c r="A134" s="1208" t="n">
        <v>98015</v>
      </c>
      <c r="B134" s="1209" t="inlineStr">
        <is>
          <t>Ethan Laffan</t>
        </is>
      </c>
      <c r="C134" s="1209" t="inlineStr">
        <is>
          <t>Associate Experience Designer</t>
        </is>
      </c>
      <c r="D134" s="1209" t="inlineStr">
        <is>
          <t>Byron Thornhill</t>
        </is>
      </c>
      <c r="E134" s="1209" t="inlineStr">
        <is>
          <t>Design Manager</t>
        </is>
      </c>
      <c r="F134" s="1210" t="inlineStr">
        <is>
          <t>Customer</t>
        </is>
      </c>
      <c r="G134" s="1199" t="inlineStr">
        <is>
          <t>Digital</t>
        </is>
      </c>
      <c r="H134" s="1199" t="inlineStr">
        <is>
          <t>Digital, Design</t>
        </is>
      </c>
      <c r="I134" s="1199" t="inlineStr">
        <is>
          <t>Ampol Customer</t>
        </is>
      </c>
      <c r="J134" s="1209" t="inlineStr">
        <is>
          <t>Ampol Digital</t>
        </is>
      </c>
      <c r="K134" s="1209" t="inlineStr">
        <is>
          <t>Ampol App</t>
        </is>
      </c>
      <c r="L134" s="1199" t="n"/>
      <c r="M134" s="1211" t="inlineStr">
        <is>
          <t>Australia</t>
        </is>
      </c>
      <c r="N134" s="1199" t="inlineStr">
        <is>
          <t>CDC</t>
        </is>
      </c>
      <c r="O134" s="1199" t="n">
        <v>1</v>
      </c>
      <c r="P134" s="1199" t="n"/>
      <c r="Q134" s="1199" t="inlineStr">
        <is>
          <t>V</t>
        </is>
      </c>
      <c r="R134" s="1199" t="n"/>
      <c r="S134" s="1199" t="n"/>
      <c r="T134" s="1212" t="n">
        <v>151000</v>
      </c>
      <c r="U134" s="1213" t="n">
        <v>151000</v>
      </c>
      <c r="V134" s="1214" t="n">
        <v>0.12</v>
      </c>
      <c r="W134" s="1215" t="n">
        <v>0.055</v>
      </c>
      <c r="X134" s="1215" t="n">
        <v>0.12</v>
      </c>
      <c r="Y134" s="1215" t="n"/>
      <c r="Z134" s="1215" t="n">
        <v>0.04</v>
      </c>
      <c r="AA134" s="1216">
        <f>IF(TRIM($B134)="","",IF(N($AU134)&gt;0,$AU134,IF(N($S134)&gt;0,$S134*Lists!$AG$15*(1+N($Z134)),N($U134)*(1+N($V134)+N($W134)+N($X134)+N($Z134))+N($Y134))))</f>
        <v>201585</v>
      </c>
      <c r="AB134" s="1217" t="n">
        <v>113614</v>
      </c>
      <c r="AC134" s="1217" t="n"/>
      <c r="AD134" s="1217" t="n"/>
      <c r="AE134" s="1217" t="n"/>
      <c r="AF134" s="1217" t="n"/>
      <c r="AG134" s="1217" t="n"/>
      <c r="AH134" s="1908" t="n"/>
      <c r="AJ134" s="865" t="str">
        <f>IF(TRIM($B134)="","",IF(IFERROR(INDEX(Lists!$AO$2:$AO$11,MATCH(ROW(),Lists!$AN$2:$AN$11,0)),"")&lt;&gt;"",IFERROR(INDEX(Lists!$AO$2:$AO$11,MATCH(ROW(),Lists!$AN$2:$AN$11,0)),""),IFERROR(INDEX(Lists!$U:$U,MATCH(TRIM($I134),Lists!$T:$T,0)),TRIM($I134))))</f>
        <v>Customer</v>
      </c>
      <c r="AK134" s="865" t="str">
        <f>IF(ISNUMBER(SEARCH("vacant",$B134)),"Vacant","Filled")</f>
        <v>Filled</v>
      </c>
      <c r="AL134" s="865" t="str">
        <f>IF($M134="NZ","NZ","AU")</f>
        <v>AU</v>
      </c>
      <c r="AM134" s="865">
        <f>COUNTIF($AJ$2:$AJ134,$AJ134)</f>
        <v>27</v>
      </c>
      <c r="AN134" s="865" t="str">
        <f>$AJ134&amp;"|"&amp;$AM134</f>
        <v>Customer|27</v>
      </c>
      <c r="AP134" s="865" t="str">
        <f>IF(TRIM($B134)="","",IF($AQ134=1,"Leadership",IFERROR(INDEX(Lists!$X:$X,MATCH(TRIM($K134),Lists!$W:$W,0)),IF(OR(TRIM($K134)="",LOWER(TRIM($K134))="na"),IF(TRIM($G134)="","Unassigned",TRIM($G134)),TRIM($K134)))))</f>
        <v>Ampol App</v>
      </c>
      <c r="AQ134" s="865" t="b">
        <f>IF(TRIM($B134)="","",--OR(TRIM($K134)="Leadership",TRIM($J134)="Leadership"))</f>
        <v>0</v>
      </c>
      <c r="AR134" s="1136" t="str">
        <f>IF(TRIM($B134)="","",IF(IFERROR(INDEX(Lists!$AQ$2:$AQ$11,MATCH(ROW(),Lists!$AN$2:$AN$11,0)),"")&lt;&gt;"",IFERROR(INDEX(Lists!$AQ$2:$AQ$11,MATCH(ROW(),Lists!$AN$2:$AN$11,0)),""),IF(ISNUMBER(SEARCH("head of ",$C134)),"Head of Technology",IF(ISNUMBER(SEARCH("TDD BP",$C134)),"Business Partner",IF(OR(ISNUMBER(SEARCH("domain architect",$C134)),ISNUMBER(SEARCH("enterprise architect",$C134))),"Domain Architect",IF(ISNUMBER(SEARCH("delivery man",$C134)),"Delivery Manager",IF(OR(ISNUMBER(SEARCH("technology manager",$C134)),ISNUMBER(SEARCH("technology manger",$C134)),ISNUMBER(SEARCH("tech manager",$C134))),"Technology Manager","Squad")))))))</f>
        <v>Squad</v>
      </c>
      <c r="AS134" s="1136" t="str">
        <f>IF(TRIM($B134)="","",IFERROR(INDEX(Lists!$AA:$AA,MATCH($AP134,Lists!$Z:$Z,0)),$AP134))</f>
        <v>Ampol App</v>
      </c>
      <c r="AT134" s="1136" t="str">
        <f>IF(TRIM($B134)="","",IF(IFERROR(INDEX(Lists!$AP$2:$AP$11,MATCH(ROW(),Lists!$AN$2:$AN$11,0)),"")&lt;&gt;"",IFERROR(INDEX(Lists!$AP$2:$AP$11,MATCH(ROW(),Lists!$AN$2:$AN$11,0)),""),IF(OR(LEFT($AJ134,3)="COE",$AJ134="EGI"),$AP134,IF($AR134&lt;&gt;"Squad",$AR134,$AP134))))</f>
        <v>Ampol App</v>
      </c>
    </row>
    <row r="135" ht="18" customHeight="1" s="866">
      <c r="A135" s="1208" t="n">
        <v>99999101540</v>
      </c>
      <c r="B135" s="1209" t="inlineStr">
        <is>
          <t>James Nicolle</t>
        </is>
      </c>
      <c r="C135" s="1209" t="inlineStr">
        <is>
          <t>Delivery Lead</t>
        </is>
      </c>
      <c r="D135" s="1199" t="inlineStr">
        <is>
          <t>Vacant</t>
        </is>
      </c>
      <c r="E135" s="1209" t="inlineStr">
        <is>
          <t>Delivery Manager, Digital</t>
        </is>
      </c>
      <c r="F135" s="1210" t="inlineStr">
        <is>
          <t>Customer</t>
        </is>
      </c>
      <c r="G135" s="1199" t="inlineStr">
        <is>
          <t>Digital</t>
        </is>
      </c>
      <c r="H135" s="1199" t="inlineStr">
        <is>
          <t>Digital, Delivery</t>
        </is>
      </c>
      <c r="I135" s="1199" t="inlineStr">
        <is>
          <t>Ampol Customer</t>
        </is>
      </c>
      <c r="J135" s="1209" t="inlineStr">
        <is>
          <t>Z Energy (Digitial)</t>
        </is>
      </c>
      <c r="K135" s="1209" t="inlineStr">
        <is>
          <t>Z App and Web</t>
        </is>
      </c>
      <c r="L135" s="1199" t="n"/>
      <c r="M135" s="1211" t="inlineStr">
        <is>
          <t>NZ</t>
        </is>
      </c>
      <c r="N135" s="1199" t="inlineStr">
        <is>
          <t>CIC</t>
        </is>
      </c>
      <c r="O135" s="1209" t="n">
        <v>1</v>
      </c>
      <c r="P135" s="1199" t="n"/>
      <c r="Q135" s="1209" t="inlineStr">
        <is>
          <t>V</t>
        </is>
      </c>
      <c r="R135" s="1199" t="n"/>
      <c r="S135" s="1199" t="n"/>
      <c r="T135" s="1212" t="n">
        <v>151950</v>
      </c>
      <c r="U135" s="1213" t="n">
        <v>151950</v>
      </c>
      <c r="V135" s="1224" t="n">
        <v>0.12</v>
      </c>
      <c r="W135" s="1199" t="n">
        <v>0.055</v>
      </c>
      <c r="X135" s="1214" t="n">
        <v>0.12</v>
      </c>
      <c r="Y135" s="1910" t="n"/>
      <c r="Z135" s="1214" t="n">
        <v>0.04</v>
      </c>
      <c r="AA135" s="1216">
        <f>IF(TRIM($B135)="","",IF(N($AU135)&gt;0,$AU135,IF(N($S135)&gt;0,$S135*Lists!$AG$15*(1+N($Z135)),N($U135)*(1+N($V135)+N($W135)+N($X135)+N($Z135))+N($Y135))))</f>
        <v>202853.25</v>
      </c>
      <c r="AB135" s="1217" t="n"/>
      <c r="AC135" s="1217" t="n"/>
      <c r="AD135" s="1217" t="n"/>
      <c r="AE135" s="1217" t="n"/>
      <c r="AF135" s="1217" t="n"/>
      <c r="AG135" s="1217" t="n"/>
      <c r="AH135" s="1908" t="n"/>
      <c r="AJ135" s="865" t="str">
        <f>IF(TRIM($B135)="","",IF(IFERROR(INDEX(Lists!$AO$2:$AO$11,MATCH(ROW(),Lists!$AN$2:$AN$11,0)),"")&lt;&gt;"",IFERROR(INDEX(Lists!$AO$2:$AO$11,MATCH(ROW(),Lists!$AN$2:$AN$11,0)),""),IFERROR(INDEX(Lists!$U:$U,MATCH(TRIM($I135),Lists!$T:$T,0)),TRIM($I135))))</f>
        <v>Customer</v>
      </c>
      <c r="AK135" s="865" t="str">
        <f>IF(ISNUMBER(SEARCH("vacant",$B135)),"Vacant","Filled")</f>
        <v>Filled</v>
      </c>
      <c r="AL135" s="865" t="str">
        <f>IF($M135="NZ","NZ","AU")</f>
        <v>NZ</v>
      </c>
      <c r="AM135" s="865">
        <f>COUNTIF($AJ$2:$AJ135,$AJ135)</f>
        <v>28</v>
      </c>
      <c r="AN135" s="865" t="str">
        <f>$AJ135&amp;"|"&amp;$AM135</f>
        <v>Customer|28</v>
      </c>
      <c r="AP135" s="865" t="str">
        <f>IF(TRIM($B135)="","",IF($AQ135=1,"Leadership",IFERROR(INDEX(Lists!$X:$X,MATCH(TRIM($K135),Lists!$W:$W,0)),IF(OR(TRIM($K135)="",LOWER(TRIM($K135))="na"),IF(TRIM($G135)="","Unassigned",TRIM($G135)),TRIM($K135)))))</f>
        <v>Z App and Web</v>
      </c>
      <c r="AQ135" s="865" t="b">
        <f>IF(TRIM($B135)="","",--OR(TRIM($K135)="Leadership",TRIM($J135)="Leadership"))</f>
        <v>0</v>
      </c>
      <c r="AR135" s="1136" t="str">
        <f>IF(TRIM($B135)="","",IF(IFERROR(INDEX(Lists!$AQ$2:$AQ$11,MATCH(ROW(),Lists!$AN$2:$AN$11,0)),"")&lt;&gt;"",IFERROR(INDEX(Lists!$AQ$2:$AQ$11,MATCH(ROW(),Lists!$AN$2:$AN$11,0)),""),IF(ISNUMBER(SEARCH("head of ",$C135)),"Head of Technology",IF(ISNUMBER(SEARCH("TDD BP",$C135)),"Business Partner",IF(OR(ISNUMBER(SEARCH("domain architect",$C135)),ISNUMBER(SEARCH("enterprise architect",$C135))),"Domain Architect",IF(ISNUMBER(SEARCH("delivery man",$C135)),"Delivery Manager",IF(OR(ISNUMBER(SEARCH("technology manager",$C135)),ISNUMBER(SEARCH("technology manger",$C135)),ISNUMBER(SEARCH("tech manager",$C135))),"Technology Manager","Squad")))))))</f>
        <v>Squad</v>
      </c>
      <c r="AS135" s="1136" t="str">
        <f>IF(TRIM($B135)="","",IFERROR(INDEX(Lists!$AA:$AA,MATCH($AP135,Lists!$Z:$Z,0)),$AP135))</f>
        <v>Z App and Web</v>
      </c>
      <c r="AT135" s="1136" t="str">
        <f>IF(TRIM($B135)="","",IF(IFERROR(INDEX(Lists!$AP$2:$AP$11,MATCH(ROW(),Lists!$AN$2:$AN$11,0)),"")&lt;&gt;"",IFERROR(INDEX(Lists!$AP$2:$AP$11,MATCH(ROW(),Lists!$AN$2:$AN$11,0)),""),IF(OR(LEFT($AJ135,3)="COE",$AJ135="EGI"),$AP135,IF($AR135&lt;&gt;"Squad",$AR135,$AP135))))</f>
        <v>Z App and Web</v>
      </c>
    </row>
    <row r="136" ht="18" customHeight="1" s="866">
      <c r="A136" s="1208" t="n">
        <v>107144</v>
      </c>
      <c r="B136" s="1209" t="inlineStr">
        <is>
          <t>Jasper Na</t>
        </is>
      </c>
      <c r="C136" s="1209" t="inlineStr">
        <is>
          <t>Associate Engineer - BE</t>
        </is>
      </c>
      <c r="D136" s="1209" t="inlineStr">
        <is>
          <t>Jin Zhong</t>
        </is>
      </c>
      <c r="E136" s="1209" t="inlineStr">
        <is>
          <t>Lead Engineer - BE</t>
        </is>
      </c>
      <c r="F136" s="1210" t="inlineStr">
        <is>
          <t>Customer</t>
        </is>
      </c>
      <c r="G136" s="1199" t="inlineStr">
        <is>
          <t>Digital</t>
        </is>
      </c>
      <c r="H136" s="1199" t="inlineStr">
        <is>
          <t>Tech, Digital Engineering</t>
        </is>
      </c>
      <c r="I136" s="1199" t="inlineStr">
        <is>
          <t>Ampol Customer</t>
        </is>
      </c>
      <c r="J136" s="1209" t="inlineStr">
        <is>
          <t>Ampol Digital</t>
        </is>
      </c>
      <c r="K136" s="1209" t="inlineStr">
        <is>
          <t>Energy</t>
        </is>
      </c>
      <c r="L136" s="1199" t="n"/>
      <c r="M136" s="1211" t="inlineStr">
        <is>
          <t>Australia</t>
        </is>
      </c>
      <c r="N136" s="1199" t="inlineStr">
        <is>
          <t>CIA</t>
        </is>
      </c>
      <c r="O136" s="1199" t="n">
        <v>1</v>
      </c>
      <c r="P136" s="1199" t="n"/>
      <c r="Q136" s="1199" t="inlineStr">
        <is>
          <t>v</t>
        </is>
      </c>
      <c r="R136" s="1199" t="n"/>
      <c r="S136" s="1199" t="n"/>
      <c r="T136" s="1212" t="n">
        <v>129650</v>
      </c>
      <c r="U136" s="1213" t="n">
        <v>129650</v>
      </c>
      <c r="V136" s="1214" t="n">
        <v>0.1</v>
      </c>
      <c r="W136" s="1215" t="n">
        <v>0.055</v>
      </c>
      <c r="X136" s="1215" t="n">
        <v>0.12</v>
      </c>
      <c r="Y136" s="1215" t="n"/>
      <c r="Z136" s="1215" t="n">
        <v>0.04</v>
      </c>
      <c r="AA136" s="1216">
        <f>IF(TRIM($B136)="","",IF(N($AU136)&gt;0,$AU136,IF(N($S136)&gt;0,$S136*Lists!$AG$15*(1+N($Z136)),N($U136)*(1+N($V136)+N($W136)+N($X136)+N($Z136))+N($Y136))))</f>
        <v>170489.75</v>
      </c>
      <c r="AB136" s="1217" t="n"/>
      <c r="AC136" s="1217" t="n"/>
      <c r="AD136" s="1217" t="n"/>
      <c r="AE136" s="1217" t="n"/>
      <c r="AF136" s="1217" t="n"/>
      <c r="AG136" s="1217" t="n"/>
      <c r="AH136" s="1908" t="n"/>
      <c r="AJ136" s="865" t="str">
        <f>IF(TRIM($B136)="","",IF(IFERROR(INDEX(Lists!$AO$2:$AO$11,MATCH(ROW(),Lists!$AN$2:$AN$11,0)),"")&lt;&gt;"",IFERROR(INDEX(Lists!$AO$2:$AO$11,MATCH(ROW(),Lists!$AN$2:$AN$11,0)),""),IFERROR(INDEX(Lists!$U:$U,MATCH(TRIM($I136),Lists!$T:$T,0)),TRIM($I136))))</f>
        <v>Customer</v>
      </c>
      <c r="AK136" s="865" t="str">
        <f>IF(ISNUMBER(SEARCH("vacant",$B136)),"Vacant","Filled")</f>
        <v>Filled</v>
      </c>
      <c r="AL136" s="865" t="str">
        <f>IF($M136="NZ","NZ","AU")</f>
        <v>AU</v>
      </c>
      <c r="AM136" s="865">
        <f>COUNTIF($AJ$2:$AJ136,$AJ136)</f>
        <v>29</v>
      </c>
      <c r="AN136" s="865" t="str">
        <f>$AJ136&amp;"|"&amp;$AM136</f>
        <v>Customer|29</v>
      </c>
      <c r="AP136" s="865" t="str">
        <f>IF(TRIM($B136)="","",IF($AQ136=1,"Leadership",IFERROR(INDEX(Lists!$X:$X,MATCH(TRIM($K136),Lists!$W:$W,0)),IF(OR(TRIM($K136)="",LOWER(TRIM($K136))="na"),IF(TRIM($G136)="","Unassigned",TRIM($G136)),TRIM($K136)))))</f>
        <v>Energy</v>
      </c>
      <c r="AQ136" s="865" t="b">
        <f>IF(TRIM($B136)="","",--OR(TRIM($K136)="Leadership",TRIM($J136)="Leadership"))</f>
        <v>0</v>
      </c>
      <c r="AR136" s="1136" t="str">
        <f>IF(TRIM($B136)="","",IF(IFERROR(INDEX(Lists!$AQ$2:$AQ$11,MATCH(ROW(),Lists!$AN$2:$AN$11,0)),"")&lt;&gt;"",IFERROR(INDEX(Lists!$AQ$2:$AQ$11,MATCH(ROW(),Lists!$AN$2:$AN$11,0)),""),IF(ISNUMBER(SEARCH("head of ",$C136)),"Head of Technology",IF(ISNUMBER(SEARCH("TDD BP",$C136)),"Business Partner",IF(OR(ISNUMBER(SEARCH("domain architect",$C136)),ISNUMBER(SEARCH("enterprise architect",$C136))),"Domain Architect",IF(ISNUMBER(SEARCH("delivery man",$C136)),"Delivery Manager",IF(OR(ISNUMBER(SEARCH("technology manager",$C136)),ISNUMBER(SEARCH("technology manger",$C136)),ISNUMBER(SEARCH("tech manager",$C136))),"Technology Manager","Squad")))))))</f>
        <v>Squad</v>
      </c>
      <c r="AS136" s="1136" t="str">
        <f>IF(TRIM($B136)="","",IFERROR(INDEX(Lists!$AA:$AA,MATCH($AP136,Lists!$Z:$Z,0)),$AP136))</f>
        <v>Energy</v>
      </c>
      <c r="AT136" s="1136" t="str">
        <f>IF(TRIM($B136)="","",IF(IFERROR(INDEX(Lists!$AP$2:$AP$11,MATCH(ROW(),Lists!$AN$2:$AN$11,0)),"")&lt;&gt;"",IFERROR(INDEX(Lists!$AP$2:$AP$11,MATCH(ROW(),Lists!$AN$2:$AN$11,0)),""),IF(OR(LEFT($AJ136,3)="COE",$AJ136="EGI"),$AP136,IF($AR136&lt;&gt;"Squad",$AR136,$AP136))))</f>
        <v>Ampol Web</v>
      </c>
    </row>
    <row r="137" ht="18" customHeight="1" s="866">
      <c r="A137" s="1208" t="n"/>
      <c r="B137" s="1156" t="inlineStr">
        <is>
          <t>Jawad Hassan</t>
        </is>
      </c>
      <c r="C137" s="1209" t="inlineStr">
        <is>
          <t>Engineer Data (Snowflake)</t>
        </is>
      </c>
      <c r="D137" s="1209" t="inlineStr">
        <is>
          <t>Vacant</t>
        </is>
      </c>
      <c r="E137" s="1209" t="inlineStr">
        <is>
          <t>Technology Manager, Data &amp; Engineering</t>
        </is>
      </c>
      <c r="F137" s="1210" t="inlineStr">
        <is>
          <t>Customer</t>
        </is>
      </c>
      <c r="G137" s="1199" t="inlineStr">
        <is>
          <t>Loyalty &amp; Martech</t>
        </is>
      </c>
      <c r="H137" s="1209" t="inlineStr">
        <is>
          <t>Loyalty, Data &amp; Engineering</t>
        </is>
      </c>
      <c r="I137" s="1199" t="inlineStr">
        <is>
          <t>Ampol Customer</t>
        </is>
      </c>
      <c r="J137" s="1209" t="inlineStr">
        <is>
          <t>Ampol Loyalty &amp; Martech</t>
        </is>
      </c>
      <c r="K137" s="1209" t="inlineStr">
        <is>
          <t>Ampol Loyalty &amp; Martech</t>
        </is>
      </c>
      <c r="L137" s="1199" t="n"/>
      <c r="M137" s="1211" t="inlineStr">
        <is>
          <t>Australia</t>
        </is>
      </c>
      <c r="N137" s="1199" t="inlineStr">
        <is>
          <t>CIB</t>
        </is>
      </c>
      <c r="O137" s="1199" t="n">
        <v>1</v>
      </c>
      <c r="P137" s="1199" t="n"/>
      <c r="Q137" s="1209" t="inlineStr">
        <is>
          <t>v</t>
        </is>
      </c>
      <c r="R137" s="1199" t="n"/>
      <c r="S137" s="1199" t="n"/>
      <c r="T137" s="1212" t="n">
        <v>151950</v>
      </c>
      <c r="U137" s="1213" t="n">
        <v>151950</v>
      </c>
      <c r="V137" s="1224" t="n">
        <v>0.12</v>
      </c>
      <c r="W137" s="1199" t="n">
        <v>0.055</v>
      </c>
      <c r="X137" s="1214" t="n">
        <v>0.12</v>
      </c>
      <c r="Y137" s="1910" t="n"/>
      <c r="Z137" s="1214" t="n">
        <v>0.04</v>
      </c>
      <c r="AA137" s="1216">
        <f>IF(TRIM($B137)="","",IF(N($AU137)&gt;0,$AU137,IF(N($S137)&gt;0,$S137*Lists!$AG$15*(1+N($Z137)),N($U137)*(1+N($V137)+N($W137)+N($X137)+N($Z137))+N($Y137))))</f>
        <v>202853.25</v>
      </c>
      <c r="AB137" s="1217" t="n">
        <v>113612</v>
      </c>
      <c r="AC137" s="1217" t="n"/>
      <c r="AD137" s="1217" t="n"/>
      <c r="AE137" s="1217" t="n"/>
      <c r="AF137" s="1217" t="n"/>
      <c r="AG137" s="1217" t="n"/>
      <c r="AH137" s="1908" t="n"/>
      <c r="AJ137" s="865" t="str">
        <f>IF(TRIM($B137)="","",IF(IFERROR(INDEX(Lists!$AO$2:$AO$11,MATCH(ROW(),Lists!$AN$2:$AN$11,0)),"")&lt;&gt;"",IFERROR(INDEX(Lists!$AO$2:$AO$11,MATCH(ROW(),Lists!$AN$2:$AN$11,0)),""),IFERROR(INDEX(Lists!$U:$U,MATCH(TRIM($I137),Lists!$T:$T,0)),TRIM($I137))))</f>
        <v>Customer</v>
      </c>
      <c r="AK137" s="865" t="str">
        <f>IF(ISNUMBER(SEARCH("vacant",$B137)),"Vacant","Filled")</f>
        <v>Filled</v>
      </c>
      <c r="AL137" s="865" t="str">
        <f>IF($M137="NZ","NZ","AU")</f>
        <v>AU</v>
      </c>
      <c r="AM137" s="865">
        <f>COUNTIF($AJ$2:$AJ137,$AJ137)</f>
        <v>30</v>
      </c>
      <c r="AN137" s="865" t="str">
        <f>$AJ137&amp;"|"&amp;$AM137</f>
        <v>Customer|30</v>
      </c>
      <c r="AP137" s="865" t="str">
        <f>IF(TRIM($B137)="","",IF($AQ137=1,"Leadership",IFERROR(INDEX(Lists!$X:$X,MATCH(TRIM($K137),Lists!$W:$W,0)),IF(OR(TRIM($K137)="",LOWER(TRIM($K137))="na"),IF(TRIM($G137)="","Unassigned",TRIM($G137)),TRIM($K137)))))</f>
        <v>Ampol Loyalty &amp; Martech</v>
      </c>
      <c r="AQ137" s="865" t="b">
        <f>IF(TRIM($B137)="","",--OR(TRIM($K137)="Leadership",TRIM($J137)="Leadership"))</f>
        <v>0</v>
      </c>
      <c r="AR137" s="1136" t="str">
        <f>IF(TRIM($B137)="","",IF(IFERROR(INDEX(Lists!$AQ$2:$AQ$11,MATCH(ROW(),Lists!$AN$2:$AN$11,0)),"")&lt;&gt;"",IFERROR(INDEX(Lists!$AQ$2:$AQ$11,MATCH(ROW(),Lists!$AN$2:$AN$11,0)),""),IF(ISNUMBER(SEARCH("head of ",$C137)),"Head of Technology",IF(ISNUMBER(SEARCH("TDD BP",$C137)),"Business Partner",IF(OR(ISNUMBER(SEARCH("domain architect",$C137)),ISNUMBER(SEARCH("enterprise architect",$C137))),"Domain Architect",IF(ISNUMBER(SEARCH("delivery man",$C137)),"Delivery Manager",IF(OR(ISNUMBER(SEARCH("technology manager",$C137)),ISNUMBER(SEARCH("technology manger",$C137)),ISNUMBER(SEARCH("tech manager",$C137))),"Technology Manager","Squad")))))))</f>
        <v>Squad</v>
      </c>
      <c r="AS137" s="1136" t="str">
        <f>IF(TRIM($B137)="","",IFERROR(INDEX(Lists!$AA:$AA,MATCH($AP137,Lists!$Z:$Z,0)),$AP137))</f>
        <v>Ampol Loyalty &amp; Martech</v>
      </c>
      <c r="AT137" s="1136" t="str">
        <f>IF(TRIM($B137)="","",IF(IFERROR(INDEX(Lists!$AP$2:$AP$11,MATCH(ROW(),Lists!$AN$2:$AN$11,0)),"")&lt;&gt;"",IFERROR(INDEX(Lists!$AP$2:$AP$11,MATCH(ROW(),Lists!$AN$2:$AN$11,0)),""),IF(OR(LEFT($AJ137,3)="COE",$AJ137="EGI"),$AP137,IF($AR137&lt;&gt;"Squad",$AR137,$AP137))))</f>
        <v>Ampol Loyalty &amp; Martech</v>
      </c>
    </row>
    <row r="138" ht="18" customHeight="1" s="866">
      <c r="A138" s="1208" t="n">
        <v>111777</v>
      </c>
      <c r="B138" s="1199" t="inlineStr">
        <is>
          <t>Jeremy Xu</t>
        </is>
      </c>
      <c r="C138" s="1199" t="inlineStr">
        <is>
          <t>Data Analyst</t>
        </is>
      </c>
      <c r="D138" s="1199" t="inlineStr">
        <is>
          <t>Vacant</t>
        </is>
      </c>
      <c r="E138" s="1199" t="inlineStr">
        <is>
          <t>Technology Manager, Data &amp; Engineering</t>
        </is>
      </c>
      <c r="F138" s="1210" t="inlineStr">
        <is>
          <t>Customer</t>
        </is>
      </c>
      <c r="G138" s="1199" t="inlineStr">
        <is>
          <t>Loyalty &amp; Martech</t>
        </is>
      </c>
      <c r="H138" s="1209" t="inlineStr">
        <is>
          <t>Loyalty, Data &amp; Engineering</t>
        </is>
      </c>
      <c r="I138" s="1199" t="inlineStr">
        <is>
          <t>Ampol Customer</t>
        </is>
      </c>
      <c r="J138" s="1199" t="inlineStr">
        <is>
          <t>Ampol Loyalty &amp; Martech</t>
        </is>
      </c>
      <c r="K138" s="1209" t="inlineStr">
        <is>
          <t>Ampol Loyalty &amp; Martech</t>
        </is>
      </c>
      <c r="L138" s="1199" t="n"/>
      <c r="M138" s="1211" t="inlineStr">
        <is>
          <t>Australia</t>
        </is>
      </c>
      <c r="N138" s="1199" t="inlineStr">
        <is>
          <t>CIB</t>
        </is>
      </c>
      <c r="O138" s="1199" t="n">
        <v>1</v>
      </c>
      <c r="P138" s="1199" t="n"/>
      <c r="Q138" s="1199" t="inlineStr">
        <is>
          <t>V</t>
        </is>
      </c>
      <c r="R138" s="1199" t="n"/>
      <c r="S138" s="1199" t="n"/>
      <c r="T138" s="1212" t="n">
        <v>151950</v>
      </c>
      <c r="U138" s="1213" t="n">
        <v>151950</v>
      </c>
      <c r="V138" s="1214" t="n">
        <v>0.12</v>
      </c>
      <c r="W138" s="1215" t="n">
        <v>0.055</v>
      </c>
      <c r="X138" s="1215" t="n">
        <v>0.12</v>
      </c>
      <c r="Y138" s="1215" t="n"/>
      <c r="Z138" s="1215" t="n">
        <v>0.04</v>
      </c>
      <c r="AA138" s="1216">
        <f>IF(TRIM($B138)="","",IF(N($AU138)&gt;0,$AU138,IF(N($S138)&gt;0,$S138*Lists!$AG$15*(1+N($Z138)),N($U138)*(1+N($V138)+N($W138)+N($X138)+N($Z138))+N($Y138))))</f>
        <v>202853.25</v>
      </c>
      <c r="AB138" s="1217" t="n"/>
      <c r="AC138" s="1217" t="n"/>
      <c r="AD138" s="1217" t="n"/>
      <c r="AE138" s="1217" t="n"/>
      <c r="AF138" s="1217" t="n"/>
      <c r="AG138" s="1217" t="n"/>
      <c r="AH138" s="1908" t="n"/>
      <c r="AJ138" s="865" t="str">
        <f>IF(TRIM($B138)="","",IF(IFERROR(INDEX(Lists!$AO$2:$AO$11,MATCH(ROW(),Lists!$AN$2:$AN$11,0)),"")&lt;&gt;"",IFERROR(INDEX(Lists!$AO$2:$AO$11,MATCH(ROW(),Lists!$AN$2:$AN$11,0)),""),IFERROR(INDEX(Lists!$U:$U,MATCH(TRIM($I138),Lists!$T:$T,0)),TRIM($I138))))</f>
        <v>Customer</v>
      </c>
      <c r="AK138" s="865" t="str">
        <f>IF(ISNUMBER(SEARCH("vacant",$B138)),"Vacant","Filled")</f>
        <v>Filled</v>
      </c>
      <c r="AL138" s="865" t="str">
        <f>IF($M138="NZ","NZ","AU")</f>
        <v>AU</v>
      </c>
      <c r="AM138" s="865">
        <f>COUNTIF($AJ$2:$AJ138,$AJ138)</f>
        <v>31</v>
      </c>
      <c r="AN138" s="865" t="str">
        <f>$AJ138&amp;"|"&amp;$AM138</f>
        <v>Customer|31</v>
      </c>
      <c r="AP138" s="865" t="str">
        <f>IF(TRIM($B138)="","",IF($AQ138=1,"Leadership",IFERROR(INDEX(Lists!$X:$X,MATCH(TRIM($K138),Lists!$W:$W,0)),IF(OR(TRIM($K138)="",LOWER(TRIM($K138))="na"),IF(TRIM($G138)="","Unassigned",TRIM($G138)),TRIM($K138)))))</f>
        <v>Ampol Loyalty &amp; Martech</v>
      </c>
      <c r="AQ138" s="865" t="b">
        <f>IF(TRIM($B138)="","",--OR(TRIM($K138)="Leadership",TRIM($J138)="Leadership"))</f>
        <v>0</v>
      </c>
      <c r="AR138" s="1136" t="str">
        <f>IF(TRIM($B138)="","",IF(IFERROR(INDEX(Lists!$AQ$2:$AQ$11,MATCH(ROW(),Lists!$AN$2:$AN$11,0)),"")&lt;&gt;"",IFERROR(INDEX(Lists!$AQ$2:$AQ$11,MATCH(ROW(),Lists!$AN$2:$AN$11,0)),""),IF(ISNUMBER(SEARCH("head of ",$C138)),"Head of Technology",IF(ISNUMBER(SEARCH("TDD BP",$C138)),"Business Partner",IF(OR(ISNUMBER(SEARCH("domain architect",$C138)),ISNUMBER(SEARCH("enterprise architect",$C138))),"Domain Architect",IF(ISNUMBER(SEARCH("delivery man",$C138)),"Delivery Manager",IF(OR(ISNUMBER(SEARCH("technology manager",$C138)),ISNUMBER(SEARCH("technology manger",$C138)),ISNUMBER(SEARCH("tech manager",$C138))),"Technology Manager","Squad")))))))</f>
        <v>Squad</v>
      </c>
      <c r="AS138" s="1136" t="str">
        <f>IF(TRIM($B138)="","",IFERROR(INDEX(Lists!$AA:$AA,MATCH($AP138,Lists!$Z:$Z,0)),$AP138))</f>
        <v>Ampol Loyalty &amp; Martech</v>
      </c>
      <c r="AT138" s="1136" t="str">
        <f>IF(TRIM($B138)="","",IF(IFERROR(INDEX(Lists!$AP$2:$AP$11,MATCH(ROW(),Lists!$AN$2:$AN$11,0)),"")&lt;&gt;"",IFERROR(INDEX(Lists!$AP$2:$AP$11,MATCH(ROW(),Lists!$AN$2:$AN$11,0)),""),IF(OR(LEFT($AJ138,3)="COE",$AJ138="EGI"),$AP138,IF($AR138&lt;&gt;"Squad",$AR138,$AP138))))</f>
        <v>Ampol Loyalty &amp; Martech</v>
      </c>
    </row>
    <row r="139" ht="18" customHeight="1" s="866">
      <c r="A139" s="1208" t="n"/>
      <c r="B139" s="1209" t="inlineStr">
        <is>
          <t>Jill Martin</t>
        </is>
      </c>
      <c r="C139" s="1209" t="inlineStr">
        <is>
          <t>Delivery Manager</t>
        </is>
      </c>
      <c r="D139" s="1209" t="inlineStr">
        <is>
          <t>Andy Stewart</t>
        </is>
      </c>
      <c r="E139" s="1209" t="inlineStr">
        <is>
          <t>Head of Technology, Loyalty &amp; Martech</t>
        </is>
      </c>
      <c r="F139" s="1210" t="inlineStr">
        <is>
          <t>Customer</t>
        </is>
      </c>
      <c r="G139" s="1199" t="inlineStr">
        <is>
          <t>Loyalty &amp; Martech</t>
        </is>
      </c>
      <c r="H139" s="1199" t="inlineStr">
        <is>
          <t xml:space="preserve">Loyalty, Delivery </t>
        </is>
      </c>
      <c r="I139" s="1199" t="inlineStr">
        <is>
          <t>Ampol Customer</t>
        </is>
      </c>
      <c r="J139" s="1209" t="inlineStr">
        <is>
          <t>Z Loyalty &amp; Martech</t>
        </is>
      </c>
      <c r="K139" s="1209" t="inlineStr">
        <is>
          <t>Z Loyalty &amp; Martech</t>
        </is>
      </c>
      <c r="L139" s="1199" t="n"/>
      <c r="M139" s="1211" t="inlineStr">
        <is>
          <t>Australia</t>
        </is>
      </c>
      <c r="N139" s="1199" t="inlineStr">
        <is>
          <t>CSB</t>
        </is>
      </c>
      <c r="O139" s="1199" t="n">
        <v>1</v>
      </c>
      <c r="P139" s="1199" t="n"/>
      <c r="Q139" s="1199" t="inlineStr">
        <is>
          <t>V</t>
        </is>
      </c>
      <c r="R139" s="1199" t="n"/>
      <c r="S139" s="1199" t="n"/>
      <c r="T139" s="1212" t="n">
        <v>151950</v>
      </c>
      <c r="U139" s="1213" t="n">
        <v>151950</v>
      </c>
      <c r="V139" s="1214" t="n">
        <v>0.12</v>
      </c>
      <c r="W139" s="1215" t="n">
        <v>0.055</v>
      </c>
      <c r="X139" s="1215" t="n">
        <v>0.12</v>
      </c>
      <c r="Y139" s="1215" t="n"/>
      <c r="Z139" s="1215" t="n">
        <v>0.04</v>
      </c>
      <c r="AA139" s="1216">
        <f>IF(TRIM($B139)="","",IF(N($AU139)&gt;0,$AU139,IF(N($S139)&gt;0,$S139*Lists!$AG$15*(1+N($Z139)),N($U139)*(1+N($V139)+N($W139)+N($X139)+N($Z139))+N($Y139))))</f>
        <v>202853.25</v>
      </c>
      <c r="AB139" s="1217" t="n"/>
      <c r="AC139" s="1217" t="n"/>
      <c r="AD139" s="1217" t="n"/>
      <c r="AE139" s="1217" t="n"/>
      <c r="AF139" s="1217" t="n"/>
      <c r="AG139" s="1217" t="n"/>
      <c r="AH139" s="1908" t="n"/>
      <c r="AJ139" s="865" t="str">
        <f>IF(TRIM($B139)="","",IF(IFERROR(INDEX(Lists!$AO$2:$AO$11,MATCH(ROW(),Lists!$AN$2:$AN$11,0)),"")&lt;&gt;"",IFERROR(INDEX(Lists!$AO$2:$AO$11,MATCH(ROW(),Lists!$AN$2:$AN$11,0)),""),IFERROR(INDEX(Lists!$U:$U,MATCH(TRIM($I139),Lists!$T:$T,0)),TRIM($I139))))</f>
        <v>Customer</v>
      </c>
      <c r="AK139" s="865" t="str">
        <f>IF(ISNUMBER(SEARCH("vacant",$B139)),"Vacant","Filled")</f>
        <v>Filled</v>
      </c>
      <c r="AL139" s="865" t="str">
        <f>IF($M139="NZ","NZ","AU")</f>
        <v>AU</v>
      </c>
      <c r="AM139" s="865">
        <f>COUNTIF($AJ$2:$AJ139,$AJ139)</f>
        <v>32</v>
      </c>
      <c r="AN139" s="865" t="str">
        <f>$AJ139&amp;"|"&amp;$AM139</f>
        <v>Customer|32</v>
      </c>
      <c r="AP139" s="865" t="str">
        <f>IF(TRIM($B139)="","",IF($AQ139=1,"Leadership",IFERROR(INDEX(Lists!$X:$X,MATCH(TRIM($K139),Lists!$W:$W,0)),IF(OR(TRIM($K139)="",LOWER(TRIM($K139))="na"),IF(TRIM($G139)="","Unassigned",TRIM($G139)),TRIM($K139)))))</f>
        <v>Z Loyalty &amp; Martech</v>
      </c>
      <c r="AQ139" s="865" t="b">
        <f>IF(TRIM($B139)="","",--OR(TRIM($K139)="Leadership",TRIM($J139)="Leadership"))</f>
        <v>0</v>
      </c>
      <c r="AR139" s="1136" t="str">
        <f>IF(TRIM($B139)="","",IF(IFERROR(INDEX(Lists!$AQ$2:$AQ$11,MATCH(ROW(),Lists!$AN$2:$AN$11,0)),"")&lt;&gt;"",IFERROR(INDEX(Lists!$AQ$2:$AQ$11,MATCH(ROW(),Lists!$AN$2:$AN$11,0)),""),IF(ISNUMBER(SEARCH("head of ",$C139)),"Head of Technology",IF(ISNUMBER(SEARCH("TDD BP",$C139)),"Business Partner",IF(OR(ISNUMBER(SEARCH("domain architect",$C139)),ISNUMBER(SEARCH("enterprise architect",$C139))),"Domain Architect",IF(ISNUMBER(SEARCH("delivery man",$C139)),"Delivery Manager",IF(OR(ISNUMBER(SEARCH("technology manager",$C139)),ISNUMBER(SEARCH("technology manger",$C139)),ISNUMBER(SEARCH("tech manager",$C139))),"Technology Manager","Squad")))))))</f>
        <v>Delivery Manager</v>
      </c>
      <c r="AS139" s="1136" t="str">
        <f>IF(TRIM($B139)="","",IFERROR(INDEX(Lists!$AA:$AA,MATCH($AP139,Lists!$Z:$Z,0)),$AP139))</f>
        <v>Z Loyalty &amp; Martech</v>
      </c>
      <c r="AT139" s="1136" t="str">
        <f>IF(TRIM($B139)="","",IF(IFERROR(INDEX(Lists!$AP$2:$AP$11,MATCH(ROW(),Lists!$AN$2:$AN$11,0)),"")&lt;&gt;"",IFERROR(INDEX(Lists!$AP$2:$AP$11,MATCH(ROW(),Lists!$AN$2:$AN$11,0)),""),IF(OR(LEFT($AJ139,3)="COE",$AJ139="EGI"),$AP139,IF($AR139&lt;&gt;"Squad",$AR139,$AP139))))</f>
        <v>Delivery Manager</v>
      </c>
    </row>
    <row r="140" ht="18" customHeight="1" s="866">
      <c r="A140" s="1208" t="n">
        <v>114650</v>
      </c>
      <c r="B140" s="1209" t="inlineStr">
        <is>
          <t>Jin Zhong</t>
        </is>
      </c>
      <c r="C140" s="1209" t="inlineStr">
        <is>
          <t>Lead Engineer - BE</t>
        </is>
      </c>
      <c r="D140" s="1209" t="inlineStr">
        <is>
          <t>Vacant</t>
        </is>
      </c>
      <c r="E140" s="1209" t="inlineStr">
        <is>
          <t>Technology Manager, Digital Engineering</t>
        </is>
      </c>
      <c r="F140" s="1210" t="inlineStr">
        <is>
          <t>Customer</t>
        </is>
      </c>
      <c r="G140" s="1199" t="inlineStr">
        <is>
          <t>Digital</t>
        </is>
      </c>
      <c r="H140" s="1209" t="inlineStr">
        <is>
          <t>Tech, Digital Engineering</t>
        </is>
      </c>
      <c r="I140" s="1199" t="inlineStr">
        <is>
          <t>Ampol Customer</t>
        </is>
      </c>
      <c r="J140" s="1209" t="inlineStr">
        <is>
          <t>Ampol Digital</t>
        </is>
      </c>
      <c r="K140" s="1209" t="inlineStr">
        <is>
          <t>Ampol Web</t>
        </is>
      </c>
      <c r="L140" s="1199" t="n"/>
      <c r="M140" s="1211" t="inlineStr">
        <is>
          <t>Australia</t>
        </is>
      </c>
      <c r="N140" s="1199" t="inlineStr">
        <is>
          <t>CIC</t>
        </is>
      </c>
      <c r="O140" s="1199" t="n">
        <v>1</v>
      </c>
      <c r="P140" s="1199" t="n"/>
      <c r="Q140" s="1199" t="inlineStr">
        <is>
          <t>V</t>
        </is>
      </c>
      <c r="R140" s="1199" t="n"/>
      <c r="S140" s="1199" t="n"/>
      <c r="T140" s="1212" t="n">
        <v>151950</v>
      </c>
      <c r="U140" s="1213" t="n">
        <v>151950</v>
      </c>
      <c r="V140" s="1214" t="n">
        <v>0.12</v>
      </c>
      <c r="W140" s="1215" t="n">
        <v>0.055</v>
      </c>
      <c r="X140" s="1215" t="n">
        <v>0.12</v>
      </c>
      <c r="Y140" s="1215" t="n"/>
      <c r="Z140" s="1215" t="n">
        <v>0.04</v>
      </c>
      <c r="AA140" s="1216">
        <f>IF(TRIM($B140)="","",IF(N($AU140)&gt;0,$AU140,IF(N($S140)&gt;0,$S140*Lists!$AG$15*(1+N($Z140)),N($U140)*(1+N($V140)+N($W140)+N($X140)+N($Z140))+N($Y140))))</f>
        <v>202853.25</v>
      </c>
      <c r="AB140" s="1217" t="n"/>
      <c r="AC140" s="1217" t="n"/>
      <c r="AD140" s="1217" t="n"/>
      <c r="AE140" s="1217" t="n"/>
      <c r="AF140" s="1217" t="n"/>
      <c r="AG140" s="1217" t="n"/>
      <c r="AH140" s="1908" t="n"/>
      <c r="AJ140" s="865" t="str">
        <f>IF(TRIM($B140)="","",IF(IFERROR(INDEX(Lists!$AO$2:$AO$11,MATCH(ROW(),Lists!$AN$2:$AN$11,0)),"")&lt;&gt;"",IFERROR(INDEX(Lists!$AO$2:$AO$11,MATCH(ROW(),Lists!$AN$2:$AN$11,0)),""),IFERROR(INDEX(Lists!$U:$U,MATCH(TRIM($I140),Lists!$T:$T,0)),TRIM($I140))))</f>
        <v>Customer</v>
      </c>
      <c r="AK140" s="865" t="str">
        <f>IF(ISNUMBER(SEARCH("vacant",$B140)),"Vacant","Filled")</f>
        <v>Filled</v>
      </c>
      <c r="AL140" s="865" t="str">
        <f>IF($M140="NZ","NZ","AU")</f>
        <v>AU</v>
      </c>
      <c r="AM140" s="865">
        <f>COUNTIF($AJ$2:$AJ140,$AJ140)</f>
        <v>33</v>
      </c>
      <c r="AN140" s="865" t="str">
        <f>$AJ140&amp;"|"&amp;$AM140</f>
        <v>Customer|33</v>
      </c>
      <c r="AP140" s="865" t="str">
        <f>IF(TRIM($B140)="","",IF($AQ140=1,"Leadership",IFERROR(INDEX(Lists!$X:$X,MATCH(TRIM($K140),Lists!$W:$W,0)),IF(OR(TRIM($K140)="",LOWER(TRIM($K140))="na"),IF(TRIM($G140)="","Unassigned",TRIM($G140)),TRIM($K140)))))</f>
        <v>Ampol Web</v>
      </c>
      <c r="AQ140" s="865" t="b">
        <f>IF(TRIM($B140)="","",--OR(TRIM($K140)="Leadership",TRIM($J140)="Leadership"))</f>
        <v>0</v>
      </c>
      <c r="AR140" s="1136" t="str">
        <f>IF(TRIM($B140)="","",IF(IFERROR(INDEX(Lists!$AQ$2:$AQ$11,MATCH(ROW(),Lists!$AN$2:$AN$11,0)),"")&lt;&gt;"",IFERROR(INDEX(Lists!$AQ$2:$AQ$11,MATCH(ROW(),Lists!$AN$2:$AN$11,0)),""),IF(ISNUMBER(SEARCH("head of ",$C140)),"Head of Technology",IF(ISNUMBER(SEARCH("TDD BP",$C140)),"Business Partner",IF(OR(ISNUMBER(SEARCH("domain architect",$C140)),ISNUMBER(SEARCH("enterprise architect",$C140))),"Domain Architect",IF(ISNUMBER(SEARCH("delivery man",$C140)),"Delivery Manager",IF(OR(ISNUMBER(SEARCH("technology manager",$C140)),ISNUMBER(SEARCH("technology manger",$C140)),ISNUMBER(SEARCH("tech manager",$C140))),"Technology Manager","Squad")))))))</f>
        <v>Squad</v>
      </c>
      <c r="AS140" s="1136" t="str">
        <f>IF(TRIM($B140)="","",IFERROR(INDEX(Lists!$AA:$AA,MATCH($AP140,Lists!$Z:$Z,0)),$AP140))</f>
        <v>Ampol Web</v>
      </c>
      <c r="AT140" s="1136" t="str">
        <f>IF(TRIM($B140)="","",IF(IFERROR(INDEX(Lists!$AP$2:$AP$11,MATCH(ROW(),Lists!$AN$2:$AN$11,0)),"")&lt;&gt;"",IFERROR(INDEX(Lists!$AP$2:$AP$11,MATCH(ROW(),Lists!$AN$2:$AN$11,0)),""),IF(OR(LEFT($AJ140,3)="COE",$AJ140="EGI"),$AP140,IF($AR140&lt;&gt;"Squad",$AR140,$AP140))))</f>
        <v>Ampol Web</v>
      </c>
    </row>
    <row r="141" ht="18" customHeight="1" s="866">
      <c r="A141" s="1208" t="inlineStr">
        <is>
          <t>C</t>
        </is>
      </c>
      <c r="B141" s="1199" t="inlineStr">
        <is>
          <t>Jordan Askwith</t>
        </is>
      </c>
      <c r="C141" s="1199" t="inlineStr">
        <is>
          <t>Solution Architect</t>
        </is>
      </c>
      <c r="D141" s="1199" t="inlineStr">
        <is>
          <t>Mitesh Shah</t>
        </is>
      </c>
      <c r="E141" s="1199" t="inlineStr">
        <is>
          <t>Technology Manager, Digitial</t>
        </is>
      </c>
      <c r="F141" s="1210" t="inlineStr">
        <is>
          <t>Customer</t>
        </is>
      </c>
      <c r="G141" s="1199" t="inlineStr">
        <is>
          <t>Digital</t>
        </is>
      </c>
      <c r="H141" s="1209" t="inlineStr">
        <is>
          <t>Digital, Tech</t>
        </is>
      </c>
      <c r="I141" s="1199" t="inlineStr">
        <is>
          <t>Ampol Customer</t>
        </is>
      </c>
      <c r="J141" s="1199" t="inlineStr">
        <is>
          <t>Ampol Digital</t>
        </is>
      </c>
      <c r="K141" s="1199" t="inlineStr">
        <is>
          <t>Ampol Web</t>
        </is>
      </c>
      <c r="L141" s="1199" t="n"/>
      <c r="M141" s="1211" t="inlineStr">
        <is>
          <t>Australia</t>
        </is>
      </c>
      <c r="N141" s="1199" t="inlineStr">
        <is>
          <t>NA</t>
        </is>
      </c>
      <c r="O141" s="1209" t="n">
        <v>1</v>
      </c>
      <c r="P141" s="1199" t="n"/>
      <c r="Q141" s="1199" t="inlineStr">
        <is>
          <t>v</t>
        </is>
      </c>
      <c r="R141" s="1199" t="n"/>
      <c r="S141" s="1199" t="n"/>
      <c r="T141" s="1212" t="n">
        <v>151950</v>
      </c>
      <c r="U141" s="1213" t="n">
        <v>151950</v>
      </c>
      <c r="V141" s="1214" t="n">
        <v>0.12</v>
      </c>
      <c r="W141" s="1215" t="n">
        <v>0.055</v>
      </c>
      <c r="X141" s="1215" t="n">
        <v>0.12</v>
      </c>
      <c r="Y141" s="1215" t="n"/>
      <c r="Z141" s="1215" t="n">
        <v>0.04</v>
      </c>
      <c r="AA141" s="1216">
        <f>IF(TRIM($B141)="","",IF(N($AU141)&gt;0,$AU141,IF(N($S141)&gt;0,$S141*Lists!$AG$15*(1+N($Z141)),N($U141)*(1+N($V141)+N($W141)+N($X141)+N($Z141))+N($Y141))))</f>
        <v>202853.25</v>
      </c>
      <c r="AB141" s="1217" t="n"/>
      <c r="AC141" s="1217" t="n"/>
      <c r="AD141" s="1217" t="n"/>
      <c r="AE141" s="1217" t="n"/>
      <c r="AF141" s="1217" t="n"/>
      <c r="AG141" s="1217" t="n"/>
      <c r="AH141" s="1908" t="n"/>
      <c r="AJ141" s="865" t="str">
        <f>IF(TRIM($B141)="","",IF(IFERROR(INDEX(Lists!$AO$2:$AO$11,MATCH(ROW(),Lists!$AN$2:$AN$11,0)),"")&lt;&gt;"",IFERROR(INDEX(Lists!$AO$2:$AO$11,MATCH(ROW(),Lists!$AN$2:$AN$11,0)),""),IFERROR(INDEX(Lists!$U:$U,MATCH(TRIM($I141),Lists!$T:$T,0)),TRIM($I141))))</f>
        <v>Customer</v>
      </c>
      <c r="AK141" s="865" t="str">
        <f>IF(ISNUMBER(SEARCH("vacant",$B141)),"Vacant","Filled")</f>
        <v>Filled</v>
      </c>
      <c r="AL141" s="865" t="str">
        <f>IF($M141="NZ","NZ","AU")</f>
        <v>AU</v>
      </c>
      <c r="AM141" s="865">
        <f>COUNTIF($AJ$2:$AJ141,$AJ141)</f>
        <v>34</v>
      </c>
      <c r="AN141" s="865" t="str">
        <f>$AJ141&amp;"|"&amp;$AM141</f>
        <v>Customer|34</v>
      </c>
      <c r="AP141" s="865" t="str">
        <f>IF(TRIM($B141)="","",IF($AQ141=1,"Leadership",IFERROR(INDEX(Lists!$X:$X,MATCH(TRIM($K141),Lists!$W:$W,0)),IF(OR(TRIM($K141)="",LOWER(TRIM($K141))="na"),IF(TRIM($G141)="","Unassigned",TRIM($G141)),TRIM($K141)))))</f>
        <v>Ampol Web</v>
      </c>
      <c r="AQ141" s="865" t="b">
        <f>IF(TRIM($B141)="","",--OR(TRIM($K141)="Leadership",TRIM($J141)="Leadership"))</f>
        <v>0</v>
      </c>
      <c r="AR141" s="1136" t="str">
        <f>IF(TRIM($B141)="","",IF(IFERROR(INDEX(Lists!$AQ$2:$AQ$11,MATCH(ROW(),Lists!$AN$2:$AN$11,0)),"")&lt;&gt;"",IFERROR(INDEX(Lists!$AQ$2:$AQ$11,MATCH(ROW(),Lists!$AN$2:$AN$11,0)),""),IF(ISNUMBER(SEARCH("head of ",$C141)),"Head of Technology",IF(ISNUMBER(SEARCH("TDD BP",$C141)),"Business Partner",IF(OR(ISNUMBER(SEARCH("domain architect",$C141)),ISNUMBER(SEARCH("enterprise architect",$C141))),"Domain Architect",IF(ISNUMBER(SEARCH("delivery man",$C141)),"Delivery Manager",IF(OR(ISNUMBER(SEARCH("technology manager",$C141)),ISNUMBER(SEARCH("technology manger",$C141)),ISNUMBER(SEARCH("tech manager",$C141))),"Technology Manager","Squad")))))))</f>
        <v>Squad</v>
      </c>
      <c r="AS141" s="1136" t="str">
        <f>IF(TRIM($B141)="","",IFERROR(INDEX(Lists!$AA:$AA,MATCH($AP141,Lists!$Z:$Z,0)),$AP141))</f>
        <v>Ampol Web</v>
      </c>
      <c r="AT141" s="1136" t="str">
        <f>IF(TRIM($B141)="","",IF(IFERROR(INDEX(Lists!$AP$2:$AP$11,MATCH(ROW(),Lists!$AN$2:$AN$11,0)),"")&lt;&gt;"",IFERROR(INDEX(Lists!$AP$2:$AP$11,MATCH(ROW(),Lists!$AN$2:$AN$11,0)),""),IF(OR(LEFT($AJ141,3)="COE",$AJ141="EGI"),$AP141,IF($AR141&lt;&gt;"Squad",$AR141,$AP141))))</f>
        <v>Ampol Web</v>
      </c>
    </row>
    <row r="142" ht="18" customHeight="1" s="866">
      <c r="A142" s="1208" t="n">
        <v>99999101601</v>
      </c>
      <c r="B142" s="1199" t="inlineStr">
        <is>
          <t>Jordan Kettles</t>
        </is>
      </c>
      <c r="C142" s="1199" t="inlineStr">
        <is>
          <t>Engineer, Sotware</t>
        </is>
      </c>
      <c r="D142" s="1199" t="inlineStr">
        <is>
          <t>Vacant</t>
        </is>
      </c>
      <c r="E142" s="1199" t="inlineStr">
        <is>
          <t>Technology Manager, Data &amp; Engineering</t>
        </is>
      </c>
      <c r="F142" s="1210" t="inlineStr">
        <is>
          <t>Customer</t>
        </is>
      </c>
      <c r="G142" s="1199" t="inlineStr">
        <is>
          <t>Loyalty &amp; Martech</t>
        </is>
      </c>
      <c r="H142" s="1199" t="inlineStr">
        <is>
          <t>Loyalty, Data &amp; Engineering</t>
        </is>
      </c>
      <c r="I142" s="1199" t="inlineStr">
        <is>
          <t>Ampol Customer</t>
        </is>
      </c>
      <c r="J142" s="1199" t="inlineStr">
        <is>
          <t>Z Loyalty &amp; Martech</t>
        </is>
      </c>
      <c r="K142" s="1199" t="inlineStr">
        <is>
          <t>Z Loyalty &amp; Martech</t>
        </is>
      </c>
      <c r="L142" s="1199" t="n"/>
      <c r="M142" s="1211" t="inlineStr">
        <is>
          <t>NZ</t>
        </is>
      </c>
      <c r="N142" s="1199" t="inlineStr">
        <is>
          <t>CDB</t>
        </is>
      </c>
      <c r="O142" s="1209" t="n">
        <v>1</v>
      </c>
      <c r="P142" s="1199" t="n"/>
      <c r="Q142" s="1199" t="inlineStr">
        <is>
          <t>Permanent - Full Time</t>
        </is>
      </c>
      <c r="R142" s="1199" t="n"/>
      <c r="S142" s="1199" t="n"/>
      <c r="T142" s="1212" t="n">
        <v>126130</v>
      </c>
      <c r="U142" s="1213" t="n">
        <v>126130</v>
      </c>
      <c r="V142" s="1214" t="n">
        <v>0.1</v>
      </c>
      <c r="W142" s="1215" t="n">
        <v>0.055</v>
      </c>
      <c r="X142" s="1215" t="n">
        <v>0.12</v>
      </c>
      <c r="Y142" s="1215" t="n"/>
      <c r="Z142" s="1215" t="n">
        <v>0.04</v>
      </c>
      <c r="AA142" s="1216">
        <f>IF(TRIM($B142)="","",IF(N($AU142)&gt;0,$AU142,IF(N($S142)&gt;0,$S142*Lists!$AG$15*(1+N($Z142)),N($U142)*(1+N($V142)+N($W142)+N($X142)+N($Z142))+N($Y142))))</f>
        <v>165860.95</v>
      </c>
      <c r="AB142" s="1217" t="n"/>
      <c r="AC142" s="1217" t="n"/>
      <c r="AD142" s="1217" t="n"/>
      <c r="AE142" s="1217" t="n"/>
      <c r="AF142" s="1217" t="n"/>
      <c r="AG142" s="1217" t="n"/>
      <c r="AH142" s="1908" t="n"/>
      <c r="AJ142" s="865" t="str">
        <f>IF(TRIM($B142)="","",IF(IFERROR(INDEX(Lists!$AO$2:$AO$11,MATCH(ROW(),Lists!$AN$2:$AN$11,0)),"")&lt;&gt;"",IFERROR(INDEX(Lists!$AO$2:$AO$11,MATCH(ROW(),Lists!$AN$2:$AN$11,0)),""),IFERROR(INDEX(Lists!$U:$U,MATCH(TRIM($I142),Lists!$T:$T,0)),TRIM($I142))))</f>
        <v>Customer</v>
      </c>
      <c r="AK142" s="865" t="str">
        <f>IF(ISNUMBER(SEARCH("vacant",$B142)),"Vacant","Filled")</f>
        <v>Filled</v>
      </c>
      <c r="AL142" s="865" t="str">
        <f>IF($M142="NZ","NZ","AU")</f>
        <v>NZ</v>
      </c>
      <c r="AM142" s="865">
        <f>COUNTIF($AJ$2:$AJ142,$AJ142)</f>
        <v>35</v>
      </c>
      <c r="AN142" s="865" t="str">
        <f>$AJ142&amp;"|"&amp;$AM142</f>
        <v>Customer|35</v>
      </c>
      <c r="AP142" s="865" t="str">
        <f>IF(TRIM($B142)="","",IF($AQ142=1,"Leadership",IFERROR(INDEX(Lists!$X:$X,MATCH(TRIM($K142),Lists!$W:$W,0)),IF(OR(TRIM($K142)="",LOWER(TRIM($K142))="na"),IF(TRIM($G142)="","Unassigned",TRIM($G142)),TRIM($K142)))))</f>
        <v>Z Loyalty &amp; Martech</v>
      </c>
      <c r="AQ142" s="865" t="b">
        <f>IF(TRIM($B142)="","",--OR(TRIM($K142)="Leadership",TRIM($J142)="Leadership"))</f>
        <v>0</v>
      </c>
      <c r="AR142" s="1136" t="str">
        <f>IF(TRIM($B142)="","",IF(IFERROR(INDEX(Lists!$AQ$2:$AQ$11,MATCH(ROW(),Lists!$AN$2:$AN$11,0)),"")&lt;&gt;"",IFERROR(INDEX(Lists!$AQ$2:$AQ$11,MATCH(ROW(),Lists!$AN$2:$AN$11,0)),""),IF(ISNUMBER(SEARCH("head of ",$C142)),"Head of Technology",IF(ISNUMBER(SEARCH("TDD BP",$C142)),"Business Partner",IF(OR(ISNUMBER(SEARCH("domain architect",$C142)),ISNUMBER(SEARCH("enterprise architect",$C142))),"Domain Architect",IF(ISNUMBER(SEARCH("delivery man",$C142)),"Delivery Manager",IF(OR(ISNUMBER(SEARCH("technology manager",$C142)),ISNUMBER(SEARCH("technology manger",$C142)),ISNUMBER(SEARCH("tech manager",$C142))),"Technology Manager","Squad")))))))</f>
        <v>Squad</v>
      </c>
      <c r="AS142" s="1136" t="str">
        <f>IF(TRIM($B142)="","",IFERROR(INDEX(Lists!$AA:$AA,MATCH($AP142,Lists!$Z:$Z,0)),$AP142))</f>
        <v>Z Loyalty &amp; Martech</v>
      </c>
      <c r="AT142" s="1136" t="str">
        <f>IF(TRIM($B142)="","",IF(IFERROR(INDEX(Lists!$AP$2:$AP$11,MATCH(ROW(),Lists!$AN$2:$AN$11,0)),"")&lt;&gt;"",IFERROR(INDEX(Lists!$AP$2:$AP$11,MATCH(ROW(),Lists!$AN$2:$AN$11,0)),""),IF(OR(LEFT($AJ142,3)="COE",$AJ142="EGI"),$AP142,IF($AR142&lt;&gt;"Squad",$AR142,$AP142))))</f>
        <v>Z Loyalty &amp; Martech</v>
      </c>
    </row>
    <row r="143" ht="18" customHeight="1" s="866">
      <c r="A143" s="1208" t="n">
        <v>99999101672</v>
      </c>
      <c r="B143" s="1199" t="inlineStr">
        <is>
          <t>Kaye Javier</t>
        </is>
      </c>
      <c r="C143" s="1199" t="inlineStr">
        <is>
          <t>QA Analyst</t>
        </is>
      </c>
      <c r="D143" s="1199" t="inlineStr">
        <is>
          <t>Kris Hamilton</t>
        </is>
      </c>
      <c r="E143" s="1199" t="inlineStr">
        <is>
          <t>Technology Manager, Loyalty &amp; Martech</t>
        </is>
      </c>
      <c r="F143" s="1210" t="inlineStr">
        <is>
          <t>Customer</t>
        </is>
      </c>
      <c r="G143" s="1199" t="inlineStr">
        <is>
          <t>Loyalty &amp; Martech</t>
        </is>
      </c>
      <c r="H143" s="1199" t="inlineStr">
        <is>
          <t>Loyalty, Tech</t>
        </is>
      </c>
      <c r="I143" s="1199" t="inlineStr">
        <is>
          <t>Ampol Customer</t>
        </is>
      </c>
      <c r="J143" s="1199" t="inlineStr">
        <is>
          <t>Z Loyalty &amp; Martech</t>
        </is>
      </c>
      <c r="K143" s="1199" t="inlineStr">
        <is>
          <t>Z Loyalty &amp; Martech</t>
        </is>
      </c>
      <c r="L143" s="1199" t="n"/>
      <c r="M143" s="1211" t="inlineStr">
        <is>
          <t>NZ</t>
        </is>
      </c>
      <c r="N143" s="1199" t="inlineStr">
        <is>
          <t>CDB</t>
        </is>
      </c>
      <c r="O143" s="1209" t="n">
        <v>1</v>
      </c>
      <c r="P143" s="1199" t="n"/>
      <c r="Q143" s="1199" t="inlineStr">
        <is>
          <t>Permanent - Full Time</t>
        </is>
      </c>
      <c r="R143" s="1199" t="n"/>
      <c r="S143" s="1199" t="n"/>
      <c r="T143" s="1212" t="n">
        <v>160740</v>
      </c>
      <c r="U143" s="1213" t="n">
        <v>160740</v>
      </c>
      <c r="V143" s="1214" t="n">
        <v>0.12</v>
      </c>
      <c r="W143" s="1215" t="n">
        <v>0.055</v>
      </c>
      <c r="X143" s="1215" t="n">
        <v>0.12</v>
      </c>
      <c r="Y143" s="1215" t="n"/>
      <c r="Z143" s="1215" t="n">
        <v>0.04</v>
      </c>
      <c r="AA143" s="1216">
        <f>IF(TRIM($B143)="","",IF(N($AU143)&gt;0,$AU143,IF(N($S143)&gt;0,$S143*Lists!$AG$15*(1+N($Z143)),N($U143)*(1+N($V143)+N($W143)+N($X143)+N($Z143))+N($Y143))))</f>
        <v>214587.9</v>
      </c>
      <c r="AB143" s="1217" t="n"/>
      <c r="AC143" s="1217" t="n"/>
      <c r="AD143" s="1217" t="n"/>
      <c r="AE143" s="1217" t="n"/>
      <c r="AF143" s="1217" t="n"/>
      <c r="AG143" s="1217" t="n"/>
      <c r="AH143" s="1908" t="n"/>
      <c r="AJ143" s="865" t="str">
        <f>IF(TRIM($B143)="","",IF(IFERROR(INDEX(Lists!$AO$2:$AO$11,MATCH(ROW(),Lists!$AN$2:$AN$11,0)),"")&lt;&gt;"",IFERROR(INDEX(Lists!$AO$2:$AO$11,MATCH(ROW(),Lists!$AN$2:$AN$11,0)),""),IFERROR(INDEX(Lists!$U:$U,MATCH(TRIM($I143),Lists!$T:$T,0)),TRIM($I143))))</f>
        <v>Customer</v>
      </c>
      <c r="AK143" s="865" t="str">
        <f>IF(ISNUMBER(SEARCH("vacant",$B143)),"Vacant","Filled")</f>
        <v>Filled</v>
      </c>
      <c r="AL143" s="865" t="str">
        <f>IF($M143="NZ","NZ","AU")</f>
        <v>NZ</v>
      </c>
      <c r="AM143" s="865">
        <f>COUNTIF($AJ$2:$AJ143,$AJ143)</f>
        <v>36</v>
      </c>
      <c r="AN143" s="865" t="str">
        <f>$AJ143&amp;"|"&amp;$AM143</f>
        <v>Customer|36</v>
      </c>
      <c r="AP143" s="865" t="str">
        <f>IF(TRIM($B143)="","",IF($AQ143=1,"Leadership",IFERROR(INDEX(Lists!$X:$X,MATCH(TRIM($K143),Lists!$W:$W,0)),IF(OR(TRIM($K143)="",LOWER(TRIM($K143))="na"),IF(TRIM($G143)="","Unassigned",TRIM($G143)),TRIM($K143)))))</f>
        <v>Z Loyalty &amp; Martech</v>
      </c>
      <c r="AQ143" s="865" t="b">
        <f>IF(TRIM($B143)="","",--OR(TRIM($K143)="Leadership",TRIM($J143)="Leadership"))</f>
        <v>0</v>
      </c>
      <c r="AR143" s="1136" t="str">
        <f>IF(TRIM($B143)="","",IF(IFERROR(INDEX(Lists!$AQ$2:$AQ$11,MATCH(ROW(),Lists!$AN$2:$AN$11,0)),"")&lt;&gt;"",IFERROR(INDEX(Lists!$AQ$2:$AQ$11,MATCH(ROW(),Lists!$AN$2:$AN$11,0)),""),IF(ISNUMBER(SEARCH("head of ",$C143)),"Head of Technology",IF(ISNUMBER(SEARCH("TDD BP",$C143)),"Business Partner",IF(OR(ISNUMBER(SEARCH("domain architect",$C143)),ISNUMBER(SEARCH("enterprise architect",$C143))),"Domain Architect",IF(ISNUMBER(SEARCH("delivery man",$C143)),"Delivery Manager",IF(OR(ISNUMBER(SEARCH("technology manager",$C143)),ISNUMBER(SEARCH("technology manger",$C143)),ISNUMBER(SEARCH("tech manager",$C143))),"Technology Manager","Squad")))))))</f>
        <v>Squad</v>
      </c>
      <c r="AS143" s="1136" t="str">
        <f>IF(TRIM($B143)="","",IFERROR(INDEX(Lists!$AA:$AA,MATCH($AP143,Lists!$Z:$Z,0)),$AP143))</f>
        <v>Z Loyalty &amp; Martech</v>
      </c>
      <c r="AT143" s="1136" t="str">
        <f>IF(TRIM($B143)="","",IF(IFERROR(INDEX(Lists!$AP$2:$AP$11,MATCH(ROW(),Lists!$AN$2:$AN$11,0)),"")&lt;&gt;"",IFERROR(INDEX(Lists!$AP$2:$AP$11,MATCH(ROW(),Lists!$AN$2:$AN$11,0)),""),IF(OR(LEFT($AJ143,3)="COE",$AJ143="EGI"),$AP143,IF($AR143&lt;&gt;"Squad",$AR143,$AP143))))</f>
        <v>Z Loyalty &amp; Martech</v>
      </c>
    </row>
    <row r="144" ht="18" customHeight="1" s="866">
      <c r="A144" s="1208" t="n">
        <v>99999100621</v>
      </c>
      <c r="B144" s="1209" t="inlineStr">
        <is>
          <t>Kellie Gathergood</t>
        </is>
      </c>
      <c r="C144" s="1209" t="inlineStr">
        <is>
          <t>Lead Quality Assurance</t>
        </is>
      </c>
      <c r="D144" s="1209" t="inlineStr">
        <is>
          <t>Kris Hamilton</t>
        </is>
      </c>
      <c r="E144" s="1209" t="inlineStr">
        <is>
          <t>Technology Manager, Loyalty &amp; Martech</t>
        </is>
      </c>
      <c r="F144" s="1210" t="inlineStr">
        <is>
          <t>Customer</t>
        </is>
      </c>
      <c r="G144" s="1199" t="inlineStr">
        <is>
          <t>Loyalty &amp; Martech</t>
        </is>
      </c>
      <c r="H144" s="1199" t="inlineStr">
        <is>
          <t>Loyalty, Tech</t>
        </is>
      </c>
      <c r="I144" s="1199" t="inlineStr">
        <is>
          <t>Ampol Customer</t>
        </is>
      </c>
      <c r="J144" s="1209" t="inlineStr">
        <is>
          <t>Z Loyalty &amp; Martech</t>
        </is>
      </c>
      <c r="K144" s="1209" t="inlineStr">
        <is>
          <t>Z Loyalty &amp; Martech</t>
        </is>
      </c>
      <c r="L144" s="1199" t="n"/>
      <c r="M144" s="1211" t="inlineStr">
        <is>
          <t>NZ</t>
        </is>
      </c>
      <c r="N144" s="1199" t="inlineStr">
        <is>
          <t>CIC</t>
        </is>
      </c>
      <c r="O144" s="1199" t="n">
        <v>0.8</v>
      </c>
      <c r="P144" s="1199" t="n"/>
      <c r="Q144" s="1199" t="inlineStr">
        <is>
          <t>Permanent - Full Time</t>
        </is>
      </c>
      <c r="R144" s="1199" t="n"/>
      <c r="S144" s="1199" t="n"/>
      <c r="T144" s="1212" t="n">
        <v>193100</v>
      </c>
      <c r="U144" s="1213" t="n">
        <v>193100</v>
      </c>
      <c r="V144" s="1214" t="n">
        <v>0.12</v>
      </c>
      <c r="W144" s="1215" t="n">
        <v>0.055</v>
      </c>
      <c r="X144" s="1215" t="n">
        <v>0.12</v>
      </c>
      <c r="Y144" s="1215" t="n"/>
      <c r="Z144" s="1215" t="n">
        <v>0.04</v>
      </c>
      <c r="AA144" s="1216">
        <f>IF(TRIM($B144)="","",IF(N($AU144)&gt;0,$AU144,IF(N($S144)&gt;0,$S144*Lists!$AG$15*(1+N($Z144)),N($U144)*(1+N($V144)+N($W144)+N($X144)+N($Z144))+N($Y144))))</f>
        <v>257788.5</v>
      </c>
      <c r="AB144" s="1217" t="n"/>
      <c r="AC144" s="1217" t="n"/>
      <c r="AD144" s="1217" t="n"/>
      <c r="AE144" s="1217" t="n"/>
      <c r="AF144" s="1217" t="n"/>
      <c r="AG144" s="1217" t="n"/>
      <c r="AH144" s="1908" t="n"/>
      <c r="AJ144" s="865" t="str">
        <f>IF(TRIM($B144)="","",IF(IFERROR(INDEX(Lists!$AO$2:$AO$11,MATCH(ROW(),Lists!$AN$2:$AN$11,0)),"")&lt;&gt;"",IFERROR(INDEX(Lists!$AO$2:$AO$11,MATCH(ROW(),Lists!$AN$2:$AN$11,0)),""),IFERROR(INDEX(Lists!$U:$U,MATCH(TRIM($I144),Lists!$T:$T,0)),TRIM($I144))))</f>
        <v>Customer</v>
      </c>
      <c r="AK144" s="865" t="str">
        <f>IF(ISNUMBER(SEARCH("vacant",$B144)),"Vacant","Filled")</f>
        <v>Filled</v>
      </c>
      <c r="AL144" s="865" t="str">
        <f>IF($M144="NZ","NZ","AU")</f>
        <v>NZ</v>
      </c>
      <c r="AM144" s="865">
        <f>COUNTIF($AJ$2:$AJ144,$AJ144)</f>
        <v>37</v>
      </c>
      <c r="AN144" s="865" t="str">
        <f>$AJ144&amp;"|"&amp;$AM144</f>
        <v>Customer|37</v>
      </c>
      <c r="AP144" s="865" t="str">
        <f>IF(TRIM($B144)="","",IF($AQ144=1,"Leadership",IFERROR(INDEX(Lists!$X:$X,MATCH(TRIM($K144),Lists!$W:$W,0)),IF(OR(TRIM($K144)="",LOWER(TRIM($K144))="na"),IF(TRIM($G144)="","Unassigned",TRIM($G144)),TRIM($K144)))))</f>
        <v>Z Loyalty &amp; Martech</v>
      </c>
      <c r="AQ144" s="865" t="b">
        <f>IF(TRIM($B144)="","",--OR(TRIM($K144)="Leadership",TRIM($J144)="Leadership"))</f>
        <v>0</v>
      </c>
      <c r="AR144" s="1136" t="str">
        <f>IF(TRIM($B144)="","",IF(IFERROR(INDEX(Lists!$AQ$2:$AQ$11,MATCH(ROW(),Lists!$AN$2:$AN$11,0)),"")&lt;&gt;"",IFERROR(INDEX(Lists!$AQ$2:$AQ$11,MATCH(ROW(),Lists!$AN$2:$AN$11,0)),""),IF(ISNUMBER(SEARCH("head of ",$C144)),"Head of Technology",IF(ISNUMBER(SEARCH("TDD BP",$C144)),"Business Partner",IF(OR(ISNUMBER(SEARCH("domain architect",$C144)),ISNUMBER(SEARCH("enterprise architect",$C144))),"Domain Architect",IF(ISNUMBER(SEARCH("delivery man",$C144)),"Delivery Manager",IF(OR(ISNUMBER(SEARCH("technology manager",$C144)),ISNUMBER(SEARCH("technology manger",$C144)),ISNUMBER(SEARCH("tech manager",$C144))),"Technology Manager","Squad")))))))</f>
        <v>Squad</v>
      </c>
      <c r="AS144" s="1136" t="str">
        <f>IF(TRIM($B144)="","",IFERROR(INDEX(Lists!$AA:$AA,MATCH($AP144,Lists!$Z:$Z,0)),$AP144))</f>
        <v>Z Loyalty &amp; Martech</v>
      </c>
      <c r="AT144" s="1136" t="str">
        <f>IF(TRIM($B144)="","",IF(IFERROR(INDEX(Lists!$AP$2:$AP$11,MATCH(ROW(),Lists!$AN$2:$AN$11,0)),"")&lt;&gt;"",IFERROR(INDEX(Lists!$AP$2:$AP$11,MATCH(ROW(),Lists!$AN$2:$AN$11,0)),""),IF(OR(LEFT($AJ144,3)="COE",$AJ144="EGI"),$AP144,IF($AR144&lt;&gt;"Squad",$AR144,$AP144))))</f>
        <v>Z Loyalty &amp; Martech</v>
      </c>
    </row>
    <row r="145" ht="18" customHeight="1" s="866">
      <c r="A145" s="1208" t="n">
        <v>97634</v>
      </c>
      <c r="B145" s="1199" t="inlineStr">
        <is>
          <t>Khalid Mahmud</t>
        </is>
      </c>
      <c r="C145" s="1199" t="inlineStr">
        <is>
          <t>Lead Engineer - BE</t>
        </is>
      </c>
      <c r="D145" s="1199" t="inlineStr">
        <is>
          <t>Vacant</t>
        </is>
      </c>
      <c r="E145" s="1199" t="inlineStr">
        <is>
          <t>Technology Manager, Digital Engineering</t>
        </is>
      </c>
      <c r="F145" s="1210" t="inlineStr">
        <is>
          <t>Customer</t>
        </is>
      </c>
      <c r="G145" s="1199" t="inlineStr">
        <is>
          <t>Digital</t>
        </is>
      </c>
      <c r="H145" s="1199" t="inlineStr">
        <is>
          <t>Tech, Digital Engineering</t>
        </is>
      </c>
      <c r="I145" s="1199" t="inlineStr">
        <is>
          <t>Ampol Customer</t>
        </is>
      </c>
      <c r="J145" s="1199" t="inlineStr">
        <is>
          <t>Ampol Digital</t>
        </is>
      </c>
      <c r="K145" s="1199" t="inlineStr">
        <is>
          <t>Ampol App</t>
        </is>
      </c>
      <c r="L145" s="1199" t="n"/>
      <c r="M145" s="1211" t="inlineStr">
        <is>
          <t>Australia</t>
        </is>
      </c>
      <c r="N145" s="1199" t="inlineStr">
        <is>
          <t>CIC</t>
        </is>
      </c>
      <c r="O145" s="1209" t="n">
        <v>1</v>
      </c>
      <c r="P145" s="1199" t="n"/>
      <c r="Q145" s="1199" t="inlineStr">
        <is>
          <t>?</t>
        </is>
      </c>
      <c r="R145" s="1199" t="inlineStr">
        <is>
          <t>?</t>
        </is>
      </c>
      <c r="S145" s="1199" t="n">
        <v>1200</v>
      </c>
      <c r="T145" s="1212" t="n">
        <v>0</v>
      </c>
      <c r="U145" s="1213" t="n"/>
      <c r="V145" s="1214" t="n"/>
      <c r="W145" s="1215" t="n"/>
      <c r="X145" s="1215" t="n"/>
      <c r="Y145" s="1215" t="n"/>
      <c r="Z145" s="1215" t="n"/>
      <c r="AA145" s="1216">
        <f>IF(TRIM($B145)="","",IF(N($AU145)&gt;0,$AU145,IF(N($S145)&gt;0,$S145*Lists!$AG$15*(1+N($Z145)),N($U145)*(1+N($V145)+N($W145)+N($X145)+N($Z145))+N($Y145))))</f>
        <v>266400</v>
      </c>
      <c r="AB145" s="1217" t="n"/>
      <c r="AC145" s="1217" t="n"/>
      <c r="AD145" s="1217" t="n"/>
      <c r="AE145" s="1217" t="n"/>
      <c r="AF145" s="1217" t="n"/>
      <c r="AG145" s="1217" t="n"/>
      <c r="AH145" s="1908" t="n"/>
      <c r="AJ145" s="865" t="str">
        <f>IF(TRIM($B145)="","",IF(IFERROR(INDEX(Lists!$AO$2:$AO$11,MATCH(ROW(),Lists!$AN$2:$AN$11,0)),"")&lt;&gt;"",IFERROR(INDEX(Lists!$AO$2:$AO$11,MATCH(ROW(),Lists!$AN$2:$AN$11,0)),""),IFERROR(INDEX(Lists!$U:$U,MATCH(TRIM($I145),Lists!$T:$T,0)),TRIM($I145))))</f>
        <v>Customer</v>
      </c>
      <c r="AK145" s="865" t="str">
        <f>IF(ISNUMBER(SEARCH("vacant",$B145)),"Vacant","Filled")</f>
        <v>Filled</v>
      </c>
      <c r="AL145" s="865" t="str">
        <f>IF($M145="NZ","NZ","AU")</f>
        <v>AU</v>
      </c>
      <c r="AM145" s="865">
        <f>COUNTIF($AJ$2:$AJ145,$AJ145)</f>
        <v>38</v>
      </c>
      <c r="AN145" s="865" t="str">
        <f>$AJ145&amp;"|"&amp;$AM145</f>
        <v>Customer|38</v>
      </c>
      <c r="AP145" s="865" t="str">
        <f>IF(TRIM($B145)="","",IF($AQ145=1,"Leadership",IFERROR(INDEX(Lists!$X:$X,MATCH(TRIM($K145),Lists!$W:$W,0)),IF(OR(TRIM($K145)="",LOWER(TRIM($K145))="na"),IF(TRIM($G145)="","Unassigned",TRIM($G145)),TRIM($K145)))))</f>
        <v>Ampol App</v>
      </c>
      <c r="AQ145" s="865" t="b">
        <f>IF(TRIM($B145)="","",--OR(TRIM($K145)="Leadership",TRIM($J145)="Leadership"))</f>
        <v>0</v>
      </c>
      <c r="AR145" s="1136" t="str">
        <f>IF(TRIM($B145)="","",IF(IFERROR(INDEX(Lists!$AQ$2:$AQ$11,MATCH(ROW(),Lists!$AN$2:$AN$11,0)),"")&lt;&gt;"",IFERROR(INDEX(Lists!$AQ$2:$AQ$11,MATCH(ROW(),Lists!$AN$2:$AN$11,0)),""),IF(ISNUMBER(SEARCH("head of ",$C145)),"Head of Technology",IF(ISNUMBER(SEARCH("TDD BP",$C145)),"Business Partner",IF(OR(ISNUMBER(SEARCH("domain architect",$C145)),ISNUMBER(SEARCH("enterprise architect",$C145))),"Domain Architect",IF(ISNUMBER(SEARCH("delivery man",$C145)),"Delivery Manager",IF(OR(ISNUMBER(SEARCH("technology manager",$C145)),ISNUMBER(SEARCH("technology manger",$C145)),ISNUMBER(SEARCH("tech manager",$C145))),"Technology Manager","Squad")))))))</f>
        <v>Squad</v>
      </c>
      <c r="AS145" s="1136" t="str">
        <f>IF(TRIM($B145)="","",IFERROR(INDEX(Lists!$AA:$AA,MATCH($AP145,Lists!$Z:$Z,0)),$AP145))</f>
        <v>Ampol App</v>
      </c>
      <c r="AT145" s="1136" t="str">
        <f>IF(TRIM($B145)="","",IF(IFERROR(INDEX(Lists!$AP$2:$AP$11,MATCH(ROW(),Lists!$AN$2:$AN$11,0)),"")&lt;&gt;"",IFERROR(INDEX(Lists!$AP$2:$AP$11,MATCH(ROW(),Lists!$AN$2:$AN$11,0)),""),IF(OR(LEFT($AJ145,3)="COE",$AJ145="EGI"),$AP145,IF($AR145&lt;&gt;"Squad",$AR145,$AP145))))</f>
        <v>Ampol App</v>
      </c>
    </row>
    <row r="146" ht="18" customHeight="1" s="866">
      <c r="A146" s="1208" t="n">
        <v>99999101633</v>
      </c>
      <c r="B146" s="1209" t="inlineStr">
        <is>
          <t>Kishore Ganesan</t>
        </is>
      </c>
      <c r="C146" s="1209" t="inlineStr">
        <is>
          <t>Intermediate Quality Assurance</t>
        </is>
      </c>
      <c r="D146" s="1209" t="inlineStr">
        <is>
          <t>Kris Hamilton</t>
        </is>
      </c>
      <c r="E146" s="1209" t="inlineStr">
        <is>
          <t>Technology Manager, Loyalty &amp; Martech</t>
        </is>
      </c>
      <c r="F146" s="1210" t="inlineStr">
        <is>
          <t>Customer</t>
        </is>
      </c>
      <c r="G146" s="1199" t="inlineStr">
        <is>
          <t>Loyalty &amp; Martech</t>
        </is>
      </c>
      <c r="H146" s="1209" t="inlineStr">
        <is>
          <t>Loyalty, Tech</t>
        </is>
      </c>
      <c r="I146" s="1199" t="inlineStr">
        <is>
          <t>Ampol Customer</t>
        </is>
      </c>
      <c r="J146" s="1209" t="inlineStr">
        <is>
          <t>Z Loyalty &amp; Martech</t>
        </is>
      </c>
      <c r="K146" s="1209" t="inlineStr">
        <is>
          <t>Z Loyalty &amp; Martech</t>
        </is>
      </c>
      <c r="L146" s="1199" t="n"/>
      <c r="M146" s="1211" t="inlineStr">
        <is>
          <t>NZ</t>
        </is>
      </c>
      <c r="N146" s="1199" t="inlineStr">
        <is>
          <t>CDC</t>
        </is>
      </c>
      <c r="O146" s="1209" t="n">
        <v>1</v>
      </c>
      <c r="P146" s="1199" t="n"/>
      <c r="Q146" s="1199" t="inlineStr">
        <is>
          <t>V</t>
        </is>
      </c>
      <c r="R146" s="1199" t="n"/>
      <c r="S146" s="1199" t="n"/>
      <c r="T146" s="1212" t="n">
        <v>151950</v>
      </c>
      <c r="U146" s="1213" t="n">
        <v>151950</v>
      </c>
      <c r="V146" s="1214" t="n">
        <v>0.12</v>
      </c>
      <c r="W146" s="1215" t="n">
        <v>0.055</v>
      </c>
      <c r="X146" s="1215" t="n">
        <v>0.12</v>
      </c>
      <c r="Y146" s="1215" t="n"/>
      <c r="Z146" s="1215" t="n">
        <v>0.04</v>
      </c>
      <c r="AA146" s="1216">
        <f>IF(TRIM($B146)="","",IF(N($AU146)&gt;0,$AU146,IF(N($S146)&gt;0,$S146*Lists!$AG$15*(1+N($Z146)),N($U146)*(1+N($V146)+N($W146)+N($X146)+N($Z146))+N($Y146))))</f>
        <v>202853.25</v>
      </c>
      <c r="AB146" s="1217" t="n"/>
      <c r="AC146" s="1217" t="n"/>
      <c r="AD146" s="1217" t="n"/>
      <c r="AE146" s="1217" t="n"/>
      <c r="AF146" s="1217" t="n"/>
      <c r="AG146" s="1217" t="n"/>
      <c r="AH146" s="1908" t="n"/>
      <c r="AJ146" s="865" t="str">
        <f>IF(TRIM($B146)="","",IF(IFERROR(INDEX(Lists!$AO$2:$AO$11,MATCH(ROW(),Lists!$AN$2:$AN$11,0)),"")&lt;&gt;"",IFERROR(INDEX(Lists!$AO$2:$AO$11,MATCH(ROW(),Lists!$AN$2:$AN$11,0)),""),IFERROR(INDEX(Lists!$U:$U,MATCH(TRIM($I146),Lists!$T:$T,0)),TRIM($I146))))</f>
        <v>Customer</v>
      </c>
      <c r="AK146" s="865" t="str">
        <f>IF(ISNUMBER(SEARCH("vacant",$B146)),"Vacant","Filled")</f>
        <v>Filled</v>
      </c>
      <c r="AL146" s="865" t="str">
        <f>IF($M146="NZ","NZ","AU")</f>
        <v>NZ</v>
      </c>
      <c r="AM146" s="865">
        <f>COUNTIF($AJ$2:$AJ146,$AJ146)</f>
        <v>39</v>
      </c>
      <c r="AN146" s="865" t="str">
        <f>$AJ146&amp;"|"&amp;$AM146</f>
        <v>Customer|39</v>
      </c>
      <c r="AP146" s="865" t="str">
        <f>IF(TRIM($B146)="","",IF($AQ146=1,"Leadership",IFERROR(INDEX(Lists!$X:$X,MATCH(TRIM($K146),Lists!$W:$W,0)),IF(OR(TRIM($K146)="",LOWER(TRIM($K146))="na"),IF(TRIM($G146)="","Unassigned",TRIM($G146)),TRIM($K146)))))</f>
        <v>Z Loyalty &amp; Martech</v>
      </c>
      <c r="AQ146" s="865" t="b">
        <f>IF(TRIM($B146)="","",--OR(TRIM($K146)="Leadership",TRIM($J146)="Leadership"))</f>
        <v>0</v>
      </c>
      <c r="AR146" s="1136" t="str">
        <f>IF(TRIM($B146)="","",IF(IFERROR(INDEX(Lists!$AQ$2:$AQ$11,MATCH(ROW(),Lists!$AN$2:$AN$11,0)),"")&lt;&gt;"",IFERROR(INDEX(Lists!$AQ$2:$AQ$11,MATCH(ROW(),Lists!$AN$2:$AN$11,0)),""),IF(ISNUMBER(SEARCH("head of ",$C146)),"Head of Technology",IF(ISNUMBER(SEARCH("TDD BP",$C146)),"Business Partner",IF(OR(ISNUMBER(SEARCH("domain architect",$C146)),ISNUMBER(SEARCH("enterprise architect",$C146))),"Domain Architect",IF(ISNUMBER(SEARCH("delivery man",$C146)),"Delivery Manager",IF(OR(ISNUMBER(SEARCH("technology manager",$C146)),ISNUMBER(SEARCH("technology manger",$C146)),ISNUMBER(SEARCH("tech manager",$C146))),"Technology Manager","Squad")))))))</f>
        <v>Squad</v>
      </c>
      <c r="AS146" s="1136" t="str">
        <f>IF(TRIM($B146)="","",IFERROR(INDEX(Lists!$AA:$AA,MATCH($AP146,Lists!$Z:$Z,0)),$AP146))</f>
        <v>Z Loyalty &amp; Martech</v>
      </c>
      <c r="AT146" s="1136" t="str">
        <f>IF(TRIM($B146)="","",IF(IFERROR(INDEX(Lists!$AP$2:$AP$11,MATCH(ROW(),Lists!$AN$2:$AN$11,0)),"")&lt;&gt;"",IFERROR(INDEX(Lists!$AP$2:$AP$11,MATCH(ROW(),Lists!$AN$2:$AN$11,0)),""),IF(OR(LEFT($AJ146,3)="COE",$AJ146="EGI"),$AP146,IF($AR146&lt;&gt;"Squad",$AR146,$AP146))))</f>
        <v>Z Loyalty &amp; Martech</v>
      </c>
    </row>
    <row r="147" ht="18" customHeight="1" s="866">
      <c r="A147" s="1208" t="n">
        <v>99999100279</v>
      </c>
      <c r="B147" s="1209" t="inlineStr">
        <is>
          <t>Kris Hamilton</t>
        </is>
      </c>
      <c r="C147" s="1209" t="inlineStr">
        <is>
          <t>Technology Manager - Loyalty &amp; Martech</t>
        </is>
      </c>
      <c r="D147" s="1199" t="inlineStr">
        <is>
          <t>Andy Stewart</t>
        </is>
      </c>
      <c r="E147" s="1209" t="inlineStr">
        <is>
          <t>Head of Technology, Loyalty &amp; Martech</t>
        </is>
      </c>
      <c r="F147" s="1210" t="inlineStr">
        <is>
          <t>Customer</t>
        </is>
      </c>
      <c r="G147" s="1199" t="inlineStr">
        <is>
          <t>Loyalty &amp; Martech</t>
        </is>
      </c>
      <c r="H147" s="1199" t="inlineStr">
        <is>
          <t>Loyalty, Tech</t>
        </is>
      </c>
      <c r="I147" s="1199" t="inlineStr">
        <is>
          <t>Ampol Customer</t>
        </is>
      </c>
      <c r="J147" s="1209" t="inlineStr">
        <is>
          <t>Z Loyalty &amp; Martech</t>
        </is>
      </c>
      <c r="K147" s="1209" t="inlineStr">
        <is>
          <t>Leadership</t>
        </is>
      </c>
      <c r="L147" s="1199" t="n"/>
      <c r="M147" s="1211" t="inlineStr">
        <is>
          <t>NZ</t>
        </is>
      </c>
      <c r="N147" s="1199" t="inlineStr">
        <is>
          <t>CSB</t>
        </is>
      </c>
      <c r="O147" s="1199" t="n">
        <v>1</v>
      </c>
      <c r="P147" s="1199" t="n"/>
      <c r="Q147" s="1199" t="inlineStr">
        <is>
          <t>V</t>
        </is>
      </c>
      <c r="R147" s="1199" t="n"/>
      <c r="S147" s="1199" t="n"/>
      <c r="T147" s="1212" t="n">
        <v>151950</v>
      </c>
      <c r="U147" s="1213" t="n">
        <v>151950</v>
      </c>
      <c r="V147" s="1214" t="n">
        <v>0.12</v>
      </c>
      <c r="W147" s="1215" t="n">
        <v>0.055</v>
      </c>
      <c r="X147" s="1215" t="n">
        <v>0.12</v>
      </c>
      <c r="Y147" s="1215" t="n"/>
      <c r="Z147" s="1215" t="n">
        <v>0.04</v>
      </c>
      <c r="AA147" s="1216">
        <f>IF(TRIM($B147)="","",IF(N($AU147)&gt;0,$AU147,IF(N($S147)&gt;0,$S147*Lists!$AG$15*(1+N($Z147)),N($U147)*(1+N($V147)+N($W147)+N($X147)+N($Z147))+N($Y147))))</f>
        <v>202853.25</v>
      </c>
      <c r="AB147" s="1217" t="n"/>
      <c r="AC147" s="1217" t="n"/>
      <c r="AD147" s="1217" t="n"/>
      <c r="AE147" s="1217" t="n"/>
      <c r="AF147" s="1217" t="n"/>
      <c r="AG147" s="1217" t="n"/>
      <c r="AH147" s="1908" t="n"/>
      <c r="AJ147" s="865" t="str">
        <f>IF(TRIM($B147)="","",IF(IFERROR(INDEX(Lists!$AO$2:$AO$11,MATCH(ROW(),Lists!$AN$2:$AN$11,0)),"")&lt;&gt;"",IFERROR(INDEX(Lists!$AO$2:$AO$11,MATCH(ROW(),Lists!$AN$2:$AN$11,0)),""),IFERROR(INDEX(Lists!$U:$U,MATCH(TRIM($I147),Lists!$T:$T,0)),TRIM($I147))))</f>
        <v>Customer</v>
      </c>
      <c r="AK147" s="865" t="str">
        <f>IF(ISNUMBER(SEARCH("vacant",$B147)),"Vacant","Filled")</f>
        <v>Filled</v>
      </c>
      <c r="AL147" s="865" t="str">
        <f>IF($M147="NZ","NZ","AU")</f>
        <v>NZ</v>
      </c>
      <c r="AM147" s="865">
        <f>COUNTIF($AJ$2:$AJ147,$AJ147)</f>
        <v>40</v>
      </c>
      <c r="AN147" s="865" t="str">
        <f>$AJ147&amp;"|"&amp;$AM147</f>
        <v>Customer|40</v>
      </c>
      <c r="AP147" s="865" t="str">
        <f>IF(TRIM($B147)="","",IF($AQ147=1,"Leadership",IFERROR(INDEX(Lists!$X:$X,MATCH(TRIM($K147),Lists!$W:$W,0)),IF(OR(TRIM($K147)="",LOWER(TRIM($K147))="na"),IF(TRIM($G147)="","Unassigned",TRIM($G147)),TRIM($K147)))))</f>
        <v>Leadership</v>
      </c>
      <c r="AQ147" s="865" t="b">
        <f>IF(TRIM($B147)="","",--OR(TRIM($K147)="Leadership",TRIM($J147)="Leadership"))</f>
        <v>1</v>
      </c>
      <c r="AR147" s="1136" t="str">
        <f>IF(TRIM($B147)="","",IF(IFERROR(INDEX(Lists!$AQ$2:$AQ$11,MATCH(ROW(),Lists!$AN$2:$AN$11,0)),"")&lt;&gt;"",IFERROR(INDEX(Lists!$AQ$2:$AQ$11,MATCH(ROW(),Lists!$AN$2:$AN$11,0)),""),IF(ISNUMBER(SEARCH("head of ",$C147)),"Head of Technology",IF(ISNUMBER(SEARCH("TDD BP",$C147)),"Business Partner",IF(OR(ISNUMBER(SEARCH("domain architect",$C147)),ISNUMBER(SEARCH("enterprise architect",$C147))),"Domain Architect",IF(ISNUMBER(SEARCH("delivery man",$C147)),"Delivery Manager",IF(OR(ISNUMBER(SEARCH("technology manager",$C147)),ISNUMBER(SEARCH("technology manger",$C147)),ISNUMBER(SEARCH("tech manager",$C147))),"Technology Manager","Squad")))))))</f>
        <v>Technology Manager</v>
      </c>
      <c r="AS147" s="1136" t="str">
        <f>IF(TRIM($B147)="","",IFERROR(INDEX(Lists!$AA:$AA,MATCH($AP147,Lists!$Z:$Z,0)),$AP147))</f>
        <v>Leadership</v>
      </c>
      <c r="AT147" s="1136" t="str">
        <f>IF(TRIM($B147)="","",IF(IFERROR(INDEX(Lists!$AP$2:$AP$11,MATCH(ROW(),Lists!$AN$2:$AN$11,0)),"")&lt;&gt;"",IFERROR(INDEX(Lists!$AP$2:$AP$11,MATCH(ROW(),Lists!$AN$2:$AN$11,0)),""),IF(OR(LEFT($AJ147,3)="COE",$AJ147="EGI"),$AP147,IF($AR147&lt;&gt;"Squad",$AR147,$AP147))))</f>
        <v>Technology Manager</v>
      </c>
    </row>
    <row r="148" ht="18" customHeight="1" s="866">
      <c r="A148" s="1208" t="inlineStr">
        <is>
          <t>C</t>
        </is>
      </c>
      <c r="B148" s="1209" t="inlineStr">
        <is>
          <t>Lily Fong</t>
        </is>
      </c>
      <c r="C148" s="1209" t="inlineStr">
        <is>
          <t>Snr Business Analyst</t>
        </is>
      </c>
      <c r="D148" s="1209" t="inlineStr">
        <is>
          <t>Vacant</t>
        </is>
      </c>
      <c r="E148" s="1209" t="inlineStr">
        <is>
          <t>Delivery Manager, Digital</t>
        </is>
      </c>
      <c r="F148" s="1210" t="inlineStr">
        <is>
          <t>Customer</t>
        </is>
      </c>
      <c r="G148" s="1199" t="inlineStr">
        <is>
          <t>Digital</t>
        </is>
      </c>
      <c r="H148" s="1199" t="inlineStr">
        <is>
          <t>Digital, Delivery</t>
        </is>
      </c>
      <c r="I148" s="1199" t="inlineStr">
        <is>
          <t>Ampol Customer</t>
        </is>
      </c>
      <c r="J148" s="1209" t="inlineStr">
        <is>
          <t>Ampol Digital</t>
        </is>
      </c>
      <c r="K148" s="1209" t="inlineStr">
        <is>
          <t>Ampol Web</t>
        </is>
      </c>
      <c r="L148" s="1199" t="n"/>
      <c r="M148" s="1211" t="inlineStr">
        <is>
          <t>Australia</t>
        </is>
      </c>
      <c r="N148" s="1199" t="inlineStr">
        <is>
          <t>NA</t>
        </is>
      </c>
      <c r="O148" s="1199" t="n">
        <v>1</v>
      </c>
      <c r="P148" s="1199" t="n"/>
      <c r="Q148" s="1199" t="inlineStr">
        <is>
          <t>v</t>
        </is>
      </c>
      <c r="R148" s="1218" t="n"/>
      <c r="S148" s="1199" t="n"/>
      <c r="T148" s="1212" t="n">
        <v>129650</v>
      </c>
      <c r="U148" s="1212" t="n">
        <v>129650</v>
      </c>
      <c r="V148" s="1199" t="n">
        <v>0.1</v>
      </c>
      <c r="W148" s="1199" t="n">
        <v>0.055</v>
      </c>
      <c r="X148" s="1199" t="n">
        <v>0.12</v>
      </c>
      <c r="Y148" s="1199" t="n"/>
      <c r="Z148" s="1199" t="n">
        <v>0.04</v>
      </c>
      <c r="AA148" s="1219">
        <f>IF(TRIM($B148)="","",IF(N($AU148)&gt;0,$AU148,IF(N($S148)&gt;0,$S148*Lists!$AG$15*(1+N($Z148)),N($U148)*(1+N($V148)+N($W148)+N($X148)+N($Z148))+N($Y148))))</f>
        <v>170489.75</v>
      </c>
      <c r="AB148" s="1217" t="n"/>
      <c r="AC148" s="1217" t="n"/>
      <c r="AD148" s="1217" t="n"/>
      <c r="AE148" s="1217" t="n"/>
      <c r="AF148" s="1217" t="n"/>
      <c r="AG148" s="1217" t="n"/>
      <c r="AH148" s="1908" t="n"/>
      <c r="AJ148" s="865" t="str">
        <f>IF(TRIM($B148)="","",IF(IFERROR(INDEX(Lists!$AO$2:$AO$11,MATCH(ROW(),Lists!$AN$2:$AN$11,0)),"")&lt;&gt;"",IFERROR(INDEX(Lists!$AO$2:$AO$11,MATCH(ROW(),Lists!$AN$2:$AN$11,0)),""),IFERROR(INDEX(Lists!$U:$U,MATCH(TRIM($I148),Lists!$T:$T,0)),TRIM($I148))))</f>
        <v>Customer</v>
      </c>
      <c r="AK148" s="865" t="str">
        <f>IF(ISNUMBER(SEARCH("vacant",$B148)),"Vacant","Filled")</f>
        <v>Filled</v>
      </c>
      <c r="AL148" s="865" t="str">
        <f>IF($M148="NZ","NZ","AU")</f>
        <v>AU</v>
      </c>
      <c r="AM148" s="865">
        <f>COUNTIF($AJ$2:$AJ148,$AJ148)</f>
        <v>41</v>
      </c>
      <c r="AN148" s="865" t="str">
        <f>$AJ148&amp;"|"&amp;$AM148</f>
        <v>Customer|41</v>
      </c>
      <c r="AP148" s="865" t="str">
        <f>IF(TRIM($B148)="","",IF($AQ148=1,"Leadership",IFERROR(INDEX(Lists!$X:$X,MATCH(TRIM($K148),Lists!$W:$W,0)),IF(OR(TRIM($K148)="",LOWER(TRIM($K148))="na"),IF(TRIM($G148)="","Unassigned",TRIM($G148)),TRIM($K148)))))</f>
        <v>Ampol Web</v>
      </c>
      <c r="AQ148" s="865" t="b">
        <f>IF(TRIM($B148)="","",--OR(TRIM($K148)="Leadership",TRIM($J148)="Leadership"))</f>
        <v>0</v>
      </c>
      <c r="AR148" s="1136" t="str">
        <f>IF(TRIM($B148)="","",IF(IFERROR(INDEX(Lists!$AQ$2:$AQ$11,MATCH(ROW(),Lists!$AN$2:$AN$11,0)),"")&lt;&gt;"",IFERROR(INDEX(Lists!$AQ$2:$AQ$11,MATCH(ROW(),Lists!$AN$2:$AN$11,0)),""),IF(ISNUMBER(SEARCH("head of ",$C148)),"Head of Technology",IF(ISNUMBER(SEARCH("TDD BP",$C148)),"Business Partner",IF(OR(ISNUMBER(SEARCH("domain architect",$C148)),ISNUMBER(SEARCH("enterprise architect",$C148))),"Domain Architect",IF(ISNUMBER(SEARCH("delivery man",$C148)),"Delivery Manager",IF(OR(ISNUMBER(SEARCH("technology manager",$C148)),ISNUMBER(SEARCH("technology manger",$C148)),ISNUMBER(SEARCH("tech manager",$C148))),"Technology Manager","Squad")))))))</f>
        <v>Squad</v>
      </c>
      <c r="AS148" s="1136" t="str">
        <f>IF(TRIM($B148)="","",IFERROR(INDEX(Lists!$AA:$AA,MATCH($AP148,Lists!$Z:$Z,0)),$AP148))</f>
        <v>Ampol Web</v>
      </c>
      <c r="AT148" s="1136" t="str">
        <f>IF(TRIM($B148)="","",IF(IFERROR(INDEX(Lists!$AP$2:$AP$11,MATCH(ROW(),Lists!$AN$2:$AN$11,0)),"")&lt;&gt;"",IFERROR(INDEX(Lists!$AP$2:$AP$11,MATCH(ROW(),Lists!$AN$2:$AN$11,0)),""),IF(OR(LEFT($AJ148,3)="COE",$AJ148="EGI"),$AP148,IF($AR148&lt;&gt;"Squad",$AR148,$AP148))))</f>
        <v>Ampol Web</v>
      </c>
    </row>
    <row r="149" ht="18" customHeight="1" s="866">
      <c r="A149" s="1208" t="n">
        <v>116714</v>
      </c>
      <c r="B149" s="1209" t="inlineStr">
        <is>
          <t>Maria Salman</t>
        </is>
      </c>
      <c r="C149" s="1209" t="inlineStr">
        <is>
          <t>Experience Designer</t>
        </is>
      </c>
      <c r="D149" s="1209" t="inlineStr">
        <is>
          <t>Byron Thornhill</t>
        </is>
      </c>
      <c r="E149" s="1209" t="inlineStr">
        <is>
          <t>Design Manager</t>
        </is>
      </c>
      <c r="F149" s="1210" t="inlineStr">
        <is>
          <t>Customer</t>
        </is>
      </c>
      <c r="G149" s="1199" t="inlineStr">
        <is>
          <t>Digital</t>
        </is>
      </c>
      <c r="H149" s="1199" t="inlineStr">
        <is>
          <t>Digital, Design</t>
        </is>
      </c>
      <c r="I149" s="1199" t="inlineStr">
        <is>
          <t>Ampol Customer</t>
        </is>
      </c>
      <c r="J149" s="1209" t="inlineStr">
        <is>
          <t>Ampol Digital</t>
        </is>
      </c>
      <c r="K149" s="1209" t="inlineStr">
        <is>
          <t>Ampol App</t>
        </is>
      </c>
      <c r="L149" s="1199" t="n"/>
      <c r="M149" s="1211" t="inlineStr">
        <is>
          <t>Australia</t>
        </is>
      </c>
      <c r="N149" s="1199" t="inlineStr">
        <is>
          <t>CIC</t>
        </is>
      </c>
      <c r="O149" s="1199" t="n">
        <v>1</v>
      </c>
      <c r="P149" s="1199" t="n"/>
      <c r="Q149" s="1199" t="inlineStr">
        <is>
          <t>cxc</t>
        </is>
      </c>
      <c r="R149" s="1199" t="inlineStr">
        <is>
          <t>Daily</t>
        </is>
      </c>
      <c r="S149" s="1199" t="n">
        <v>1084.84</v>
      </c>
      <c r="T149" s="1212" t="n">
        <v>0</v>
      </c>
      <c r="U149" s="1213" t="n"/>
      <c r="V149" s="1214" t="n"/>
      <c r="W149" s="1215" t="n"/>
      <c r="X149" s="1215" t="n"/>
      <c r="Y149" s="1215" t="n"/>
      <c r="Z149" s="1215" t="n"/>
      <c r="AA149" s="1216">
        <f>IF(TRIM($B149)="","",IF(N($AU149)&gt;0,$AU149,IF(N($S149)&gt;0,$S149*Lists!$AG$15*(1+N($Z149)),N($U149)*(1+N($V149)+N($W149)+N($X149)+N($Z149))+N($Y149))))</f>
        <v>240834.48</v>
      </c>
      <c r="AB149" s="1217" t="n"/>
      <c r="AC149" s="1217" t="n"/>
      <c r="AD149" s="1217" t="n"/>
      <c r="AE149" s="1217" t="n"/>
      <c r="AF149" s="1217" t="n"/>
      <c r="AG149" s="1217" t="n"/>
      <c r="AH149" s="1908" t="n"/>
      <c r="AJ149" s="865" t="str">
        <f>IF(TRIM($B149)="","",IF(IFERROR(INDEX(Lists!$AO$2:$AO$11,MATCH(ROW(),Lists!$AN$2:$AN$11,0)),"")&lt;&gt;"",IFERROR(INDEX(Lists!$AO$2:$AO$11,MATCH(ROW(),Lists!$AN$2:$AN$11,0)),""),IFERROR(INDEX(Lists!$U:$U,MATCH(TRIM($I149),Lists!$T:$T,0)),TRIM($I149))))</f>
        <v>Customer</v>
      </c>
      <c r="AK149" s="865" t="str">
        <f>IF(ISNUMBER(SEARCH("vacant",$B149)),"Vacant","Filled")</f>
        <v>Filled</v>
      </c>
      <c r="AL149" s="865" t="str">
        <f>IF($M149="NZ","NZ","AU")</f>
        <v>AU</v>
      </c>
      <c r="AM149" s="865">
        <f>COUNTIF($AJ$2:$AJ149,$AJ149)</f>
        <v>42</v>
      </c>
      <c r="AN149" s="865" t="str">
        <f>$AJ149&amp;"|"&amp;$AM149</f>
        <v>Customer|42</v>
      </c>
      <c r="AP149" s="865" t="str">
        <f>IF(TRIM($B149)="","",IF($AQ149=1,"Leadership",IFERROR(INDEX(Lists!$X:$X,MATCH(TRIM($K149),Lists!$W:$W,0)),IF(OR(TRIM($K149)="",LOWER(TRIM($K149))="na"),IF(TRIM($G149)="","Unassigned",TRIM($G149)),TRIM($K149)))))</f>
        <v>Ampol App</v>
      </c>
      <c r="AQ149" s="865" t="b">
        <f>IF(TRIM($B149)="","",--OR(TRIM($K149)="Leadership",TRIM($J149)="Leadership"))</f>
        <v>0</v>
      </c>
      <c r="AR149" s="1136" t="str">
        <f>IF(TRIM($B149)="","",IF(IFERROR(INDEX(Lists!$AQ$2:$AQ$11,MATCH(ROW(),Lists!$AN$2:$AN$11,0)),"")&lt;&gt;"",IFERROR(INDEX(Lists!$AQ$2:$AQ$11,MATCH(ROW(),Lists!$AN$2:$AN$11,0)),""),IF(ISNUMBER(SEARCH("head of ",$C149)),"Head of Technology",IF(ISNUMBER(SEARCH("TDD BP",$C149)),"Business Partner",IF(OR(ISNUMBER(SEARCH("domain architect",$C149)),ISNUMBER(SEARCH("enterprise architect",$C149))),"Domain Architect",IF(ISNUMBER(SEARCH("delivery man",$C149)),"Delivery Manager",IF(OR(ISNUMBER(SEARCH("technology manager",$C149)),ISNUMBER(SEARCH("technology manger",$C149)),ISNUMBER(SEARCH("tech manager",$C149))),"Technology Manager","Squad")))))))</f>
        <v>Squad</v>
      </c>
      <c r="AS149" s="1136" t="str">
        <f>IF(TRIM($B149)="","",IFERROR(INDEX(Lists!$AA:$AA,MATCH($AP149,Lists!$Z:$Z,0)),$AP149))</f>
        <v>Ampol App</v>
      </c>
      <c r="AT149" s="1136" t="str">
        <f>IF(TRIM($B149)="","",IF(IFERROR(INDEX(Lists!$AP$2:$AP$11,MATCH(ROW(),Lists!$AN$2:$AN$11,0)),"")&lt;&gt;"",IFERROR(INDEX(Lists!$AP$2:$AP$11,MATCH(ROW(),Lists!$AN$2:$AN$11,0)),""),IF(OR(LEFT($AJ149,3)="COE",$AJ149="EGI"),$AP149,IF($AR149&lt;&gt;"Squad",$AR149,$AP149))))</f>
        <v>Ampol App</v>
      </c>
    </row>
    <row r="150" ht="18" customHeight="1" s="866">
      <c r="A150" s="1208" t="n">
        <v>4781</v>
      </c>
      <c r="B150" s="1199" t="inlineStr">
        <is>
          <t>Mark Wilson</t>
        </is>
      </c>
      <c r="C150" s="1199" t="inlineStr">
        <is>
          <t>Digital Support Manager (AU)</t>
        </is>
      </c>
      <c r="D150" s="1199" t="inlineStr">
        <is>
          <t>Shona Paul</t>
        </is>
      </c>
      <c r="E150" s="1199" t="inlineStr">
        <is>
          <t>Head of Technology, Digital</t>
        </is>
      </c>
      <c r="F150" s="1210" t="inlineStr">
        <is>
          <t>Customer</t>
        </is>
      </c>
      <c r="G150" s="1199" t="inlineStr">
        <is>
          <t>Digital</t>
        </is>
      </c>
      <c r="H150" s="1209" t="inlineStr">
        <is>
          <t>Digital Support (AU)</t>
        </is>
      </c>
      <c r="I150" s="1199" t="inlineStr">
        <is>
          <t>Ampol Customer</t>
        </is>
      </c>
      <c r="J150" s="1199" t="inlineStr">
        <is>
          <t>Ampol Digital</t>
        </is>
      </c>
      <c r="K150" s="1199" t="inlineStr">
        <is>
          <t>Digital Operations</t>
        </is>
      </c>
      <c r="L150" s="1199" t="n"/>
      <c r="M150" s="1211" t="inlineStr">
        <is>
          <t>Australia</t>
        </is>
      </c>
      <c r="N150" s="1199" t="inlineStr">
        <is>
          <t>CIC</t>
        </is>
      </c>
      <c r="O150" s="1209" t="n">
        <v>1</v>
      </c>
      <c r="P150" s="1199" t="n"/>
      <c r="Q150" s="1199" t="inlineStr">
        <is>
          <t>Permanent - Full Time</t>
        </is>
      </c>
      <c r="R150" s="1199" t="n"/>
      <c r="S150" s="1199" t="n"/>
      <c r="T150" s="1212" t="n">
        <v>163990</v>
      </c>
      <c r="U150" s="1213" t="n">
        <v>163990</v>
      </c>
      <c r="V150" s="1214" t="n">
        <v>0.12</v>
      </c>
      <c r="W150" s="1215" t="n">
        <v>0.055</v>
      </c>
      <c r="X150" s="1215" t="n">
        <v>0.12</v>
      </c>
      <c r="Y150" s="1215" t="n"/>
      <c r="Z150" s="1215" t="n">
        <v>0.04</v>
      </c>
      <c r="AA150" s="1216">
        <f>IF(TRIM($B150)="","",IF(N($AU150)&gt;0,$AU150,IF(N($S150)&gt;0,$S150*Lists!$AG$15*(1+N($Z150)),N($U150)*(1+N($V150)+N($W150)+N($X150)+N($Z150))+N($Y150))))</f>
        <v>218926.65</v>
      </c>
      <c r="AB150" s="1217" t="n"/>
      <c r="AC150" s="1217" t="n"/>
      <c r="AD150" s="1217" t="n"/>
      <c r="AE150" s="1217" t="n"/>
      <c r="AF150" s="1217" t="n"/>
      <c r="AG150" s="1217" t="n"/>
      <c r="AH150" s="1908" t="n"/>
      <c r="AJ150" s="865" t="str">
        <f>IF(TRIM($B150)="","",IF(IFERROR(INDEX(Lists!$AO$2:$AO$11,MATCH(ROW(),Lists!$AN$2:$AN$11,0)),"")&lt;&gt;"",IFERROR(INDEX(Lists!$AO$2:$AO$11,MATCH(ROW(),Lists!$AN$2:$AN$11,0)),""),IFERROR(INDEX(Lists!$U:$U,MATCH(TRIM($I150),Lists!$T:$T,0)),TRIM($I150))))</f>
        <v>Customer</v>
      </c>
      <c r="AK150" s="865" t="str">
        <f>IF(ISNUMBER(SEARCH("vacant",$B150)),"Vacant","Filled")</f>
        <v>Filled</v>
      </c>
      <c r="AL150" s="865" t="str">
        <f>IF($M150="NZ","NZ","AU")</f>
        <v>AU</v>
      </c>
      <c r="AM150" s="865">
        <f>COUNTIF($AJ$2:$AJ150,$AJ150)</f>
        <v>43</v>
      </c>
      <c r="AN150" s="865" t="str">
        <f>$AJ150&amp;"|"&amp;$AM150</f>
        <v>Customer|43</v>
      </c>
      <c r="AP150" s="865" t="str">
        <f>IF(TRIM($B150)="","",IF($AQ150=1,"Leadership",IFERROR(INDEX(Lists!$X:$X,MATCH(TRIM($K150),Lists!$W:$W,0)),IF(OR(TRIM($K150)="",LOWER(TRIM($K150))="na"),IF(TRIM($G150)="","Unassigned",TRIM($G150)),TRIM($K150)))))</f>
        <v>Digital Operations</v>
      </c>
      <c r="AQ150" s="865" t="b">
        <f>IF(TRIM($B150)="","",--OR(TRIM($K150)="Leadership",TRIM($J150)="Leadership"))</f>
        <v>0</v>
      </c>
      <c r="AR150" s="1136" t="str">
        <f>IF(TRIM($B150)="","",IF(IFERROR(INDEX(Lists!$AQ$2:$AQ$11,MATCH(ROW(),Lists!$AN$2:$AN$11,0)),"")&lt;&gt;"",IFERROR(INDEX(Lists!$AQ$2:$AQ$11,MATCH(ROW(),Lists!$AN$2:$AN$11,0)),""),IF(ISNUMBER(SEARCH("head of ",$C150)),"Head of Technology",IF(ISNUMBER(SEARCH("TDD BP",$C150)),"Business Partner",IF(OR(ISNUMBER(SEARCH("domain architect",$C150)),ISNUMBER(SEARCH("enterprise architect",$C150))),"Domain Architect",IF(ISNUMBER(SEARCH("delivery man",$C150)),"Delivery Manager",IF(OR(ISNUMBER(SEARCH("technology manager",$C150)),ISNUMBER(SEARCH("technology manger",$C150)),ISNUMBER(SEARCH("tech manager",$C150))),"Technology Manager","Squad")))))))</f>
        <v>Squad</v>
      </c>
      <c r="AS150" s="1136" t="str">
        <f>IF(TRIM($B150)="","",IFERROR(INDEX(Lists!$AA:$AA,MATCH($AP150,Lists!$Z:$Z,0)),$AP150))</f>
        <v>Digital Operations</v>
      </c>
      <c r="AT150" s="1136" t="str">
        <f>IF(TRIM($B150)="","",IF(IFERROR(INDEX(Lists!$AP$2:$AP$11,MATCH(ROW(),Lists!$AN$2:$AN$11,0)),"")&lt;&gt;"",IFERROR(INDEX(Lists!$AP$2:$AP$11,MATCH(ROW(),Lists!$AN$2:$AN$11,0)),""),IF(OR(LEFT($AJ150,3)="COE",$AJ150="EGI"),$AP150,IF($AR150&lt;&gt;"Squad",$AR150,$AP150))))</f>
        <v>Digital Operations</v>
      </c>
    </row>
    <row r="151" ht="18" customHeight="1" s="866">
      <c r="A151" s="1208" t="n">
        <v>99999101312</v>
      </c>
      <c r="B151" s="1209" t="inlineStr">
        <is>
          <t>Megan Rodgers</t>
        </is>
      </c>
      <c r="C151" s="1209" t="inlineStr">
        <is>
          <t>Business Analyst</t>
        </is>
      </c>
      <c r="D151" s="1209" t="inlineStr">
        <is>
          <t>Vacant</t>
        </is>
      </c>
      <c r="E151" s="1209" t="inlineStr">
        <is>
          <t>Delivery Manager, Loyalty</t>
        </is>
      </c>
      <c r="F151" s="1210" t="inlineStr">
        <is>
          <t>Customer</t>
        </is>
      </c>
      <c r="G151" s="1199" t="inlineStr">
        <is>
          <t>Loyalty &amp; Martech</t>
        </is>
      </c>
      <c r="H151" s="1199" t="inlineStr">
        <is>
          <t xml:space="preserve">Loyalty, Delivery </t>
        </is>
      </c>
      <c r="I151" s="1199" t="inlineStr">
        <is>
          <t>Ampol Customer</t>
        </is>
      </c>
      <c r="J151" s="1209" t="inlineStr">
        <is>
          <t>Z Loyalty &amp; Martech</t>
        </is>
      </c>
      <c r="K151" s="1209" t="inlineStr">
        <is>
          <t>Z Loyalty &amp; Martech</t>
        </is>
      </c>
      <c r="L151" s="1199" t="n"/>
      <c r="M151" s="1211" t="inlineStr">
        <is>
          <t>NZ</t>
        </is>
      </c>
      <c r="N151" s="1199" t="inlineStr">
        <is>
          <t>CIA</t>
        </is>
      </c>
      <c r="O151" s="1199" t="n">
        <v>0.8</v>
      </c>
      <c r="P151" s="1199" t="n"/>
      <c r="Q151" s="1199" t="inlineStr">
        <is>
          <t>Permanent - Full Time</t>
        </is>
      </c>
      <c r="R151" s="1199" t="n"/>
      <c r="S151" s="1199" t="n"/>
      <c r="T151" s="1212" t="n">
        <v>120000</v>
      </c>
      <c r="U151" s="1213" t="n">
        <v>110400</v>
      </c>
      <c r="V151" s="1214" t="n">
        <v>0.15</v>
      </c>
      <c r="W151" s="1215" t="n"/>
      <c r="X151" s="1215" t="n">
        <v>0.05</v>
      </c>
      <c r="Y151" s="1215" t="n">
        <v>2910</v>
      </c>
      <c r="Z151" s="1215" t="n">
        <v>0.03</v>
      </c>
      <c r="AA151" s="1216">
        <f>IF(TRIM($B151)="","",IF(N($AU151)&gt;0,$AU151,IF(N($S151)&gt;0,$S151*Lists!$AG$15*(1+N($Z151)),N($U151)*(1+N($V151)+N($W151)+N($X151)+N($Z151))+N($Y151))))</f>
        <v>138702</v>
      </c>
      <c r="AB151" s="1217" t="n"/>
      <c r="AC151" s="1217" t="n"/>
      <c r="AD151" s="1217" t="n"/>
      <c r="AE151" s="1217" t="n"/>
      <c r="AF151" s="1217" t="n"/>
      <c r="AG151" s="1217" t="n"/>
      <c r="AH151" s="1908" t="n"/>
      <c r="AJ151" s="865" t="str">
        <f>IF(TRIM($B151)="","",IF(IFERROR(INDEX(Lists!$AO$2:$AO$11,MATCH(ROW(),Lists!$AN$2:$AN$11,0)),"")&lt;&gt;"",IFERROR(INDEX(Lists!$AO$2:$AO$11,MATCH(ROW(),Lists!$AN$2:$AN$11,0)),""),IFERROR(INDEX(Lists!$U:$U,MATCH(TRIM($I151),Lists!$T:$T,0)),TRIM($I151))))</f>
        <v>Customer</v>
      </c>
      <c r="AK151" s="865" t="str">
        <f>IF(ISNUMBER(SEARCH("vacant",$B151)),"Vacant","Filled")</f>
        <v>Filled</v>
      </c>
      <c r="AL151" s="865" t="str">
        <f>IF($M151="NZ","NZ","AU")</f>
        <v>NZ</v>
      </c>
      <c r="AM151" s="865">
        <f>COUNTIF($AJ$2:$AJ151,$AJ151)</f>
        <v>44</v>
      </c>
      <c r="AN151" s="865" t="str">
        <f>$AJ151&amp;"|"&amp;$AM151</f>
        <v>Customer|44</v>
      </c>
      <c r="AP151" s="865" t="str">
        <f>IF(TRIM($B151)="","",IF($AQ151=1,"Leadership",IFERROR(INDEX(Lists!$X:$X,MATCH(TRIM($K151),Lists!$W:$W,0)),IF(OR(TRIM($K151)="",LOWER(TRIM($K151))="na"),IF(TRIM($G151)="","Unassigned",TRIM($G151)),TRIM($K151)))))</f>
        <v>Z Loyalty &amp; Martech</v>
      </c>
      <c r="AQ151" s="865" t="b">
        <f>IF(TRIM($B151)="","",--OR(TRIM($K151)="Leadership",TRIM($J151)="Leadership"))</f>
        <v>0</v>
      </c>
      <c r="AR151" s="1136" t="str">
        <f>IF(TRIM($B151)="","",IF(IFERROR(INDEX(Lists!$AQ$2:$AQ$11,MATCH(ROW(),Lists!$AN$2:$AN$11,0)),"")&lt;&gt;"",IFERROR(INDEX(Lists!$AQ$2:$AQ$11,MATCH(ROW(),Lists!$AN$2:$AN$11,0)),""),IF(ISNUMBER(SEARCH("head of ",$C151)),"Head of Technology",IF(ISNUMBER(SEARCH("TDD BP",$C151)),"Business Partner",IF(OR(ISNUMBER(SEARCH("domain architect",$C151)),ISNUMBER(SEARCH("enterprise architect",$C151))),"Domain Architect",IF(ISNUMBER(SEARCH("delivery man",$C151)),"Delivery Manager",IF(OR(ISNUMBER(SEARCH("technology manager",$C151)),ISNUMBER(SEARCH("technology manger",$C151)),ISNUMBER(SEARCH("tech manager",$C151))),"Technology Manager","Squad")))))))</f>
        <v>Squad</v>
      </c>
      <c r="AS151" s="1136" t="str">
        <f>IF(TRIM($B151)="","",IFERROR(INDEX(Lists!$AA:$AA,MATCH($AP151,Lists!$Z:$Z,0)),$AP151))</f>
        <v>Z Loyalty &amp; Martech</v>
      </c>
      <c r="AT151" s="1136" t="str">
        <f>IF(TRIM($B151)="","",IF(IFERROR(INDEX(Lists!$AP$2:$AP$11,MATCH(ROW(),Lists!$AN$2:$AN$11,0)),"")&lt;&gt;"",IFERROR(INDEX(Lists!$AP$2:$AP$11,MATCH(ROW(),Lists!$AN$2:$AN$11,0)),""),IF(OR(LEFT($AJ151,3)="COE",$AJ151="EGI"),$AP151,IF($AR151&lt;&gt;"Squad",$AR151,$AP151))))</f>
        <v>Z Loyalty &amp; Martech</v>
      </c>
    </row>
    <row r="152" ht="18" customHeight="1" s="866">
      <c r="A152" s="1208" t="n">
        <v>97200</v>
      </c>
      <c r="B152" s="1199" t="inlineStr">
        <is>
          <t>Mitesh Shah</t>
        </is>
      </c>
      <c r="C152" s="1199" t="inlineStr">
        <is>
          <t>Technology Manager - Digital</t>
        </is>
      </c>
      <c r="D152" s="1199" t="inlineStr">
        <is>
          <t>Shona Paul</t>
        </is>
      </c>
      <c r="E152" s="1199" t="inlineStr">
        <is>
          <t>Head of Technology, Digital</t>
        </is>
      </c>
      <c r="F152" s="1210" t="inlineStr">
        <is>
          <t>Customer</t>
        </is>
      </c>
      <c r="G152" s="1199" t="inlineStr">
        <is>
          <t>Digital</t>
        </is>
      </c>
      <c r="H152" s="1199" t="inlineStr">
        <is>
          <t>Tech, Digital</t>
        </is>
      </c>
      <c r="I152" s="1199" t="inlineStr">
        <is>
          <t>Ampol Customer</t>
        </is>
      </c>
      <c r="J152" s="1199" t="inlineStr">
        <is>
          <t>Ampol Digital</t>
        </is>
      </c>
      <c r="K152" s="1199" t="inlineStr">
        <is>
          <t>Leadership</t>
        </is>
      </c>
      <c r="L152" s="1199" t="n"/>
      <c r="M152" s="1211" t="inlineStr">
        <is>
          <t>Australia</t>
        </is>
      </c>
      <c r="N152" s="1199" t="inlineStr">
        <is>
          <t>CSB</t>
        </is>
      </c>
      <c r="O152" s="1209" t="n">
        <v>1</v>
      </c>
      <c r="P152" s="1199" t="n"/>
      <c r="Q152" s="1199" t="inlineStr">
        <is>
          <t>Permanent - Full Time</t>
        </is>
      </c>
      <c r="R152" s="1218" t="n"/>
      <c r="S152" s="1199" t="n"/>
      <c r="T152" s="1212" t="n">
        <v>167750</v>
      </c>
      <c r="U152" s="1212" t="n">
        <v>167750</v>
      </c>
      <c r="V152" s="1199" t="n">
        <v>0.12</v>
      </c>
      <c r="W152" s="1199" t="n">
        <v>0.055</v>
      </c>
      <c r="X152" s="1199" t="n">
        <v>0.12</v>
      </c>
      <c r="Y152" s="1199" t="n"/>
      <c r="Z152" s="1199" t="n">
        <v>0.04</v>
      </c>
      <c r="AA152" s="1219">
        <f>IF(TRIM($B152)="","",IF(N($AU152)&gt;0,$AU152,IF(N($S152)&gt;0,$S152*Lists!$AG$15*(1+N($Z152)),N($U152)*(1+N($V152)+N($W152)+N($X152)+N($Z152))+N($Y152))))</f>
        <v>223946.25</v>
      </c>
      <c r="AB152" s="1217" t="n"/>
      <c r="AC152" s="1217" t="n"/>
      <c r="AD152" s="1217" t="n"/>
      <c r="AE152" s="1217" t="n"/>
      <c r="AF152" s="1217" t="n"/>
      <c r="AG152" s="1217" t="n"/>
      <c r="AH152" s="1908" t="n"/>
      <c r="AJ152" s="865" t="str">
        <f>IF(TRIM($B152)="","",IF(IFERROR(INDEX(Lists!$AO$2:$AO$11,MATCH(ROW(),Lists!$AN$2:$AN$11,0)),"")&lt;&gt;"",IFERROR(INDEX(Lists!$AO$2:$AO$11,MATCH(ROW(),Lists!$AN$2:$AN$11,0)),""),IFERROR(INDEX(Lists!$U:$U,MATCH(TRIM($I152),Lists!$T:$T,0)),TRIM($I152))))</f>
        <v>Customer</v>
      </c>
      <c r="AK152" s="865" t="str">
        <f>IF(ISNUMBER(SEARCH("vacant",$B152)),"Vacant","Filled")</f>
        <v>Filled</v>
      </c>
      <c r="AL152" s="865" t="str">
        <f>IF($M152="NZ","NZ","AU")</f>
        <v>AU</v>
      </c>
      <c r="AM152" s="865">
        <f>COUNTIF($AJ$2:$AJ152,$AJ152)</f>
        <v>45</v>
      </c>
      <c r="AN152" s="865" t="str">
        <f>$AJ152&amp;"|"&amp;$AM152</f>
        <v>Customer|45</v>
      </c>
      <c r="AP152" s="865" t="str">
        <f>IF(TRIM($B152)="","",IF($AQ152=1,"Leadership",IFERROR(INDEX(Lists!$X:$X,MATCH(TRIM($K152),Lists!$W:$W,0)),IF(OR(TRIM($K152)="",LOWER(TRIM($K152))="na"),IF(TRIM($G152)="","Unassigned",TRIM($G152)),TRIM($K152)))))</f>
        <v>Leadership</v>
      </c>
      <c r="AQ152" s="865" t="b">
        <f>IF(TRIM($B152)="","",--OR(TRIM($K152)="Leadership",TRIM($J152)="Leadership"))</f>
        <v>1</v>
      </c>
      <c r="AR152" s="1136" t="str">
        <f>IF(TRIM($B152)="","",IF(IFERROR(INDEX(Lists!$AQ$2:$AQ$11,MATCH(ROW(),Lists!$AN$2:$AN$11,0)),"")&lt;&gt;"",IFERROR(INDEX(Lists!$AQ$2:$AQ$11,MATCH(ROW(),Lists!$AN$2:$AN$11,0)),""),IF(ISNUMBER(SEARCH("head of ",$C152)),"Head of Technology",IF(ISNUMBER(SEARCH("TDD BP",$C152)),"Business Partner",IF(OR(ISNUMBER(SEARCH("domain architect",$C152)),ISNUMBER(SEARCH("enterprise architect",$C152))),"Domain Architect",IF(ISNUMBER(SEARCH("delivery man",$C152)),"Delivery Manager",IF(OR(ISNUMBER(SEARCH("technology manager",$C152)),ISNUMBER(SEARCH("technology manger",$C152)),ISNUMBER(SEARCH("tech manager",$C152))),"Technology Manager","Squad")))))))</f>
        <v>Technology Manager</v>
      </c>
      <c r="AS152" s="1136" t="str">
        <f>IF(TRIM($B152)="","",IFERROR(INDEX(Lists!$AA:$AA,MATCH($AP152,Lists!$Z:$Z,0)),$AP152))</f>
        <v>Leadership</v>
      </c>
      <c r="AT152" s="1136" t="str">
        <f>IF(TRIM($B152)="","",IF(IFERROR(INDEX(Lists!$AP$2:$AP$11,MATCH(ROW(),Lists!$AN$2:$AN$11,0)),"")&lt;&gt;"",IFERROR(INDEX(Lists!$AP$2:$AP$11,MATCH(ROW(),Lists!$AN$2:$AN$11,0)),""),IF(OR(LEFT($AJ152,3)="COE",$AJ152="EGI"),$AP152,IF($AR152&lt;&gt;"Squad",$AR152,$AP152))))</f>
        <v>Technology Manager</v>
      </c>
    </row>
    <row r="153" ht="18" customHeight="1" s="866">
      <c r="A153" s="1208" t="n">
        <v>99999100847</v>
      </c>
      <c r="B153" s="1209" t="inlineStr">
        <is>
          <t>Nimi Rose</t>
        </is>
      </c>
      <c r="C153" s="1209" t="inlineStr">
        <is>
          <t>Marketing Technology Lead</t>
        </is>
      </c>
      <c r="D153" s="1199" t="inlineStr">
        <is>
          <t>Kris Hamilton</t>
        </is>
      </c>
      <c r="E153" s="1209" t="inlineStr">
        <is>
          <t>Technology Manager, Loyalty &amp; Martech</t>
        </is>
      </c>
      <c r="F153" s="1210" t="inlineStr">
        <is>
          <t>Customer</t>
        </is>
      </c>
      <c r="G153" s="1199" t="inlineStr">
        <is>
          <t>Loyalty &amp; Martech</t>
        </is>
      </c>
      <c r="H153" s="1199" t="inlineStr">
        <is>
          <t>Loyalty, Tech</t>
        </is>
      </c>
      <c r="I153" s="1199" t="inlineStr">
        <is>
          <t>Ampol Customer</t>
        </is>
      </c>
      <c r="J153" s="1209" t="inlineStr">
        <is>
          <t>Z Loyalty &amp; Martech</t>
        </is>
      </c>
      <c r="K153" s="1209" t="inlineStr">
        <is>
          <t>Z Loyalty &amp; Martech</t>
        </is>
      </c>
      <c r="L153" s="1199" t="n"/>
      <c r="M153" s="1211" t="inlineStr">
        <is>
          <t>NZ</t>
        </is>
      </c>
      <c r="N153" s="1199" t="inlineStr">
        <is>
          <t>CIC</t>
        </is>
      </c>
      <c r="O153" s="1199" t="n">
        <v>1</v>
      </c>
      <c r="P153" s="1199" t="n"/>
      <c r="Q153" s="1199" t="inlineStr">
        <is>
          <t>Permanent - Full Time</t>
        </is>
      </c>
      <c r="R153" s="1199" t="n"/>
      <c r="S153" s="1199" t="n"/>
      <c r="T153" s="1212" t="n">
        <v>148310</v>
      </c>
      <c r="U153" s="1213" t="n">
        <v>148310</v>
      </c>
      <c r="V153" s="1214" t="n">
        <v>0.12</v>
      </c>
      <c r="W153" s="1215" t="n">
        <v>0.055</v>
      </c>
      <c r="X153" s="1215" t="n">
        <v>0.12</v>
      </c>
      <c r="Y153" s="1215" t="n"/>
      <c r="Z153" s="1215" t="n">
        <v>0.04</v>
      </c>
      <c r="AA153" s="1216">
        <f>IF(TRIM($B153)="","",IF(N($AU153)&gt;0,$AU153,IF(N($S153)&gt;0,$S153*Lists!$AG$15*(1+N($Z153)),N($U153)*(1+N($V153)+N($W153)+N($X153)+N($Z153))+N($Y153))))</f>
        <v>197993.85</v>
      </c>
      <c r="AB153" s="1217" t="n">
        <v>115809</v>
      </c>
      <c r="AC153" s="1217" t="n"/>
      <c r="AD153" s="1217" t="n"/>
      <c r="AE153" s="1217" t="n"/>
      <c r="AF153" s="1217" t="n"/>
      <c r="AG153" s="1217" t="n"/>
      <c r="AH153" s="1908" t="n"/>
      <c r="AJ153" s="865" t="str">
        <f>IF(TRIM($B153)="","",IF(IFERROR(INDEX(Lists!$AO$2:$AO$11,MATCH(ROW(),Lists!$AN$2:$AN$11,0)),"")&lt;&gt;"",IFERROR(INDEX(Lists!$AO$2:$AO$11,MATCH(ROW(),Lists!$AN$2:$AN$11,0)),""),IFERROR(INDEX(Lists!$U:$U,MATCH(TRIM($I153),Lists!$T:$T,0)),TRIM($I153))))</f>
        <v>Customer</v>
      </c>
      <c r="AK153" s="865" t="str">
        <f>IF(ISNUMBER(SEARCH("vacant",$B153)),"Vacant","Filled")</f>
        <v>Filled</v>
      </c>
      <c r="AL153" s="865" t="str">
        <f>IF($M153="NZ","NZ","AU")</f>
        <v>NZ</v>
      </c>
      <c r="AM153" s="865">
        <f>COUNTIF($AJ$2:$AJ153,$AJ153)</f>
        <v>46</v>
      </c>
      <c r="AN153" s="865" t="str">
        <f>$AJ153&amp;"|"&amp;$AM153</f>
        <v>Customer|46</v>
      </c>
      <c r="AP153" s="865" t="str">
        <f>IF(TRIM($B153)="","",IF($AQ153=1,"Leadership",IFERROR(INDEX(Lists!$X:$X,MATCH(TRIM($K153),Lists!$W:$W,0)),IF(OR(TRIM($K153)="",LOWER(TRIM($K153))="na"),IF(TRIM($G153)="","Unassigned",TRIM($G153)),TRIM($K153)))))</f>
        <v>Z Loyalty &amp; Martech</v>
      </c>
      <c r="AQ153" s="865" t="b">
        <f>IF(TRIM($B153)="","",--OR(TRIM($K153)="Leadership",TRIM($J153)="Leadership"))</f>
        <v>0</v>
      </c>
      <c r="AR153" s="1136" t="str">
        <f>IF(TRIM($B153)="","",IF(IFERROR(INDEX(Lists!$AQ$2:$AQ$11,MATCH(ROW(),Lists!$AN$2:$AN$11,0)),"")&lt;&gt;"",IFERROR(INDEX(Lists!$AQ$2:$AQ$11,MATCH(ROW(),Lists!$AN$2:$AN$11,0)),""),IF(ISNUMBER(SEARCH("head of ",$C153)),"Head of Technology",IF(ISNUMBER(SEARCH("TDD BP",$C153)),"Business Partner",IF(OR(ISNUMBER(SEARCH("domain architect",$C153)),ISNUMBER(SEARCH("enterprise architect",$C153))),"Domain Architect",IF(ISNUMBER(SEARCH("delivery man",$C153)),"Delivery Manager",IF(OR(ISNUMBER(SEARCH("technology manager",$C153)),ISNUMBER(SEARCH("technology manger",$C153)),ISNUMBER(SEARCH("tech manager",$C153))),"Technology Manager","Squad")))))))</f>
        <v>Squad</v>
      </c>
      <c r="AS153" s="1136" t="str">
        <f>IF(TRIM($B153)="","",IFERROR(INDEX(Lists!$AA:$AA,MATCH($AP153,Lists!$Z:$Z,0)),$AP153))</f>
        <v>Z Loyalty &amp; Martech</v>
      </c>
      <c r="AT153" s="1136" t="str">
        <f>IF(TRIM($B153)="","",IF(IFERROR(INDEX(Lists!$AP$2:$AP$11,MATCH(ROW(),Lists!$AN$2:$AN$11,0)),"")&lt;&gt;"",IFERROR(INDEX(Lists!$AP$2:$AP$11,MATCH(ROW(),Lists!$AN$2:$AN$11,0)),""),IF(OR(LEFT($AJ153,3)="COE",$AJ153="EGI"),$AP153,IF($AR153&lt;&gt;"Squad",$AR153,$AP153))))</f>
        <v>Z Loyalty &amp; Martech</v>
      </c>
    </row>
    <row r="154" ht="18" customHeight="1" s="866">
      <c r="A154" s="1208" t="n">
        <v>94663</v>
      </c>
      <c r="B154" s="1209" t="inlineStr">
        <is>
          <t>Penny Pennisi</t>
        </is>
      </c>
      <c r="C154" s="1209" t="inlineStr">
        <is>
          <t>Delivery Lead</t>
        </is>
      </c>
      <c r="D154" s="1199" t="inlineStr">
        <is>
          <t>Vacant</t>
        </is>
      </c>
      <c r="E154" s="1209" t="inlineStr">
        <is>
          <t>Delivery Manager, Digital</t>
        </is>
      </c>
      <c r="F154" s="1210" t="inlineStr">
        <is>
          <t>Customer</t>
        </is>
      </c>
      <c r="G154" s="1199" t="inlineStr">
        <is>
          <t>Digital</t>
        </is>
      </c>
      <c r="H154" s="1199" t="inlineStr">
        <is>
          <t>Digital, Delivery</t>
        </is>
      </c>
      <c r="I154" s="1199" t="inlineStr">
        <is>
          <t>Ampol Customer</t>
        </is>
      </c>
      <c r="J154" s="1209" t="inlineStr">
        <is>
          <t>Ampol Digital</t>
        </is>
      </c>
      <c r="K154" s="1209" t="inlineStr">
        <is>
          <t>Ampol App</t>
        </is>
      </c>
      <c r="L154" s="1199" t="n"/>
      <c r="M154" s="1211" t="inlineStr">
        <is>
          <t>Australia</t>
        </is>
      </c>
      <c r="N154" s="1199" t="inlineStr">
        <is>
          <t>CIC</t>
        </is>
      </c>
      <c r="O154" s="1199" t="n">
        <v>1</v>
      </c>
      <c r="P154" s="1199" t="n"/>
      <c r="Q154" s="1209" t="inlineStr">
        <is>
          <t>cxc</t>
        </is>
      </c>
      <c r="R154" s="1218" t="inlineStr">
        <is>
          <t>Daily</t>
        </is>
      </c>
      <c r="S154" s="1199" t="n">
        <v>1350</v>
      </c>
      <c r="T154" s="1225" t="n">
        <v>0</v>
      </c>
      <c r="U154" s="1213" t="n"/>
      <c r="V154" s="1224" t="n"/>
      <c r="W154" s="1199" t="n"/>
      <c r="X154" s="1214" t="n"/>
      <c r="Y154" s="1910" t="n"/>
      <c r="Z154" s="1214" t="n"/>
      <c r="AA154" s="1226">
        <f>IF(TRIM($B154)="","",IF(N($AU154)&gt;0,$AU154,IF(N($S154)&gt;0,$S154*Lists!$AG$15*(1+N($Z154)),N($U154)*(1+N($V154)+N($W154)+N($X154)+N($Z154))+N($Y154))))</f>
        <v>299700</v>
      </c>
      <c r="AB154" s="1217" t="n"/>
      <c r="AC154" s="1217" t="n"/>
      <c r="AD154" s="1217" t="n"/>
      <c r="AE154" s="1217" t="n"/>
      <c r="AF154" s="1217" t="n"/>
      <c r="AG154" s="1217" t="n"/>
      <c r="AJ154" s="865" t="str">
        <f>IF(TRIM($B154)="","",IF(IFERROR(INDEX(Lists!$AO$2:$AO$11,MATCH(ROW(),Lists!$AN$2:$AN$11,0)),"")&lt;&gt;"",IFERROR(INDEX(Lists!$AO$2:$AO$11,MATCH(ROW(),Lists!$AN$2:$AN$11,0)),""),IFERROR(INDEX(Lists!$U:$U,MATCH(TRIM($I154),Lists!$T:$T,0)),TRIM($I154))))</f>
        <v>Customer</v>
      </c>
      <c r="AK154" s="865" t="str">
        <f>IF(ISNUMBER(SEARCH("vacant",$B154)),"Vacant","Filled")</f>
        <v>Filled</v>
      </c>
      <c r="AL154" s="865" t="str">
        <f>IF($M154="NZ","NZ","AU")</f>
        <v>AU</v>
      </c>
      <c r="AM154" s="865">
        <f>COUNTIF($AJ$2:$AJ154,$AJ154)</f>
        <v>47</v>
      </c>
      <c r="AN154" s="865" t="str">
        <f>$AJ154&amp;"|"&amp;$AM154</f>
        <v>Customer|47</v>
      </c>
      <c r="AP154" s="865" t="str">
        <f>IF(TRIM($B154)="","",IF($AQ154=1,"Leadership",IFERROR(INDEX(Lists!$X:$X,MATCH(TRIM($K154),Lists!$W:$W,0)),IF(OR(TRIM($K154)="",LOWER(TRIM($K154))="na"),IF(TRIM($G154)="","Unassigned",TRIM($G154)),TRIM($K154)))))</f>
        <v>Ampol App</v>
      </c>
      <c r="AQ154" s="865" t="b">
        <f>IF(TRIM($B154)="","",--OR(TRIM($K154)="Leadership",TRIM($J154)="Leadership"))</f>
        <v>0</v>
      </c>
      <c r="AR154" s="1136" t="str">
        <f>IF(TRIM($B154)="","",IF(IFERROR(INDEX(Lists!$AQ$2:$AQ$11,MATCH(ROW(),Lists!$AN$2:$AN$11,0)),"")&lt;&gt;"",IFERROR(INDEX(Lists!$AQ$2:$AQ$11,MATCH(ROW(),Lists!$AN$2:$AN$11,0)),""),IF(ISNUMBER(SEARCH("head of ",$C154)),"Head of Technology",IF(ISNUMBER(SEARCH("TDD BP",$C154)),"Business Partner",IF(OR(ISNUMBER(SEARCH("domain architect",$C154)),ISNUMBER(SEARCH("enterprise architect",$C154))),"Domain Architect",IF(ISNUMBER(SEARCH("delivery man",$C154)),"Delivery Manager",IF(OR(ISNUMBER(SEARCH("technology manager",$C154)),ISNUMBER(SEARCH("technology manger",$C154)),ISNUMBER(SEARCH("tech manager",$C154))),"Technology Manager","Squad")))))))</f>
        <v>Squad</v>
      </c>
      <c r="AS154" s="1136" t="str">
        <f>IF(TRIM($B154)="","",IFERROR(INDEX(Lists!$AA:$AA,MATCH($AP154,Lists!$Z:$Z,0)),$AP154))</f>
        <v>Ampol App</v>
      </c>
      <c r="AT154" s="1136" t="str">
        <f>IF(TRIM($B154)="","",IF(IFERROR(INDEX(Lists!$AP$2:$AP$11,MATCH(ROW(),Lists!$AN$2:$AN$11,0)),"")&lt;&gt;"",IFERROR(INDEX(Lists!$AP$2:$AP$11,MATCH(ROW(),Lists!$AN$2:$AN$11,0)),""),IF(OR(LEFT($AJ154,3)="COE",$AJ154="EGI"),$AP154,IF($AR154&lt;&gt;"Squad",$AR154,$AP154))))</f>
        <v>Ampol App</v>
      </c>
    </row>
    <row r="155" ht="18" customHeight="1" s="866">
      <c r="A155" s="1208" t="inlineStr">
        <is>
          <t>C</t>
        </is>
      </c>
      <c r="B155" s="1209" t="inlineStr">
        <is>
          <t>Peter Lee</t>
        </is>
      </c>
      <c r="C155" s="1209" t="inlineStr">
        <is>
          <t>Snr Business Analyst</t>
        </is>
      </c>
      <c r="D155" s="1209" t="inlineStr">
        <is>
          <t>Vacant</t>
        </is>
      </c>
      <c r="E155" s="1209" t="inlineStr">
        <is>
          <t>Delivery Manager, Digital</t>
        </is>
      </c>
      <c r="F155" s="1210" t="inlineStr">
        <is>
          <t>Customer</t>
        </is>
      </c>
      <c r="G155" s="1199" t="inlineStr">
        <is>
          <t>Digital</t>
        </is>
      </c>
      <c r="H155" s="1209" t="inlineStr">
        <is>
          <t>Digital, Delivery</t>
        </is>
      </c>
      <c r="I155" s="1199" t="inlineStr">
        <is>
          <t>Ampol Customer</t>
        </is>
      </c>
      <c r="J155" s="1209" t="inlineStr">
        <is>
          <t>Ampol Digital</t>
        </is>
      </c>
      <c r="K155" s="1209" t="inlineStr">
        <is>
          <t>Ampol App</t>
        </is>
      </c>
      <c r="L155" s="1199" t="n"/>
      <c r="M155" s="1211" t="inlineStr">
        <is>
          <t>Australia</t>
        </is>
      </c>
      <c r="N155" s="1199" t="inlineStr">
        <is>
          <t>NA</t>
        </is>
      </c>
      <c r="O155" s="1199" t="n">
        <v>1</v>
      </c>
      <c r="P155" s="1199" t="n"/>
      <c r="Q155" s="1199" t="inlineStr">
        <is>
          <t>Permanent - Full Time</t>
        </is>
      </c>
      <c r="R155" s="1199" t="n"/>
      <c r="S155" s="1199" t="n"/>
      <c r="T155" s="1212" t="n">
        <v>182760</v>
      </c>
      <c r="U155" s="1213" t="n">
        <v>182760</v>
      </c>
      <c r="V155" s="1214" t="n">
        <v>0.12</v>
      </c>
      <c r="W155" s="1215" t="n">
        <v>0.055</v>
      </c>
      <c r="X155" s="1215" t="n">
        <v>0.12</v>
      </c>
      <c r="Y155" s="1215" t="n"/>
      <c r="Z155" s="1215" t="n">
        <v>0.04</v>
      </c>
      <c r="AA155" s="1216">
        <f>IF(TRIM($B155)="","",IF(N($AU155)&gt;0,$AU155,IF(N($S155)&gt;0,$S155*Lists!$AG$15*(1+N($Z155)),N($U155)*(1+N($V155)+N($W155)+N($X155)+N($Z155))+N($Y155))))</f>
        <v>243984.6</v>
      </c>
      <c r="AB155" s="1217" t="n"/>
      <c r="AC155" s="1217" t="n"/>
      <c r="AD155" s="1217" t="n"/>
      <c r="AE155" s="1217" t="n"/>
      <c r="AF155" s="1217" t="n"/>
      <c r="AG155" s="1217" t="n"/>
      <c r="AH155" s="1908" t="n"/>
      <c r="AJ155" s="865" t="str">
        <f>IF(TRIM($B155)="","",IF(IFERROR(INDEX(Lists!$AO$2:$AO$11,MATCH(ROW(),Lists!$AN$2:$AN$11,0)),"")&lt;&gt;"",IFERROR(INDEX(Lists!$AO$2:$AO$11,MATCH(ROW(),Lists!$AN$2:$AN$11,0)),""),IFERROR(INDEX(Lists!$U:$U,MATCH(TRIM($I155),Lists!$T:$T,0)),TRIM($I155))))</f>
        <v>Customer</v>
      </c>
      <c r="AK155" s="865" t="str">
        <f>IF(ISNUMBER(SEARCH("vacant",$B155)),"Vacant","Filled")</f>
        <v>Filled</v>
      </c>
      <c r="AL155" s="865" t="str">
        <f>IF($M155="NZ","NZ","AU")</f>
        <v>AU</v>
      </c>
      <c r="AM155" s="865">
        <f>COUNTIF($AJ$2:$AJ155,$AJ155)</f>
        <v>48</v>
      </c>
      <c r="AN155" s="865" t="str">
        <f>$AJ155&amp;"|"&amp;$AM155</f>
        <v>Customer|48</v>
      </c>
      <c r="AP155" s="865" t="str">
        <f>IF(TRIM($B155)="","",IF($AQ155=1,"Leadership",IFERROR(INDEX(Lists!$X:$X,MATCH(TRIM($K155),Lists!$W:$W,0)),IF(OR(TRIM($K155)="",LOWER(TRIM($K155))="na"),IF(TRIM($G155)="","Unassigned",TRIM($G155)),TRIM($K155)))))</f>
        <v>Ampol App</v>
      </c>
      <c r="AQ155" s="865" t="b">
        <f>IF(TRIM($B155)="","",--OR(TRIM($K155)="Leadership",TRIM($J155)="Leadership"))</f>
        <v>0</v>
      </c>
      <c r="AR155" s="1136" t="str">
        <f>IF(TRIM($B155)="","",IF(IFERROR(INDEX(Lists!$AQ$2:$AQ$11,MATCH(ROW(),Lists!$AN$2:$AN$11,0)),"")&lt;&gt;"",IFERROR(INDEX(Lists!$AQ$2:$AQ$11,MATCH(ROW(),Lists!$AN$2:$AN$11,0)),""),IF(ISNUMBER(SEARCH("head of ",$C155)),"Head of Technology",IF(ISNUMBER(SEARCH("TDD BP",$C155)),"Business Partner",IF(OR(ISNUMBER(SEARCH("domain architect",$C155)),ISNUMBER(SEARCH("enterprise architect",$C155))),"Domain Architect",IF(ISNUMBER(SEARCH("delivery man",$C155)),"Delivery Manager",IF(OR(ISNUMBER(SEARCH("technology manager",$C155)),ISNUMBER(SEARCH("technology manger",$C155)),ISNUMBER(SEARCH("tech manager",$C155))),"Technology Manager","Squad")))))))</f>
        <v>Squad</v>
      </c>
      <c r="AS155" s="1136" t="str">
        <f>IF(TRIM($B155)="","",IFERROR(INDEX(Lists!$AA:$AA,MATCH($AP155,Lists!$Z:$Z,0)),$AP155))</f>
        <v>Ampol App</v>
      </c>
      <c r="AT155" s="1136" t="str">
        <f>IF(TRIM($B155)="","",IF(IFERROR(INDEX(Lists!$AP$2:$AP$11,MATCH(ROW(),Lists!$AN$2:$AN$11,0)),"")&lt;&gt;"",IFERROR(INDEX(Lists!$AP$2:$AP$11,MATCH(ROW(),Lists!$AN$2:$AN$11,0)),""),IF(OR(LEFT($AJ155,3)="COE",$AJ155="EGI"),$AP155,IF($AR155&lt;&gt;"Squad",$AR155,$AP155))))</f>
        <v>Ampol App</v>
      </c>
    </row>
    <row r="156" ht="18" customHeight="1" s="866">
      <c r="A156" s="1208" t="inlineStr">
        <is>
          <t>C</t>
        </is>
      </c>
      <c r="B156" s="1199" t="inlineStr">
        <is>
          <t>Phillip Kewley</t>
        </is>
      </c>
      <c r="C156" s="1199" t="inlineStr">
        <is>
          <t>Quality Assurance</t>
        </is>
      </c>
      <c r="D156" s="1199" t="inlineStr">
        <is>
          <t>Mitesh Shah</t>
        </is>
      </c>
      <c r="E156" s="1209" t="inlineStr">
        <is>
          <t>Technology Manager, Digitial</t>
        </is>
      </c>
      <c r="F156" s="1210" t="inlineStr">
        <is>
          <t>Customer</t>
        </is>
      </c>
      <c r="G156" s="1199" t="inlineStr">
        <is>
          <t>Digital</t>
        </is>
      </c>
      <c r="H156" s="1199" t="inlineStr">
        <is>
          <t>Digital, Tech</t>
        </is>
      </c>
      <c r="I156" s="1199" t="inlineStr">
        <is>
          <t>Ampol Customer</t>
        </is>
      </c>
      <c r="J156" s="1209" t="inlineStr">
        <is>
          <t>Ampol Digital</t>
        </is>
      </c>
      <c r="K156" s="1209" t="inlineStr">
        <is>
          <t>Ampol App</t>
        </is>
      </c>
      <c r="L156" s="1199" t="n"/>
      <c r="M156" s="1211" t="inlineStr">
        <is>
          <t>Australia</t>
        </is>
      </c>
      <c r="N156" s="1199" t="inlineStr">
        <is>
          <t>NA</t>
        </is>
      </c>
      <c r="O156" s="1199" t="n">
        <v>1</v>
      </c>
      <c r="P156" s="1199" t="n"/>
      <c r="Q156" s="1199" t="inlineStr">
        <is>
          <t>Permanent - Full Time</t>
        </is>
      </c>
      <c r="R156" s="1199" t="n"/>
      <c r="S156" s="1199" t="n"/>
      <c r="T156" s="1212" t="n">
        <v>160000</v>
      </c>
      <c r="U156" s="1219" t="n">
        <v>160000</v>
      </c>
      <c r="V156" s="1227" t="n">
        <v>0.12</v>
      </c>
      <c r="W156" s="1228" t="n">
        <v>0.055</v>
      </c>
      <c r="X156" s="1228" t="n">
        <v>0.12</v>
      </c>
      <c r="Y156" s="1228" t="n"/>
      <c r="Z156" s="1228" t="n">
        <v>0.04</v>
      </c>
      <c r="AA156" s="1229">
        <f>IF(TRIM($B156)="","",IF(N($AU156)&gt;0,$AU156,IF(N($S156)&gt;0,$S156*Lists!$AG$15*(1+N($Z156)),N($U156)*(1+N($V156)+N($W156)+N($X156)+N($Z156))+N($Y156))))</f>
        <v>213600</v>
      </c>
      <c r="AB156" s="1217" t="n"/>
      <c r="AC156" s="1217" t="n"/>
      <c r="AD156" s="1217" t="n"/>
      <c r="AE156" s="1217" t="n"/>
      <c r="AF156" s="1217" t="n"/>
      <c r="AG156" s="1217" t="n"/>
      <c r="AH156" s="1908" t="n"/>
      <c r="AJ156" s="865" t="str">
        <f>IF(TRIM($B156)="","",IF(IFERROR(INDEX(Lists!$AO$2:$AO$11,MATCH(ROW(),Lists!$AN$2:$AN$11,0)),"")&lt;&gt;"",IFERROR(INDEX(Lists!$AO$2:$AO$11,MATCH(ROW(),Lists!$AN$2:$AN$11,0)),""),IFERROR(INDEX(Lists!$U:$U,MATCH(TRIM($I156),Lists!$T:$T,0)),TRIM($I156))))</f>
        <v>Customer</v>
      </c>
      <c r="AK156" s="865" t="str">
        <f>IF(ISNUMBER(SEARCH("vacant",$B156)),"Vacant","Filled")</f>
        <v>Filled</v>
      </c>
      <c r="AL156" s="865" t="str">
        <f>IF($M156="NZ","NZ","AU")</f>
        <v>AU</v>
      </c>
      <c r="AM156" s="865">
        <f>COUNTIF($AJ$2:$AJ156,$AJ156)</f>
        <v>49</v>
      </c>
      <c r="AN156" s="865" t="str">
        <f>$AJ156&amp;"|"&amp;$AM156</f>
        <v>Customer|49</v>
      </c>
      <c r="AP156" s="865" t="str">
        <f>IF(TRIM($B156)="","",IF($AQ156=1,"Leadership",IFERROR(INDEX(Lists!$X:$X,MATCH(TRIM($K156),Lists!$W:$W,0)),IF(OR(TRIM($K156)="",LOWER(TRIM($K156))="na"),IF(TRIM($G156)="","Unassigned",TRIM($G156)),TRIM($K156)))))</f>
        <v>Ampol App</v>
      </c>
      <c r="AQ156" s="865" t="b">
        <f>IF(TRIM($B156)="","",--OR(TRIM($K156)="Leadership",TRIM($J156)="Leadership"))</f>
        <v>0</v>
      </c>
      <c r="AR156" s="1136" t="str">
        <f>IF(TRIM($B156)="","",IF(IFERROR(INDEX(Lists!$AQ$2:$AQ$11,MATCH(ROW(),Lists!$AN$2:$AN$11,0)),"")&lt;&gt;"",IFERROR(INDEX(Lists!$AQ$2:$AQ$11,MATCH(ROW(),Lists!$AN$2:$AN$11,0)),""),IF(ISNUMBER(SEARCH("head of ",$C156)),"Head of Technology",IF(ISNUMBER(SEARCH("TDD BP",$C156)),"Business Partner",IF(OR(ISNUMBER(SEARCH("domain architect",$C156)),ISNUMBER(SEARCH("enterprise architect",$C156))),"Domain Architect",IF(ISNUMBER(SEARCH("delivery man",$C156)),"Delivery Manager",IF(OR(ISNUMBER(SEARCH("technology manager",$C156)),ISNUMBER(SEARCH("technology manger",$C156)),ISNUMBER(SEARCH("tech manager",$C156))),"Technology Manager","Squad")))))))</f>
        <v>Squad</v>
      </c>
      <c r="AS156" s="1136" t="str">
        <f>IF(TRIM($B156)="","",IFERROR(INDEX(Lists!$AA:$AA,MATCH($AP156,Lists!$Z:$Z,0)),$AP156))</f>
        <v>Ampol App</v>
      </c>
      <c r="AT156" s="1136" t="str">
        <f>IF(TRIM($B156)="","",IF(IFERROR(INDEX(Lists!$AP$2:$AP$11,MATCH(ROW(),Lists!$AN$2:$AN$11,0)),"")&lt;&gt;"",IFERROR(INDEX(Lists!$AP$2:$AP$11,MATCH(ROW(),Lists!$AN$2:$AN$11,0)),""),IF(OR(LEFT($AJ156,3)="COE",$AJ156="EGI"),$AP156,IF($AR156&lt;&gt;"Squad",$AR156,$AP156))))</f>
        <v>Ampol App</v>
      </c>
    </row>
    <row r="157" ht="18" customHeight="1" s="866">
      <c r="A157" s="1208" t="n">
        <v>116957</v>
      </c>
      <c r="B157" s="1209" t="inlineStr">
        <is>
          <t>Raj Ganesan</t>
        </is>
      </c>
      <c r="C157" s="1209" t="inlineStr">
        <is>
          <t>Engineer - Mobile (ios)</t>
        </is>
      </c>
      <c r="D157" s="1209" t="inlineStr">
        <is>
          <t>Mitesh Shah</t>
        </is>
      </c>
      <c r="E157" s="1209" t="inlineStr">
        <is>
          <t>Technology Manager, Digitial</t>
        </is>
      </c>
      <c r="F157" s="1210" t="inlineStr">
        <is>
          <t>Customer</t>
        </is>
      </c>
      <c r="G157" s="1199" t="inlineStr">
        <is>
          <t>Digital</t>
        </is>
      </c>
      <c r="H157" s="1209" t="inlineStr">
        <is>
          <t>Tech, Digital</t>
        </is>
      </c>
      <c r="I157" s="1199" t="inlineStr">
        <is>
          <t>Ampol Customer</t>
        </is>
      </c>
      <c r="J157" s="1209" t="inlineStr">
        <is>
          <t>Ampol Digital</t>
        </is>
      </c>
      <c r="K157" s="1209" t="inlineStr">
        <is>
          <t>Ampol App</t>
        </is>
      </c>
      <c r="L157" s="1199" t="n"/>
      <c r="M157" s="1211" t="inlineStr">
        <is>
          <t>Australia</t>
        </is>
      </c>
      <c r="N157" s="1199" t="inlineStr">
        <is>
          <t>CIB</t>
        </is>
      </c>
      <c r="O157" s="1199" t="n">
        <v>1</v>
      </c>
      <c r="P157" s="1199" t="n"/>
      <c r="Q157" s="1199" t="inlineStr">
        <is>
          <t>Contractor</t>
        </is>
      </c>
      <c r="R157" s="1218" t="inlineStr">
        <is>
          <t>Daily</t>
        </is>
      </c>
      <c r="S157" s="1199" t="n">
        <v>1040</v>
      </c>
      <c r="T157" s="1212" t="n">
        <v>0</v>
      </c>
      <c r="U157" s="1212" t="n"/>
      <c r="V157" s="1199" t="n"/>
      <c r="W157" s="1199" t="n"/>
      <c r="X157" s="1199" t="n"/>
      <c r="Y157" s="1199" t="n"/>
      <c r="Z157" s="1199" t="n"/>
      <c r="AA157" s="1219">
        <f>IF(TRIM($B157)="","",IF(N($AU157)&gt;0,$AU157,IF(N($S157)&gt;0,$S157*Lists!$AG$15*(1+N($Z157)),N($U157)*(1+N($V157)+N($W157)+N($X157)+N($Z157))+N($Y157))))</f>
        <v>230880</v>
      </c>
      <c r="AB157" s="1217" t="n"/>
      <c r="AC157" s="1217" t="n"/>
      <c r="AD157" s="1217" t="n"/>
      <c r="AE157" s="1217" t="n"/>
      <c r="AF157" s="1217" t="n"/>
      <c r="AG157" s="1217" t="n"/>
      <c r="AH157" s="1908" t="n"/>
      <c r="AJ157" s="865" t="str">
        <f>IF(TRIM($B157)="","",IF(IFERROR(INDEX(Lists!$AO$2:$AO$11,MATCH(ROW(),Lists!$AN$2:$AN$11,0)),"")&lt;&gt;"",IFERROR(INDEX(Lists!$AO$2:$AO$11,MATCH(ROW(),Lists!$AN$2:$AN$11,0)),""),IFERROR(INDEX(Lists!$U:$U,MATCH(TRIM($I157),Lists!$T:$T,0)),TRIM($I157))))</f>
        <v>Customer</v>
      </c>
      <c r="AK157" s="865" t="str">
        <f>IF(ISNUMBER(SEARCH("vacant",$B157)),"Vacant","Filled")</f>
        <v>Filled</v>
      </c>
      <c r="AL157" s="865" t="str">
        <f>IF($M157="NZ","NZ","AU")</f>
        <v>AU</v>
      </c>
      <c r="AM157" s="865">
        <f>COUNTIF($AJ$2:$AJ157,$AJ157)</f>
        <v>50</v>
      </c>
      <c r="AN157" s="865" t="str">
        <f>$AJ157&amp;"|"&amp;$AM157</f>
        <v>Customer|50</v>
      </c>
      <c r="AP157" s="865" t="str">
        <f>IF(TRIM($B157)="","",IF($AQ157=1,"Leadership",IFERROR(INDEX(Lists!$X:$X,MATCH(TRIM($K157),Lists!$W:$W,0)),IF(OR(TRIM($K157)="",LOWER(TRIM($K157))="na"),IF(TRIM($G157)="","Unassigned",TRIM($G157)),TRIM($K157)))))</f>
        <v>Ampol App</v>
      </c>
      <c r="AQ157" s="865" t="b">
        <f>IF(TRIM($B157)="","",--OR(TRIM($K157)="Leadership",TRIM($J157)="Leadership"))</f>
        <v>0</v>
      </c>
      <c r="AR157" s="1136" t="str">
        <f>IF(TRIM($B157)="","",IF(IFERROR(INDEX(Lists!$AQ$2:$AQ$11,MATCH(ROW(),Lists!$AN$2:$AN$11,0)),"")&lt;&gt;"",IFERROR(INDEX(Lists!$AQ$2:$AQ$11,MATCH(ROW(),Lists!$AN$2:$AN$11,0)),""),IF(ISNUMBER(SEARCH("head of ",$C157)),"Head of Technology",IF(ISNUMBER(SEARCH("TDD BP",$C157)),"Business Partner",IF(OR(ISNUMBER(SEARCH("domain architect",$C157)),ISNUMBER(SEARCH("enterprise architect",$C157))),"Domain Architect",IF(ISNUMBER(SEARCH("delivery man",$C157)),"Delivery Manager",IF(OR(ISNUMBER(SEARCH("technology manager",$C157)),ISNUMBER(SEARCH("technology manger",$C157)),ISNUMBER(SEARCH("tech manager",$C157))),"Technology Manager","Squad")))))))</f>
        <v>Squad</v>
      </c>
      <c r="AS157" s="1136" t="str">
        <f>IF(TRIM($B157)="","",IFERROR(INDEX(Lists!$AA:$AA,MATCH($AP157,Lists!$Z:$Z,0)),$AP157))</f>
        <v>Ampol App</v>
      </c>
      <c r="AT157" s="1136" t="str">
        <f>IF(TRIM($B157)="","",IF(IFERROR(INDEX(Lists!$AP$2:$AP$11,MATCH(ROW(),Lists!$AN$2:$AN$11,0)),"")&lt;&gt;"",IFERROR(INDEX(Lists!$AP$2:$AP$11,MATCH(ROW(),Lists!$AN$2:$AN$11,0)),""),IF(OR(LEFT($AJ157,3)="COE",$AJ157="EGI"),$AP157,IF($AR157&lt;&gt;"Squad",$AR157,$AP157))))</f>
        <v>Ampol App</v>
      </c>
    </row>
    <row r="158" ht="18" customHeight="1" s="866">
      <c r="A158" s="1208" t="n">
        <v>107781</v>
      </c>
      <c r="B158" s="1209" t="inlineStr">
        <is>
          <t>Ramez Haider</t>
        </is>
      </c>
      <c r="C158" s="1209" t="inlineStr">
        <is>
          <t>Solution Architect</t>
        </is>
      </c>
      <c r="D158" s="1209" t="inlineStr">
        <is>
          <t>Mitesh Shah</t>
        </is>
      </c>
      <c r="E158" s="1209" t="inlineStr">
        <is>
          <t>Technology Manager, Digitial</t>
        </is>
      </c>
      <c r="F158" s="1210" t="inlineStr">
        <is>
          <t>Customer</t>
        </is>
      </c>
      <c r="G158" s="1199" t="inlineStr">
        <is>
          <t>Digital</t>
        </is>
      </c>
      <c r="H158" s="1209" t="inlineStr">
        <is>
          <t>Digital, Tech</t>
        </is>
      </c>
      <c r="I158" s="1199" t="inlineStr">
        <is>
          <t>Ampol Customer</t>
        </is>
      </c>
      <c r="J158" s="1209" t="inlineStr">
        <is>
          <t>EGI</t>
        </is>
      </c>
      <c r="K158" s="1209" t="inlineStr">
        <is>
          <t>EGI Customer</t>
        </is>
      </c>
      <c r="L158" s="1199" t="n"/>
      <c r="M158" s="1211" t="inlineStr">
        <is>
          <t>Australia</t>
        </is>
      </c>
      <c r="N158" s="1199" t="inlineStr">
        <is>
          <t>CIB</t>
        </is>
      </c>
      <c r="O158" s="1199" t="n">
        <v>1</v>
      </c>
      <c r="P158" s="1209" t="n"/>
      <c r="Q158" s="1209" t="inlineStr">
        <is>
          <t>cxc</t>
        </is>
      </c>
      <c r="R158" s="1209" t="inlineStr">
        <is>
          <t>Daily</t>
        </is>
      </c>
      <c r="S158" s="1209" t="n">
        <v>1115</v>
      </c>
      <c r="T158" s="1225" t="n">
        <v>0</v>
      </c>
      <c r="U158" s="1213" t="n"/>
      <c r="V158" s="1214" t="n"/>
      <c r="W158" s="1215" t="n"/>
      <c r="X158" s="1215" t="n"/>
      <c r="Y158" s="1215" t="n"/>
      <c r="Z158" s="1215" t="n"/>
      <c r="AA158" s="1216">
        <f>IF(TRIM($B158)="","",IF(N($AU158)&gt;0,$AU158,IF(N($S158)&gt;0,$S158*Lists!$AG$15*(1+N($Z158)),N($U158)*(1+N($V158)+N($W158)+N($X158)+N($Z158))+N($Y158))))</f>
        <v>247530</v>
      </c>
      <c r="AB158" s="1217" t="n"/>
      <c r="AC158" s="1217" t="n"/>
      <c r="AD158" s="1217" t="n"/>
      <c r="AE158" s="1217" t="n"/>
      <c r="AF158" s="1217" t="n"/>
      <c r="AG158" s="1217" t="n"/>
      <c r="AH158" s="1908" t="n"/>
      <c r="AJ158" s="865" t="str">
        <f>IF(TRIM($B158)="","",IF(IFERROR(INDEX(Lists!$AO$2:$AO$11,MATCH(ROW(),Lists!$AN$2:$AN$11,0)),"")&lt;&gt;"",IFERROR(INDEX(Lists!$AO$2:$AO$11,MATCH(ROW(),Lists!$AN$2:$AN$11,0)),""),IFERROR(INDEX(Lists!$U:$U,MATCH(TRIM($I158),Lists!$T:$T,0)),TRIM($I158))))</f>
        <v>Customer</v>
      </c>
      <c r="AK158" s="865" t="str">
        <f>IF(ISNUMBER(SEARCH("vacant",$B158)),"Vacant","Filled")</f>
        <v>Filled</v>
      </c>
      <c r="AL158" s="865" t="str">
        <f>IF($M158="NZ","NZ","AU")</f>
        <v>AU</v>
      </c>
      <c r="AM158" s="865">
        <f>COUNTIF($AJ$2:$AJ158,$AJ158)</f>
        <v>51</v>
      </c>
      <c r="AN158" s="865" t="str">
        <f>$AJ158&amp;"|"&amp;$AM158</f>
        <v>Customer|51</v>
      </c>
      <c r="AP158" s="865" t="str">
        <f>IF(TRIM($B158)="","",IF($AQ158=1,"Leadership",IFERROR(INDEX(Lists!$X:$X,MATCH(TRIM($K158),Lists!$W:$W,0)),IF(OR(TRIM($K158)="",LOWER(TRIM($K158))="na"),IF(TRIM($G158)="","Unassigned",TRIM($G158)),TRIM($K158)))))</f>
        <v>EGI Customer</v>
      </c>
      <c r="AQ158" s="865" t="b">
        <f>IF(TRIM($B158)="","",--OR(TRIM($K158)="Leadership",TRIM($J158)="Leadership"))</f>
        <v>0</v>
      </c>
      <c r="AR158" s="1136" t="str">
        <f>IF(TRIM($B158)="","",IF(IFERROR(INDEX(Lists!$AQ$2:$AQ$11,MATCH(ROW(),Lists!$AN$2:$AN$11,0)),"")&lt;&gt;"",IFERROR(INDEX(Lists!$AQ$2:$AQ$11,MATCH(ROW(),Lists!$AN$2:$AN$11,0)),""),IF(ISNUMBER(SEARCH("head of ",$C158)),"Head of Technology",IF(ISNUMBER(SEARCH("TDD BP",$C158)),"Business Partner",IF(OR(ISNUMBER(SEARCH("domain architect",$C158)),ISNUMBER(SEARCH("enterprise architect",$C158))),"Domain Architect",IF(ISNUMBER(SEARCH("delivery man",$C158)),"Delivery Manager",IF(OR(ISNUMBER(SEARCH("technology manager",$C158)),ISNUMBER(SEARCH("technology manger",$C158)),ISNUMBER(SEARCH("tech manager",$C158))),"Technology Manager","Squad")))))))</f>
        <v>Squad</v>
      </c>
      <c r="AS158" s="1136" t="str">
        <f>IF(TRIM($B158)="","",IFERROR(INDEX(Lists!$AA:$AA,MATCH($AP158,Lists!$Z:$Z,0)),$AP158))</f>
        <v>EGI Customer</v>
      </c>
      <c r="AT158" s="1136" t="str">
        <f>IF(TRIM($B158)="","",IF(IFERROR(INDEX(Lists!$AP$2:$AP$11,MATCH(ROW(),Lists!$AN$2:$AN$11,0)),"")&lt;&gt;"",IFERROR(INDEX(Lists!$AP$2:$AP$11,MATCH(ROW(),Lists!$AN$2:$AN$11,0)),""),IF(OR(LEFT($AJ158,3)="COE",$AJ158="EGI"),$AP158,IF($AR158&lt;&gt;"Squad",$AR158,$AP158))))</f>
        <v>EGI Customer</v>
      </c>
    </row>
    <row r="159" ht="18" customHeight="1" s="866">
      <c r="A159" s="1208" t="n">
        <v>114395</v>
      </c>
      <c r="B159" s="1209" t="inlineStr">
        <is>
          <t>Rishabh Bhatia</t>
        </is>
      </c>
      <c r="C159" s="1209" t="inlineStr">
        <is>
          <t>Engineer - Mobile (Android)</t>
        </is>
      </c>
      <c r="D159" s="1209" t="inlineStr">
        <is>
          <t>Mitesh Shah</t>
        </is>
      </c>
      <c r="E159" s="1209" t="inlineStr">
        <is>
          <t>Technology Manager, Digitial</t>
        </is>
      </c>
      <c r="F159" s="1210" t="inlineStr">
        <is>
          <t>Customer</t>
        </is>
      </c>
      <c r="G159" s="1199" t="inlineStr">
        <is>
          <t>Digital</t>
        </is>
      </c>
      <c r="H159" s="1199" t="inlineStr">
        <is>
          <t>Digital, Tech</t>
        </is>
      </c>
      <c r="I159" s="1199" t="inlineStr">
        <is>
          <t>Ampol Customer</t>
        </is>
      </c>
      <c r="J159" s="1221" t="inlineStr">
        <is>
          <t>EGI</t>
        </is>
      </c>
      <c r="K159" s="1209" t="inlineStr">
        <is>
          <t>EGI Customer</t>
        </is>
      </c>
      <c r="L159" s="1199" t="n"/>
      <c r="M159" s="1211" t="inlineStr">
        <is>
          <t>Australia</t>
        </is>
      </c>
      <c r="N159" s="1199" t="inlineStr">
        <is>
          <t>CIB</t>
        </is>
      </c>
      <c r="O159" s="1199" t="n">
        <v>1</v>
      </c>
      <c r="P159" s="1199" t="n"/>
      <c r="Q159" s="1199" t="inlineStr">
        <is>
          <t>Permanent - Full Time</t>
        </is>
      </c>
      <c r="R159" s="1218" t="n"/>
      <c r="S159" s="1199" t="n"/>
      <c r="T159" s="1212" t="n">
        <v>104000</v>
      </c>
      <c r="U159" s="1213" t="n">
        <v>104000</v>
      </c>
      <c r="V159" s="1214" t="n">
        <v>0.1</v>
      </c>
      <c r="W159" s="1215" t="n">
        <v>0.055</v>
      </c>
      <c r="X159" s="1215" t="n">
        <v>0.12</v>
      </c>
      <c r="Y159" s="1215" t="n"/>
      <c r="Z159" s="1215" t="n">
        <v>0.04</v>
      </c>
      <c r="AA159" s="1216">
        <f>IF(TRIM($B159)="","",IF(N($AU159)&gt;0,$AU159,IF(N($S159)&gt;0,$S159*Lists!$AG$15*(1+N($Z159)),N($U159)*(1+N($V159)+N($W159)+N($X159)+N($Z159))+N($Y159))))</f>
        <v>136760</v>
      </c>
      <c r="AB159" s="1217" t="n"/>
      <c r="AC159" s="1217" t="n"/>
      <c r="AD159" s="1217" t="n"/>
      <c r="AE159" s="1217" t="n"/>
      <c r="AF159" s="1217" t="n"/>
      <c r="AG159" s="1217" t="n"/>
      <c r="AH159" s="1908" t="n"/>
      <c r="AJ159" s="865" t="str">
        <f>IF(TRIM($B159)="","",IF(IFERROR(INDEX(Lists!$AO$2:$AO$11,MATCH(ROW(),Lists!$AN$2:$AN$11,0)),"")&lt;&gt;"",IFERROR(INDEX(Lists!$AO$2:$AO$11,MATCH(ROW(),Lists!$AN$2:$AN$11,0)),""),IFERROR(INDEX(Lists!$U:$U,MATCH(TRIM($I159),Lists!$T:$T,0)),TRIM($I159))))</f>
        <v>Customer</v>
      </c>
      <c r="AK159" s="865" t="str">
        <f>IF(ISNUMBER(SEARCH("vacant",$B159)),"Vacant","Filled")</f>
        <v>Filled</v>
      </c>
      <c r="AL159" s="865" t="str">
        <f>IF($M159="NZ","NZ","AU")</f>
        <v>AU</v>
      </c>
      <c r="AM159" s="865">
        <f>COUNTIF($AJ$2:$AJ159,$AJ159)</f>
        <v>52</v>
      </c>
      <c r="AN159" s="865" t="str">
        <f>$AJ159&amp;"|"&amp;$AM159</f>
        <v>Customer|52</v>
      </c>
      <c r="AP159" s="865" t="str">
        <f>IF(TRIM($B159)="","",IF($AQ159=1,"Leadership",IFERROR(INDEX(Lists!$X:$X,MATCH(TRIM($K159),Lists!$W:$W,0)),IF(OR(TRIM($K159)="",LOWER(TRIM($K159))="na"),IF(TRIM($G159)="","Unassigned",TRIM($G159)),TRIM($K159)))))</f>
        <v>EGI Customer</v>
      </c>
      <c r="AQ159" s="865" t="b">
        <f>IF(TRIM($B159)="","",--OR(TRIM($K159)="Leadership",TRIM($J159)="Leadership"))</f>
        <v>0</v>
      </c>
      <c r="AR159" s="1136" t="str">
        <f>IF(TRIM($B159)="","",IF(IFERROR(INDEX(Lists!$AQ$2:$AQ$11,MATCH(ROW(),Lists!$AN$2:$AN$11,0)),"")&lt;&gt;"",IFERROR(INDEX(Lists!$AQ$2:$AQ$11,MATCH(ROW(),Lists!$AN$2:$AN$11,0)),""),IF(ISNUMBER(SEARCH("head of ",$C159)),"Head of Technology",IF(ISNUMBER(SEARCH("TDD BP",$C159)),"Business Partner",IF(OR(ISNUMBER(SEARCH("domain architect",$C159)),ISNUMBER(SEARCH("enterprise architect",$C159))),"Domain Architect",IF(ISNUMBER(SEARCH("delivery man",$C159)),"Delivery Manager",IF(OR(ISNUMBER(SEARCH("technology manager",$C159)),ISNUMBER(SEARCH("technology manger",$C159)),ISNUMBER(SEARCH("tech manager",$C159))),"Technology Manager","Squad")))))))</f>
        <v>Squad</v>
      </c>
      <c r="AS159" s="1136" t="str">
        <f>IF(TRIM($B159)="","",IFERROR(INDEX(Lists!$AA:$AA,MATCH($AP159,Lists!$Z:$Z,0)),$AP159))</f>
        <v>EGI Customer</v>
      </c>
      <c r="AT159" s="1136" t="str">
        <f>IF(TRIM($B159)="","",IF(IFERROR(INDEX(Lists!$AP$2:$AP$11,MATCH(ROW(),Lists!$AN$2:$AN$11,0)),"")&lt;&gt;"",IFERROR(INDEX(Lists!$AP$2:$AP$11,MATCH(ROW(),Lists!$AN$2:$AN$11,0)),""),IF(OR(LEFT($AJ159,3)="COE",$AJ159="EGI"),$AP159,IF($AR159&lt;&gt;"Squad",$AR159,$AP159))))</f>
        <v>EGI Customer</v>
      </c>
    </row>
    <row r="160" ht="18" customHeight="1" s="866">
      <c r="A160" s="1220" t="inlineStr">
        <is>
          <t>C</t>
        </is>
      </c>
      <c r="B160" s="1209" t="inlineStr">
        <is>
          <t>Rob Jadrjevic</t>
        </is>
      </c>
      <c r="C160" s="1209" t="inlineStr">
        <is>
          <t>Engineer - BE</t>
        </is>
      </c>
      <c r="D160" s="1209" t="inlineStr">
        <is>
          <t>Vacant</t>
        </is>
      </c>
      <c r="E160" s="1209" t="inlineStr">
        <is>
          <t>Technology Manager, Digital Engineering</t>
        </is>
      </c>
      <c r="F160" s="1210" t="inlineStr">
        <is>
          <t>Customer</t>
        </is>
      </c>
      <c r="G160" s="1199" t="inlineStr">
        <is>
          <t>Digital</t>
        </is>
      </c>
      <c r="H160" s="1199" t="inlineStr">
        <is>
          <t>Tech, Digital Engineering</t>
        </is>
      </c>
      <c r="I160" s="1199" t="inlineStr">
        <is>
          <t>Ampol Customer</t>
        </is>
      </c>
      <c r="J160" s="1221" t="inlineStr">
        <is>
          <t>EGI</t>
        </is>
      </c>
      <c r="K160" s="1209" t="inlineStr">
        <is>
          <t>EGI Customer</t>
        </is>
      </c>
      <c r="L160" s="1199" t="n"/>
      <c r="M160" s="1211" t="inlineStr">
        <is>
          <t>Australia</t>
        </is>
      </c>
      <c r="N160" s="1209" t="inlineStr">
        <is>
          <t>NA</t>
        </is>
      </c>
      <c r="O160" s="1209" t="n">
        <v>1</v>
      </c>
      <c r="P160" s="1199" t="n"/>
      <c r="Q160" s="1218" t="inlineStr">
        <is>
          <t>V</t>
        </is>
      </c>
      <c r="R160" s="1218" t="n"/>
      <c r="S160" s="1199" t="n"/>
      <c r="T160" s="1212" t="n">
        <v>151950</v>
      </c>
      <c r="U160" s="1212" t="n">
        <v>151950</v>
      </c>
      <c r="V160" s="1199" t="n">
        <v>0.12</v>
      </c>
      <c r="W160" s="1199" t="n">
        <v>0.055</v>
      </c>
      <c r="X160" s="1199" t="n">
        <v>0.12</v>
      </c>
      <c r="Y160" s="1199" t="n"/>
      <c r="Z160" s="1199" t="n">
        <v>0.04</v>
      </c>
      <c r="AA160" s="1219">
        <f>IF(TRIM($B160)="","",IF(N($AU160)&gt;0,$AU160,IF(N($S160)&gt;0,$S160*Lists!$AG$15*(1+N($Z160)),N($U160)*(1+N($V160)+N($W160)+N($X160)+N($Z160))+N($Y160))))</f>
        <v>202853.25</v>
      </c>
      <c r="AB160" s="1217" t="n"/>
      <c r="AC160" s="1217" t="n"/>
      <c r="AD160" s="1217" t="n"/>
      <c r="AE160" s="1217" t="n"/>
      <c r="AF160" s="1217" t="n"/>
      <c r="AG160" s="1217" t="n"/>
      <c r="AH160" s="1908" t="n"/>
      <c r="AJ160" s="865" t="str">
        <f>IF(TRIM($B160)="","",IF(IFERROR(INDEX(Lists!$AO$2:$AO$11,MATCH(ROW(),Lists!$AN$2:$AN$11,0)),"")&lt;&gt;"",IFERROR(INDEX(Lists!$AO$2:$AO$11,MATCH(ROW(),Lists!$AN$2:$AN$11,0)),""),IFERROR(INDEX(Lists!$U:$U,MATCH(TRIM($I160),Lists!$T:$T,0)),TRIM($I160))))</f>
        <v>Customer</v>
      </c>
      <c r="AK160" s="865" t="str">
        <f>IF(ISNUMBER(SEARCH("vacant",$B160)),"Vacant","Filled")</f>
        <v>Filled</v>
      </c>
      <c r="AL160" s="865" t="str">
        <f>IF($M160="NZ","NZ","AU")</f>
        <v>AU</v>
      </c>
      <c r="AM160" s="865">
        <f>COUNTIF($AJ$2:$AJ160,$AJ160)</f>
        <v>53</v>
      </c>
      <c r="AN160" s="865" t="str">
        <f>$AJ160&amp;"|"&amp;$AM160</f>
        <v>Customer|53</v>
      </c>
      <c r="AP160" s="865" t="str">
        <f>IF(TRIM($B160)="","",IF($AQ160=1,"Leadership",IFERROR(INDEX(Lists!$X:$X,MATCH(TRIM($K160),Lists!$W:$W,0)),IF(OR(TRIM($K160)="",LOWER(TRIM($K160))="na"),IF(TRIM($G160)="","Unassigned",TRIM($G160)),TRIM($K160)))))</f>
        <v>EGI Customer</v>
      </c>
      <c r="AQ160" s="865" t="b">
        <f>IF(TRIM($B160)="","",--OR(TRIM($K160)="Leadership",TRIM($J160)="Leadership"))</f>
        <v>0</v>
      </c>
      <c r="AR160" s="1136" t="str">
        <f>IF(TRIM($B160)="","",IF(IFERROR(INDEX(Lists!$AQ$2:$AQ$11,MATCH(ROW(),Lists!$AN$2:$AN$11,0)),"")&lt;&gt;"",IFERROR(INDEX(Lists!$AQ$2:$AQ$11,MATCH(ROW(),Lists!$AN$2:$AN$11,0)),""),IF(ISNUMBER(SEARCH("head of ",$C160)),"Head of Technology",IF(ISNUMBER(SEARCH("TDD BP",$C160)),"Business Partner",IF(OR(ISNUMBER(SEARCH("domain architect",$C160)),ISNUMBER(SEARCH("enterprise architect",$C160))),"Domain Architect",IF(ISNUMBER(SEARCH("delivery man",$C160)),"Delivery Manager",IF(OR(ISNUMBER(SEARCH("technology manager",$C160)),ISNUMBER(SEARCH("technology manger",$C160)),ISNUMBER(SEARCH("tech manager",$C160))),"Technology Manager","Squad")))))))</f>
        <v>Squad</v>
      </c>
      <c r="AS160" s="1136" t="str">
        <f>IF(TRIM($B160)="","",IFERROR(INDEX(Lists!$AA:$AA,MATCH($AP160,Lists!$Z:$Z,0)),$AP160))</f>
        <v>EGI Customer</v>
      </c>
      <c r="AT160" s="1136" t="str">
        <f>IF(TRIM($B160)="","",IF(IFERROR(INDEX(Lists!$AP$2:$AP$11,MATCH(ROW(),Lists!$AN$2:$AN$11,0)),"")&lt;&gt;"",IFERROR(INDEX(Lists!$AP$2:$AP$11,MATCH(ROW(),Lists!$AN$2:$AN$11,0)),""),IF(OR(LEFT($AJ160,3)="COE",$AJ160="EGI"),$AP160,IF($AR160&lt;&gt;"Squad",$AR160,$AP160))))</f>
        <v>EGI Customer</v>
      </c>
    </row>
    <row r="161" ht="18" customHeight="1" s="866">
      <c r="A161" s="1208" t="n">
        <v>88332</v>
      </c>
      <c r="B161" s="1209" t="inlineStr">
        <is>
          <t>Safiq Iqbal</t>
        </is>
      </c>
      <c r="C161" s="1209" t="inlineStr">
        <is>
          <t>Principal Engineer</t>
        </is>
      </c>
      <c r="D161" s="1209" t="inlineStr">
        <is>
          <t>Shona Paul</t>
        </is>
      </c>
      <c r="E161" s="1209" t="inlineStr">
        <is>
          <t>Head of Technology, Digital</t>
        </is>
      </c>
      <c r="F161" s="1210" t="inlineStr">
        <is>
          <t>Customer</t>
        </is>
      </c>
      <c r="G161" s="1199" t="inlineStr">
        <is>
          <t>Digital</t>
        </is>
      </c>
      <c r="H161" s="1199" t="inlineStr">
        <is>
          <t>EGI</t>
        </is>
      </c>
      <c r="I161" s="1199" t="inlineStr">
        <is>
          <t>Ampol Customer</t>
        </is>
      </c>
      <c r="J161" s="1209" t="inlineStr">
        <is>
          <t>EGI</t>
        </is>
      </c>
      <c r="K161" s="1209" t="inlineStr">
        <is>
          <t>EGI Customer</t>
        </is>
      </c>
      <c r="L161" s="1199" t="n"/>
      <c r="M161" s="1211" t="inlineStr">
        <is>
          <t>Australia</t>
        </is>
      </c>
      <c r="N161" s="1199" t="inlineStr">
        <is>
          <t xml:space="preserve">CIC </t>
        </is>
      </c>
      <c r="O161" s="1209" t="n">
        <v>1</v>
      </c>
      <c r="P161" s="1199" t="n"/>
      <c r="Q161" s="1199" t="inlineStr">
        <is>
          <t>Temporary - Full Time</t>
        </is>
      </c>
      <c r="R161" s="1218" t="n"/>
      <c r="S161" s="1199" t="n"/>
      <c r="T161" s="1212" t="n">
        <v>160000</v>
      </c>
      <c r="U161" s="1212" t="n">
        <v>160000</v>
      </c>
      <c r="V161" s="1199" t="n">
        <v>0.12</v>
      </c>
      <c r="W161" s="1199" t="n">
        <v>0.055</v>
      </c>
      <c r="X161" s="1199" t="n">
        <v>0.12</v>
      </c>
      <c r="Y161" s="1199" t="n"/>
      <c r="Z161" s="1199" t="n">
        <v>0.04</v>
      </c>
      <c r="AA161" s="1219">
        <f>IF(TRIM($B161)="","",IF(N($AU161)&gt;0,$AU161,IF(N($S161)&gt;0,$S161*Lists!$AG$15*(1+N($Z161)),N($U161)*(1+N($V161)+N($W161)+N($X161)+N($Z161))+N($Y161))))</f>
        <v>213600</v>
      </c>
      <c r="AB161" s="1217" t="n"/>
      <c r="AC161" s="1217" t="n"/>
      <c r="AD161" s="1217" t="n"/>
      <c r="AE161" s="1217" t="n"/>
      <c r="AF161" s="1217" t="n"/>
      <c r="AG161" s="1217" t="n"/>
      <c r="AH161" s="1908" t="n"/>
      <c r="AJ161" s="865" t="str">
        <f>IF(TRIM($B161)="","",IF(IFERROR(INDEX(Lists!$AO$2:$AO$11,MATCH(ROW(),Lists!$AN$2:$AN$11,0)),"")&lt;&gt;"",IFERROR(INDEX(Lists!$AO$2:$AO$11,MATCH(ROW(),Lists!$AN$2:$AN$11,0)),""),IFERROR(INDEX(Lists!$U:$U,MATCH(TRIM($I161),Lists!$T:$T,0)),TRIM($I161))))</f>
        <v>Customer</v>
      </c>
      <c r="AK161" s="865" t="str">
        <f>IF(ISNUMBER(SEARCH("vacant",$B161)),"Vacant","Filled")</f>
        <v>Filled</v>
      </c>
      <c r="AL161" s="865" t="str">
        <f>IF($M161="NZ","NZ","AU")</f>
        <v>AU</v>
      </c>
      <c r="AM161" s="865">
        <f>COUNTIF($AJ$2:$AJ161,$AJ161)</f>
        <v>54</v>
      </c>
      <c r="AN161" s="865" t="str">
        <f>$AJ161&amp;"|"&amp;$AM161</f>
        <v>Customer|54</v>
      </c>
      <c r="AP161" s="865" t="str">
        <f>IF(TRIM($B161)="","",IF($AQ161=1,"Leadership",IFERROR(INDEX(Lists!$X:$X,MATCH(TRIM($K161),Lists!$W:$W,0)),IF(OR(TRIM($K161)="",LOWER(TRIM($K161))="na"),IF(TRIM($G161)="","Unassigned",TRIM($G161)),TRIM($K161)))))</f>
        <v>EGI Customer</v>
      </c>
      <c r="AQ161" s="865" t="b">
        <f>IF(TRIM($B161)="","",--OR(TRIM($K161)="Leadership",TRIM($J161)="Leadership"))</f>
        <v>0</v>
      </c>
      <c r="AR161" s="1136" t="str">
        <f>IF(TRIM($B161)="","",IF(IFERROR(INDEX(Lists!$AQ$2:$AQ$11,MATCH(ROW(),Lists!$AN$2:$AN$11,0)),"")&lt;&gt;"",IFERROR(INDEX(Lists!$AQ$2:$AQ$11,MATCH(ROW(),Lists!$AN$2:$AN$11,0)),""),IF(ISNUMBER(SEARCH("head of ",$C161)),"Head of Technology",IF(ISNUMBER(SEARCH("TDD BP",$C161)),"Business Partner",IF(OR(ISNUMBER(SEARCH("domain architect",$C161)),ISNUMBER(SEARCH("enterprise architect",$C161))),"Domain Architect",IF(ISNUMBER(SEARCH("delivery man",$C161)),"Delivery Manager",IF(OR(ISNUMBER(SEARCH("technology manager",$C161)),ISNUMBER(SEARCH("technology manger",$C161)),ISNUMBER(SEARCH("tech manager",$C161))),"Technology Manager","Squad")))))))</f>
        <v>Squad</v>
      </c>
      <c r="AS161" s="1136" t="str">
        <f>IF(TRIM($B161)="","",IFERROR(INDEX(Lists!$AA:$AA,MATCH($AP161,Lists!$Z:$Z,0)),$AP161))</f>
        <v>EGI Customer</v>
      </c>
      <c r="AT161" s="1136" t="str">
        <f>IF(TRIM($B161)="","",IF(IFERROR(INDEX(Lists!$AP$2:$AP$11,MATCH(ROW(),Lists!$AN$2:$AN$11,0)),"")&lt;&gt;"",IFERROR(INDEX(Lists!$AP$2:$AP$11,MATCH(ROW(),Lists!$AN$2:$AN$11,0)),""),IF(OR(LEFT($AJ161,3)="COE",$AJ161="EGI"),$AP161,IF($AR161&lt;&gt;"Squad",$AR161,$AP161))))</f>
        <v>EGI Customer</v>
      </c>
    </row>
    <row r="162" ht="18" customHeight="1" s="866">
      <c r="A162" s="1208" t="n">
        <v>99999102079</v>
      </c>
      <c r="B162" s="1209" t="inlineStr">
        <is>
          <t>Sam Turnball</t>
        </is>
      </c>
      <c r="C162" s="1209" t="inlineStr">
        <is>
          <t>Associate Experience Designer</t>
        </is>
      </c>
      <c r="D162" s="1199" t="inlineStr">
        <is>
          <t>Byron Thornhill</t>
        </is>
      </c>
      <c r="E162" s="1209" t="inlineStr">
        <is>
          <t>Design Manager</t>
        </is>
      </c>
      <c r="F162" s="1210" t="inlineStr">
        <is>
          <t>Customer</t>
        </is>
      </c>
      <c r="G162" s="1199" t="inlineStr">
        <is>
          <t>Digital</t>
        </is>
      </c>
      <c r="H162" s="1199" t="inlineStr">
        <is>
          <t>Digital, Design</t>
        </is>
      </c>
      <c r="I162" s="1199" t="inlineStr">
        <is>
          <t>Ampol Customer</t>
        </is>
      </c>
      <c r="J162" s="1209" t="inlineStr">
        <is>
          <t>Z Energy (Digitial)</t>
        </is>
      </c>
      <c r="K162" s="1209" t="inlineStr">
        <is>
          <t>Z App and Web</t>
        </is>
      </c>
      <c r="L162" s="1199" t="n"/>
      <c r="M162" s="1211" t="inlineStr">
        <is>
          <t>NZ</t>
        </is>
      </c>
      <c r="N162" s="1199" t="inlineStr">
        <is>
          <t>CIA</t>
        </is>
      </c>
      <c r="O162" s="1199" t="n">
        <v>1</v>
      </c>
      <c r="P162" s="1199" t="n"/>
      <c r="Q162" s="1199" t="inlineStr">
        <is>
          <t>Permanent - Full Time</t>
        </is>
      </c>
      <c r="R162" s="1199" t="n"/>
      <c r="S162" s="1199" t="n"/>
      <c r="T162" s="1212" t="n">
        <v>253260</v>
      </c>
      <c r="U162" s="1213" t="n">
        <v>232999.2</v>
      </c>
      <c r="V162" s="1214" t="n">
        <v>0.2</v>
      </c>
      <c r="W162" s="1215" t="n"/>
      <c r="X162" s="1215" t="n">
        <v>0.05</v>
      </c>
      <c r="Y162" s="1215" t="n">
        <v>2910</v>
      </c>
      <c r="Z162" s="1215" t="n">
        <v>0.03</v>
      </c>
      <c r="AA162" s="1216">
        <f>IF(TRIM($B162)="","",IF(N($AU162)&gt;0,$AU162,IF(N($S162)&gt;0,$S162*Lists!$AG$15*(1+N($Z162)),N($U162)*(1+N($V162)+N($W162)+N($X162)+N($Z162))+N($Y162))))</f>
        <v>301148.976</v>
      </c>
      <c r="AB162" s="1217" t="n"/>
      <c r="AC162" s="1217" t="n"/>
      <c r="AD162" s="1217" t="n"/>
      <c r="AE162" s="1217" t="n"/>
      <c r="AF162" s="1217" t="n"/>
      <c r="AG162" s="1217" t="n"/>
      <c r="AH162" s="1908" t="n"/>
      <c r="AJ162" s="865" t="str">
        <f>IF(TRIM($B162)="","",IF(IFERROR(INDEX(Lists!$AO$2:$AO$11,MATCH(ROW(),Lists!$AN$2:$AN$11,0)),"")&lt;&gt;"",IFERROR(INDEX(Lists!$AO$2:$AO$11,MATCH(ROW(),Lists!$AN$2:$AN$11,0)),""),IFERROR(INDEX(Lists!$U:$U,MATCH(TRIM($I162),Lists!$T:$T,0)),TRIM($I162))))</f>
        <v>Customer</v>
      </c>
      <c r="AK162" s="865" t="str">
        <f>IF(ISNUMBER(SEARCH("vacant",$B162)),"Vacant","Filled")</f>
        <v>Filled</v>
      </c>
      <c r="AL162" s="865" t="str">
        <f>IF($M162="NZ","NZ","AU")</f>
        <v>NZ</v>
      </c>
      <c r="AM162" s="865">
        <f>COUNTIF($AJ$2:$AJ162,$AJ162)</f>
        <v>55</v>
      </c>
      <c r="AN162" s="865" t="str">
        <f>$AJ162&amp;"|"&amp;$AM162</f>
        <v>Customer|55</v>
      </c>
      <c r="AP162" s="865" t="str">
        <f>IF(TRIM($B162)="","",IF($AQ162=1,"Leadership",IFERROR(INDEX(Lists!$X:$X,MATCH(TRIM($K162),Lists!$W:$W,0)),IF(OR(TRIM($K162)="",LOWER(TRIM($K162))="na"),IF(TRIM($G162)="","Unassigned",TRIM($G162)),TRIM($K162)))))</f>
        <v>Z App and Web</v>
      </c>
      <c r="AQ162" s="865" t="b">
        <f>IF(TRIM($B162)="","",--OR(TRIM($K162)="Leadership",TRIM($J162)="Leadership"))</f>
        <v>0</v>
      </c>
      <c r="AR162" s="1136" t="str">
        <f>IF(TRIM($B162)="","",IF(IFERROR(INDEX(Lists!$AQ$2:$AQ$11,MATCH(ROW(),Lists!$AN$2:$AN$11,0)),"")&lt;&gt;"",IFERROR(INDEX(Lists!$AQ$2:$AQ$11,MATCH(ROW(),Lists!$AN$2:$AN$11,0)),""),IF(ISNUMBER(SEARCH("head of ",$C162)),"Head of Technology",IF(ISNUMBER(SEARCH("TDD BP",$C162)),"Business Partner",IF(OR(ISNUMBER(SEARCH("domain architect",$C162)),ISNUMBER(SEARCH("enterprise architect",$C162))),"Domain Architect",IF(ISNUMBER(SEARCH("delivery man",$C162)),"Delivery Manager",IF(OR(ISNUMBER(SEARCH("technology manager",$C162)),ISNUMBER(SEARCH("technology manger",$C162)),ISNUMBER(SEARCH("tech manager",$C162))),"Technology Manager","Squad")))))))</f>
        <v>Squad</v>
      </c>
      <c r="AS162" s="1136" t="str">
        <f>IF(TRIM($B162)="","",IFERROR(INDEX(Lists!$AA:$AA,MATCH($AP162,Lists!$Z:$Z,0)),$AP162))</f>
        <v>Z App and Web</v>
      </c>
      <c r="AT162" s="1136" t="str">
        <f>IF(TRIM($B162)="","",IF(IFERROR(INDEX(Lists!$AP$2:$AP$11,MATCH(ROW(),Lists!$AN$2:$AN$11,0)),"")&lt;&gt;"",IFERROR(INDEX(Lists!$AP$2:$AP$11,MATCH(ROW(),Lists!$AN$2:$AN$11,0)),""),IF(OR(LEFT($AJ162,3)="COE",$AJ162="EGI"),$AP162,IF($AR162&lt;&gt;"Squad",$AR162,$AP162))))</f>
        <v>Z App and Web</v>
      </c>
    </row>
    <row r="163" ht="18" customHeight="1" s="866">
      <c r="A163" s="1208" t="n">
        <v>108384</v>
      </c>
      <c r="B163" s="1199" t="inlineStr">
        <is>
          <t>Saugata Acharya</t>
        </is>
      </c>
      <c r="C163" s="1199" t="inlineStr">
        <is>
          <t>Delivery Lead</t>
        </is>
      </c>
      <c r="D163" s="1199" t="inlineStr">
        <is>
          <t>Vacant</t>
        </is>
      </c>
      <c r="E163" s="1199" t="inlineStr">
        <is>
          <t>Delivery Manager, Digital</t>
        </is>
      </c>
      <c r="F163" s="1210" t="inlineStr">
        <is>
          <t>Customer</t>
        </is>
      </c>
      <c r="G163" s="1199" t="inlineStr">
        <is>
          <t>Digital</t>
        </is>
      </c>
      <c r="H163" s="1209" t="inlineStr">
        <is>
          <t>Digital, Delivery</t>
        </is>
      </c>
      <c r="I163" s="1199" t="inlineStr">
        <is>
          <t>Ampol Customer</t>
        </is>
      </c>
      <c r="J163" s="1199" t="inlineStr">
        <is>
          <t>Ampol Digital</t>
        </is>
      </c>
      <c r="K163" s="1199" t="inlineStr">
        <is>
          <t>Ampol Web</t>
        </is>
      </c>
      <c r="L163" s="1199" t="n"/>
      <c r="M163" s="1211" t="inlineStr">
        <is>
          <t>Australia</t>
        </is>
      </c>
      <c r="N163" s="1199" t="inlineStr">
        <is>
          <t>CIC</t>
        </is>
      </c>
      <c r="O163" s="1209" t="n">
        <v>1</v>
      </c>
      <c r="P163" s="1199" t="n"/>
      <c r="Q163" s="1199" t="inlineStr">
        <is>
          <t>Permanent - Full Time</t>
        </is>
      </c>
      <c r="R163" s="1199" t="n"/>
      <c r="S163" s="1199" t="n"/>
      <c r="T163" s="1212" t="n">
        <v>190000</v>
      </c>
      <c r="U163" s="1213" t="n">
        <v>174800</v>
      </c>
      <c r="V163" s="1214" t="n">
        <v>0.15</v>
      </c>
      <c r="W163" s="1215" t="n"/>
      <c r="X163" s="1215" t="n">
        <v>0.05</v>
      </c>
      <c r="Y163" s="1215" t="n">
        <v>2910</v>
      </c>
      <c r="Z163" s="1215" t="n">
        <v>0.03</v>
      </c>
      <c r="AA163" s="1216">
        <f>IF(TRIM($B163)="","",IF(N($AU163)&gt;0,$AU163,IF(N($S163)&gt;0,$S163*Lists!$AG$15*(1+N($Z163)),N($U163)*(1+N($V163)+N($W163)+N($X163)+N($Z163))+N($Y163))))</f>
        <v>217914</v>
      </c>
      <c r="AB163" s="1217" t="n"/>
      <c r="AC163" s="1217" t="n"/>
      <c r="AD163" s="1217" t="n"/>
      <c r="AE163" s="1217" t="n"/>
      <c r="AF163" s="1217" t="n"/>
      <c r="AG163" s="1217" t="n"/>
      <c r="AH163" s="1908" t="n"/>
      <c r="AJ163" s="865" t="str">
        <f>IF(TRIM($B163)="","",IF(IFERROR(INDEX(Lists!$AO$2:$AO$11,MATCH(ROW(),Lists!$AN$2:$AN$11,0)),"")&lt;&gt;"",IFERROR(INDEX(Lists!$AO$2:$AO$11,MATCH(ROW(),Lists!$AN$2:$AN$11,0)),""),IFERROR(INDEX(Lists!$U:$U,MATCH(TRIM($I163),Lists!$T:$T,0)),TRIM($I163))))</f>
        <v>Customer</v>
      </c>
      <c r="AK163" s="865" t="str">
        <f>IF(ISNUMBER(SEARCH("vacant",$B163)),"Vacant","Filled")</f>
        <v>Filled</v>
      </c>
      <c r="AL163" s="865" t="str">
        <f>IF($M163="NZ","NZ","AU")</f>
        <v>AU</v>
      </c>
      <c r="AM163" s="865">
        <f>COUNTIF($AJ$2:$AJ163,$AJ163)</f>
        <v>56</v>
      </c>
      <c r="AN163" s="865" t="str">
        <f>$AJ163&amp;"|"&amp;$AM163</f>
        <v>Customer|56</v>
      </c>
      <c r="AP163" s="865" t="str">
        <f>IF(TRIM($B163)="","",IF($AQ163=1,"Leadership",IFERROR(INDEX(Lists!$X:$X,MATCH(TRIM($K163),Lists!$W:$W,0)),IF(OR(TRIM($K163)="",LOWER(TRIM($K163))="na"),IF(TRIM($G163)="","Unassigned",TRIM($G163)),TRIM($K163)))))</f>
        <v>Ampol Web</v>
      </c>
      <c r="AQ163" s="865" t="b">
        <f>IF(TRIM($B163)="","",--OR(TRIM($K163)="Leadership",TRIM($J163)="Leadership"))</f>
        <v>0</v>
      </c>
      <c r="AR163" s="1136" t="str">
        <f>IF(TRIM($B163)="","",IF(IFERROR(INDEX(Lists!$AQ$2:$AQ$11,MATCH(ROW(),Lists!$AN$2:$AN$11,0)),"")&lt;&gt;"",IFERROR(INDEX(Lists!$AQ$2:$AQ$11,MATCH(ROW(),Lists!$AN$2:$AN$11,0)),""),IF(ISNUMBER(SEARCH("head of ",$C163)),"Head of Technology",IF(ISNUMBER(SEARCH("TDD BP",$C163)),"Business Partner",IF(OR(ISNUMBER(SEARCH("domain architect",$C163)),ISNUMBER(SEARCH("enterprise architect",$C163))),"Domain Architect",IF(ISNUMBER(SEARCH("delivery man",$C163)),"Delivery Manager",IF(OR(ISNUMBER(SEARCH("technology manager",$C163)),ISNUMBER(SEARCH("technology manger",$C163)),ISNUMBER(SEARCH("tech manager",$C163))),"Technology Manager","Squad")))))))</f>
        <v>Squad</v>
      </c>
      <c r="AS163" s="1136" t="str">
        <f>IF(TRIM($B163)="","",IFERROR(INDEX(Lists!$AA:$AA,MATCH($AP163,Lists!$Z:$Z,0)),$AP163))</f>
        <v>Ampol Web</v>
      </c>
      <c r="AT163" s="1136" t="str">
        <f>IF(TRIM($B163)="","",IF(IFERROR(INDEX(Lists!$AP$2:$AP$11,MATCH(ROW(),Lists!$AN$2:$AN$11,0)),"")&lt;&gt;"",IFERROR(INDEX(Lists!$AP$2:$AP$11,MATCH(ROW(),Lists!$AN$2:$AN$11,0)),""),IF(OR(LEFT($AJ163,3)="COE",$AJ163="EGI"),$AP163,IF($AR163&lt;&gt;"Squad",$AR163,$AP163))))</f>
        <v>Ampol Web</v>
      </c>
    </row>
    <row r="164" ht="18" customHeight="1" s="866">
      <c r="A164" s="1208" t="n">
        <v>99999101730</v>
      </c>
      <c r="B164" s="1209" t="inlineStr">
        <is>
          <t>Scott Cullen</t>
        </is>
      </c>
      <c r="C164" s="1209" t="inlineStr">
        <is>
          <t>Engineer, Dev Ops</t>
        </is>
      </c>
      <c r="D164" s="1209" t="inlineStr">
        <is>
          <t>Vacant</t>
        </is>
      </c>
      <c r="E164" s="1209" t="inlineStr">
        <is>
          <t>Technology Manager, Data &amp; Engineering</t>
        </is>
      </c>
      <c r="F164" s="1210" t="inlineStr">
        <is>
          <t>Customer</t>
        </is>
      </c>
      <c r="G164" s="1199" t="inlineStr">
        <is>
          <t>Loyalty &amp; Martech</t>
        </is>
      </c>
      <c r="H164" s="1199" t="inlineStr">
        <is>
          <t>Loyalty, Data &amp; Engineering</t>
        </is>
      </c>
      <c r="I164" s="1199" t="inlineStr">
        <is>
          <t>Ampol Customer</t>
        </is>
      </c>
      <c r="J164" s="1209" t="inlineStr">
        <is>
          <t>Z Loyalty &amp; Martech</t>
        </is>
      </c>
      <c r="K164" s="1209" t="inlineStr">
        <is>
          <t>Z Loyalty &amp; Martech</t>
        </is>
      </c>
      <c r="L164" s="1199" t="n"/>
      <c r="M164" s="1211" t="inlineStr">
        <is>
          <t>NZ</t>
        </is>
      </c>
      <c r="N164" s="1199" t="inlineStr">
        <is>
          <t>CDB</t>
        </is>
      </c>
      <c r="O164" s="1209" t="n">
        <v>1</v>
      </c>
      <c r="P164" s="1199" t="n"/>
      <c r="Q164" s="1199" t="inlineStr">
        <is>
          <t>Temporary - Full Time</t>
        </is>
      </c>
      <c r="R164" s="1199" t="n"/>
      <c r="S164" s="1199" t="n"/>
      <c r="T164" s="1212" t="n">
        <v>165000</v>
      </c>
      <c r="U164" s="1213" t="n">
        <v>165000</v>
      </c>
      <c r="V164" s="1214" t="n">
        <v>0.12</v>
      </c>
      <c r="W164" s="1215" t="n">
        <v>0.055</v>
      </c>
      <c r="X164" s="1215" t="n">
        <v>0.12</v>
      </c>
      <c r="Y164" s="1215" t="n"/>
      <c r="Z164" s="1215" t="n">
        <v>0.04</v>
      </c>
      <c r="AA164" s="1216">
        <f>IF(TRIM($B164)="","",IF(N($AU164)&gt;0,$AU164,IF(N($S164)&gt;0,$S164*Lists!$AG$15*(1+N($Z164)),N($U164)*(1+N($V164)+N($W164)+N($X164)+N($Z164))+N($Y164))))</f>
        <v>220275</v>
      </c>
      <c r="AB164" s="1217" t="n">
        <v>113507</v>
      </c>
      <c r="AC164" s="1217" t="n"/>
      <c r="AD164" s="1217" t="n"/>
      <c r="AE164" s="1217" t="n"/>
      <c r="AF164" s="1217" t="n"/>
      <c r="AG164" s="1217" t="n"/>
      <c r="AH164" s="1908" t="n"/>
      <c r="AJ164" s="865" t="str">
        <f>IF(TRIM($B164)="","",IF(IFERROR(INDEX(Lists!$AO$2:$AO$11,MATCH(ROW(),Lists!$AN$2:$AN$11,0)),"")&lt;&gt;"",IFERROR(INDEX(Lists!$AO$2:$AO$11,MATCH(ROW(),Lists!$AN$2:$AN$11,0)),""),IFERROR(INDEX(Lists!$U:$U,MATCH(TRIM($I164),Lists!$T:$T,0)),TRIM($I164))))</f>
        <v>Customer</v>
      </c>
      <c r="AK164" s="865" t="str">
        <f>IF(ISNUMBER(SEARCH("vacant",$B164)),"Vacant","Filled")</f>
        <v>Filled</v>
      </c>
      <c r="AL164" s="865" t="str">
        <f>IF($M164="NZ","NZ","AU")</f>
        <v>NZ</v>
      </c>
      <c r="AM164" s="865">
        <f>COUNTIF($AJ$2:$AJ164,$AJ164)</f>
        <v>57</v>
      </c>
      <c r="AN164" s="865" t="str">
        <f>$AJ164&amp;"|"&amp;$AM164</f>
        <v>Customer|57</v>
      </c>
      <c r="AP164" s="865" t="str">
        <f>IF(TRIM($B164)="","",IF($AQ164=1,"Leadership",IFERROR(INDEX(Lists!$X:$X,MATCH(TRIM($K164),Lists!$W:$W,0)),IF(OR(TRIM($K164)="",LOWER(TRIM($K164))="na"),IF(TRIM($G164)="","Unassigned",TRIM($G164)),TRIM($K164)))))</f>
        <v>Z Loyalty &amp; Martech</v>
      </c>
      <c r="AQ164" s="865" t="b">
        <f>IF(TRIM($B164)="","",--OR(TRIM($K164)="Leadership",TRIM($J164)="Leadership"))</f>
        <v>0</v>
      </c>
      <c r="AR164" s="1136" t="str">
        <f>IF(TRIM($B164)="","",IF(IFERROR(INDEX(Lists!$AQ$2:$AQ$11,MATCH(ROW(),Lists!$AN$2:$AN$11,0)),"")&lt;&gt;"",IFERROR(INDEX(Lists!$AQ$2:$AQ$11,MATCH(ROW(),Lists!$AN$2:$AN$11,0)),""),IF(ISNUMBER(SEARCH("head of ",$C164)),"Head of Technology",IF(ISNUMBER(SEARCH("TDD BP",$C164)),"Business Partner",IF(OR(ISNUMBER(SEARCH("domain architect",$C164)),ISNUMBER(SEARCH("enterprise architect",$C164))),"Domain Architect",IF(ISNUMBER(SEARCH("delivery man",$C164)),"Delivery Manager",IF(OR(ISNUMBER(SEARCH("technology manager",$C164)),ISNUMBER(SEARCH("technology manger",$C164)),ISNUMBER(SEARCH("tech manager",$C164))),"Technology Manager","Squad")))))))</f>
        <v>Squad</v>
      </c>
      <c r="AS164" s="1136" t="str">
        <f>IF(TRIM($B164)="","",IFERROR(INDEX(Lists!$AA:$AA,MATCH($AP164,Lists!$Z:$Z,0)),$AP164))</f>
        <v>Z Loyalty &amp; Martech</v>
      </c>
      <c r="AT164" s="1136" t="str">
        <f>IF(TRIM($B164)="","",IF(IFERROR(INDEX(Lists!$AP$2:$AP$11,MATCH(ROW(),Lists!$AN$2:$AN$11,0)),"")&lt;&gt;"",IFERROR(INDEX(Lists!$AP$2:$AP$11,MATCH(ROW(),Lists!$AN$2:$AN$11,0)),""),IF(OR(LEFT($AJ164,3)="COE",$AJ164="EGI"),$AP164,IF($AR164&lt;&gt;"Squad",$AR164,$AP164))))</f>
        <v>Z Loyalty &amp; Martech</v>
      </c>
    </row>
    <row r="165" ht="18" customHeight="1" s="866">
      <c r="A165" s="1208" t="n">
        <v>99999101612</v>
      </c>
      <c r="B165" s="1209" t="inlineStr">
        <is>
          <t>Shane Abrahams</t>
        </is>
      </c>
      <c r="C165" s="1209" t="inlineStr">
        <is>
          <t>Digital Support Manager - NZ</t>
        </is>
      </c>
      <c r="D165" s="1209" t="inlineStr">
        <is>
          <t>Shona Paul</t>
        </is>
      </c>
      <c r="E165" s="1209" t="inlineStr">
        <is>
          <t>Head of Technology, Digital</t>
        </is>
      </c>
      <c r="F165" s="1210" t="inlineStr">
        <is>
          <t>Customer</t>
        </is>
      </c>
      <c r="G165" s="1199" t="inlineStr">
        <is>
          <t>Digital</t>
        </is>
      </c>
      <c r="H165" s="1209" t="inlineStr">
        <is>
          <t>Digital Support (NZ)</t>
        </is>
      </c>
      <c r="I165" s="1199" t="inlineStr">
        <is>
          <t>Ampol Customer</t>
        </is>
      </c>
      <c r="J165" s="1209" t="inlineStr">
        <is>
          <t>Z Energy (Digitial)</t>
        </is>
      </c>
      <c r="K165" s="1209" t="inlineStr">
        <is>
          <t>Z App and Web</t>
        </is>
      </c>
      <c r="L165" s="1199" t="n"/>
      <c r="M165" s="1211" t="inlineStr">
        <is>
          <t>NZ</t>
        </is>
      </c>
      <c r="N165" s="1199" t="inlineStr">
        <is>
          <t>CIC</t>
        </is>
      </c>
      <c r="O165" s="1199" t="n">
        <v>1</v>
      </c>
      <c r="P165" s="1209" t="n"/>
      <c r="Q165" s="1209" t="inlineStr">
        <is>
          <t>Permanent - Full Time</t>
        </is>
      </c>
      <c r="R165" s="1209" t="n"/>
      <c r="S165" s="1209" t="n"/>
      <c r="T165" s="1225" t="n">
        <v>194670</v>
      </c>
      <c r="U165" s="1213" t="n">
        <v>179096.4</v>
      </c>
      <c r="V165" s="1224" t="n">
        <v>0.15</v>
      </c>
      <c r="W165" s="1209" t="n"/>
      <c r="X165" s="1214" t="n">
        <v>0.05</v>
      </c>
      <c r="Y165" s="1910" t="n">
        <v>2910</v>
      </c>
      <c r="Z165" s="1214" t="n">
        <v>0.03</v>
      </c>
      <c r="AA165" s="1216">
        <f>IF(TRIM($B165)="","",IF(N($AU165)&gt;0,$AU165,IF(N($S165)&gt;0,$S165*Lists!$AG$15*(1+N($Z165)),N($U165)*(1+N($V165)+N($W165)+N($X165)+N($Z165))+N($Y165))))</f>
        <v>223198.572</v>
      </c>
      <c r="AB165" s="1217" t="n">
        <v>15184</v>
      </c>
      <c r="AC165" s="1217" t="n"/>
      <c r="AD165" s="1217" t="n"/>
      <c r="AE165" s="1217" t="n"/>
      <c r="AF165" s="1217" t="n"/>
      <c r="AG165" s="1217" t="n"/>
      <c r="AH165" s="1908" t="n"/>
      <c r="AJ165" s="865" t="str">
        <f>IF(TRIM($B165)="","",IF(IFERROR(INDEX(Lists!$AO$2:$AO$11,MATCH(ROW(),Lists!$AN$2:$AN$11,0)),"")&lt;&gt;"",IFERROR(INDEX(Lists!$AO$2:$AO$11,MATCH(ROW(),Lists!$AN$2:$AN$11,0)),""),IFERROR(INDEX(Lists!$U:$U,MATCH(TRIM($I165),Lists!$T:$T,0)),TRIM($I165))))</f>
        <v>Customer</v>
      </c>
      <c r="AK165" s="865" t="str">
        <f>IF(ISNUMBER(SEARCH("vacant",$B165)),"Vacant","Filled")</f>
        <v>Filled</v>
      </c>
      <c r="AL165" s="865" t="str">
        <f>IF($M165="NZ","NZ","AU")</f>
        <v>NZ</v>
      </c>
      <c r="AM165" s="865">
        <f>COUNTIF($AJ$2:$AJ165,$AJ165)</f>
        <v>58</v>
      </c>
      <c r="AN165" s="865" t="str">
        <f>$AJ165&amp;"|"&amp;$AM165</f>
        <v>Customer|58</v>
      </c>
      <c r="AP165" s="865" t="str">
        <f>IF(TRIM($B165)="","",IF($AQ165=1,"Leadership",IFERROR(INDEX(Lists!$X:$X,MATCH(TRIM($K165),Lists!$W:$W,0)),IF(OR(TRIM($K165)="",LOWER(TRIM($K165))="na"),IF(TRIM($G165)="","Unassigned",TRIM($G165)),TRIM($K165)))))</f>
        <v>Z App and Web</v>
      </c>
      <c r="AQ165" s="865" t="b">
        <f>IF(TRIM($B165)="","",--OR(TRIM($K165)="Leadership",TRIM($J165)="Leadership"))</f>
        <v>0</v>
      </c>
      <c r="AR165" s="1136" t="str">
        <f>IF(TRIM($B165)="","",IF(IFERROR(INDEX(Lists!$AQ$2:$AQ$11,MATCH(ROW(),Lists!$AN$2:$AN$11,0)),"")&lt;&gt;"",IFERROR(INDEX(Lists!$AQ$2:$AQ$11,MATCH(ROW(),Lists!$AN$2:$AN$11,0)),""),IF(ISNUMBER(SEARCH("head of ",$C165)),"Head of Technology",IF(ISNUMBER(SEARCH("TDD BP",$C165)),"Business Partner",IF(OR(ISNUMBER(SEARCH("domain architect",$C165)),ISNUMBER(SEARCH("enterprise architect",$C165))),"Domain Architect",IF(ISNUMBER(SEARCH("delivery man",$C165)),"Delivery Manager",IF(OR(ISNUMBER(SEARCH("technology manager",$C165)),ISNUMBER(SEARCH("technology manger",$C165)),ISNUMBER(SEARCH("tech manager",$C165))),"Technology Manager","Squad")))))))</f>
        <v>Squad</v>
      </c>
      <c r="AS165" s="1136" t="str">
        <f>IF(TRIM($B165)="","",IFERROR(INDEX(Lists!$AA:$AA,MATCH($AP165,Lists!$Z:$Z,0)),$AP165))</f>
        <v>Z App and Web</v>
      </c>
      <c r="AT165" s="1136" t="str">
        <f>IF(TRIM($B165)="","",IF(IFERROR(INDEX(Lists!$AP$2:$AP$11,MATCH(ROW(),Lists!$AN$2:$AN$11,0)),"")&lt;&gt;"",IFERROR(INDEX(Lists!$AP$2:$AP$11,MATCH(ROW(),Lists!$AN$2:$AN$11,0)),""),IF(OR(LEFT($AJ165,3)="COE",$AJ165="EGI"),$AP165,IF($AR165&lt;&gt;"Squad",$AR165,$AP165))))</f>
        <v>Z App and Web</v>
      </c>
    </row>
    <row r="166" ht="18" customHeight="1" s="866">
      <c r="A166" s="1208" t="inlineStr">
        <is>
          <t>C</t>
        </is>
      </c>
      <c r="B166" s="1199" t="inlineStr">
        <is>
          <t>Sheetal Karkera</t>
        </is>
      </c>
      <c r="C166" s="1199" t="inlineStr">
        <is>
          <t>Lead Engineer - Mobile</t>
        </is>
      </c>
      <c r="D166" s="1199" t="inlineStr">
        <is>
          <t>Mitesh Shah</t>
        </is>
      </c>
      <c r="E166" s="1199" t="inlineStr">
        <is>
          <t>Technology Manager, Digitial</t>
        </is>
      </c>
      <c r="F166" s="1210" t="inlineStr">
        <is>
          <t>Customer</t>
        </is>
      </c>
      <c r="G166" s="1199" t="inlineStr">
        <is>
          <t>Digital</t>
        </is>
      </c>
      <c r="H166" s="1209" t="inlineStr">
        <is>
          <t>Digital, Tech</t>
        </is>
      </c>
      <c r="I166" s="1199" t="inlineStr">
        <is>
          <t>Ampol Customer</t>
        </is>
      </c>
      <c r="J166" s="1199" t="inlineStr">
        <is>
          <t>Ampol Digital</t>
        </is>
      </c>
      <c r="K166" s="1199" t="inlineStr">
        <is>
          <t>Ampol App</t>
        </is>
      </c>
      <c r="L166" s="1199" t="n"/>
      <c r="M166" s="1211" t="inlineStr">
        <is>
          <t>Australia</t>
        </is>
      </c>
      <c r="N166" s="1199" t="inlineStr">
        <is>
          <t>NA</t>
        </is>
      </c>
      <c r="O166" s="1209" t="n">
        <v>1</v>
      </c>
      <c r="P166" s="1199" t="n"/>
      <c r="Q166" s="1209" t="inlineStr">
        <is>
          <t>Permanent - Full Time</t>
        </is>
      </c>
      <c r="R166" s="1199" t="n"/>
      <c r="S166" s="1199" t="n"/>
      <c r="T166" s="1212" t="n">
        <v>222190</v>
      </c>
      <c r="U166" s="1213" t="n">
        <v>222190</v>
      </c>
      <c r="V166" s="1224" t="n">
        <v>0.14</v>
      </c>
      <c r="W166" s="1209" t="n">
        <v>0.055</v>
      </c>
      <c r="X166" s="1214" t="n">
        <v>0.12</v>
      </c>
      <c r="Y166" s="1910" t="n"/>
      <c r="Z166" s="1214" t="n">
        <v>0.04</v>
      </c>
      <c r="AA166" s="1216">
        <f>IF(TRIM($B166)="","",IF(N($AU166)&gt;0,$AU166,IF(N($S166)&gt;0,$S166*Lists!$AG$15*(1+N($Z166)),N($U166)*(1+N($V166)+N($W166)+N($X166)+N($Z166))+N($Y166))))</f>
        <v>301067.45</v>
      </c>
      <c r="AB166" s="1217" t="n"/>
      <c r="AC166" s="1217" t="n"/>
      <c r="AD166" s="1217" t="n"/>
      <c r="AE166" s="1217" t="n"/>
      <c r="AF166" s="1217" t="n"/>
      <c r="AG166" s="1217" t="n"/>
      <c r="AJ166" s="865" t="str">
        <f>IF(TRIM($B166)="","",IF(IFERROR(INDEX(Lists!$AO$2:$AO$11,MATCH(ROW(),Lists!$AN$2:$AN$11,0)),"")&lt;&gt;"",IFERROR(INDEX(Lists!$AO$2:$AO$11,MATCH(ROW(),Lists!$AN$2:$AN$11,0)),""),IFERROR(INDEX(Lists!$U:$U,MATCH(TRIM($I166),Lists!$T:$T,0)),TRIM($I166))))</f>
        <v>Customer</v>
      </c>
      <c r="AK166" s="865" t="str">
        <f>IF(ISNUMBER(SEARCH("vacant",$B166)),"Vacant","Filled")</f>
        <v>Filled</v>
      </c>
      <c r="AL166" s="865" t="str">
        <f>IF($M166="NZ","NZ","AU")</f>
        <v>AU</v>
      </c>
      <c r="AM166" s="865">
        <f>COUNTIF($AJ$2:$AJ166,$AJ166)</f>
        <v>59</v>
      </c>
      <c r="AN166" s="865" t="str">
        <f>$AJ166&amp;"|"&amp;$AM166</f>
        <v>Customer|59</v>
      </c>
      <c r="AP166" s="865" t="str">
        <f>IF(TRIM($B166)="","",IF($AQ166=1,"Leadership",IFERROR(INDEX(Lists!$X:$X,MATCH(TRIM($K166),Lists!$W:$W,0)),IF(OR(TRIM($K166)="",LOWER(TRIM($K166))="na"),IF(TRIM($G166)="","Unassigned",TRIM($G166)),TRIM($K166)))))</f>
        <v>Ampol App</v>
      </c>
      <c r="AQ166" s="865" t="b">
        <f>IF(TRIM($B166)="","",--OR(TRIM($K166)="Leadership",TRIM($J166)="Leadership"))</f>
        <v>0</v>
      </c>
      <c r="AR166" s="1136" t="str">
        <f>IF(TRIM($B166)="","",IF(IFERROR(INDEX(Lists!$AQ$2:$AQ$11,MATCH(ROW(),Lists!$AN$2:$AN$11,0)),"")&lt;&gt;"",IFERROR(INDEX(Lists!$AQ$2:$AQ$11,MATCH(ROW(),Lists!$AN$2:$AN$11,0)),""),IF(ISNUMBER(SEARCH("head of ",$C166)),"Head of Technology",IF(ISNUMBER(SEARCH("TDD BP",$C166)),"Business Partner",IF(OR(ISNUMBER(SEARCH("domain architect",$C166)),ISNUMBER(SEARCH("enterprise architect",$C166))),"Domain Architect",IF(ISNUMBER(SEARCH("delivery man",$C166)),"Delivery Manager",IF(OR(ISNUMBER(SEARCH("technology manager",$C166)),ISNUMBER(SEARCH("technology manger",$C166)),ISNUMBER(SEARCH("tech manager",$C166))),"Technology Manager","Squad")))))))</f>
        <v>Squad</v>
      </c>
      <c r="AS166" s="1136" t="str">
        <f>IF(TRIM($B166)="","",IFERROR(INDEX(Lists!$AA:$AA,MATCH($AP166,Lists!$Z:$Z,0)),$AP166))</f>
        <v>Ampol App</v>
      </c>
      <c r="AT166" s="1136" t="str">
        <f>IF(TRIM($B166)="","",IF(IFERROR(INDEX(Lists!$AP$2:$AP$11,MATCH(ROW(),Lists!$AN$2:$AN$11,0)),"")&lt;&gt;"",IFERROR(INDEX(Lists!$AP$2:$AP$11,MATCH(ROW(),Lists!$AN$2:$AN$11,0)),""),IF(OR(LEFT($AJ166,3)="COE",$AJ166="EGI"),$AP166,IF($AR166&lt;&gt;"Squad",$AR166,$AP166))))</f>
        <v>Ampol App</v>
      </c>
    </row>
    <row r="167" ht="18" customHeight="1" s="866">
      <c r="A167" s="1208" t="n">
        <v>99999101891</v>
      </c>
      <c r="B167" s="1209" t="inlineStr">
        <is>
          <t>Shinal Chamberlain</t>
        </is>
      </c>
      <c r="C167" s="1209" t="inlineStr">
        <is>
          <t>Business Analyst</t>
        </is>
      </c>
      <c r="D167" s="1209" t="inlineStr">
        <is>
          <t>Vacant</t>
        </is>
      </c>
      <c r="E167" s="1209" t="inlineStr">
        <is>
          <t>Delivery Manager, Loyalty</t>
        </is>
      </c>
      <c r="F167" s="1210" t="inlineStr">
        <is>
          <t>Customer</t>
        </is>
      </c>
      <c r="G167" s="1199" t="inlineStr">
        <is>
          <t>Loyalty &amp; Martech</t>
        </is>
      </c>
      <c r="H167" s="1209" t="inlineStr">
        <is>
          <t xml:space="preserve">Loyalty, Delivery </t>
        </is>
      </c>
      <c r="I167" s="1199" t="inlineStr">
        <is>
          <t>Ampol Customer</t>
        </is>
      </c>
      <c r="J167" s="1209" t="inlineStr">
        <is>
          <t>Z Loyalty &amp; Martech</t>
        </is>
      </c>
      <c r="K167" s="1209" t="inlineStr">
        <is>
          <t>Z Loyalty &amp; Martech</t>
        </is>
      </c>
      <c r="L167" s="1199" t="n"/>
      <c r="M167" s="1211" t="inlineStr">
        <is>
          <t>NZ</t>
        </is>
      </c>
      <c r="N167" s="1199" t="inlineStr">
        <is>
          <t>CIA</t>
        </is>
      </c>
      <c r="O167" s="1209" t="n">
        <v>1</v>
      </c>
      <c r="P167" s="1199" t="n"/>
      <c r="Q167" s="1199" t="inlineStr">
        <is>
          <t>Permanent - Full Time</t>
        </is>
      </c>
      <c r="R167" s="1199" t="n"/>
      <c r="S167" s="1199" t="n"/>
      <c r="T167" s="1212" t="n">
        <v>230470</v>
      </c>
      <c r="U167" s="1213" t="n">
        <v>212032.4</v>
      </c>
      <c r="V167" s="1214" t="n">
        <v>0.2</v>
      </c>
      <c r="W167" s="1215" t="n"/>
      <c r="X167" s="1215" t="n">
        <v>0.05</v>
      </c>
      <c r="Y167" s="1215" t="n">
        <v>2910</v>
      </c>
      <c r="Z167" s="1215" t="n">
        <v>0.03</v>
      </c>
      <c r="AA167" s="1216">
        <f>IF(TRIM($B167)="","",IF(N($AU167)&gt;0,$AU167,IF(N($S167)&gt;0,$S167*Lists!$AG$15*(1+N($Z167)),N($U167)*(1+N($V167)+N($W167)+N($X167)+N($Z167))+N($Y167))))</f>
        <v>274311.472</v>
      </c>
      <c r="AB167" s="1217" t="n">
        <v>113568</v>
      </c>
      <c r="AC167" s="1217" t="n"/>
      <c r="AD167" s="1217" t="n"/>
      <c r="AE167" s="1217" t="n"/>
      <c r="AF167" s="1217" t="n"/>
      <c r="AG167" s="1217" t="n"/>
      <c r="AH167" s="1908" t="n"/>
      <c r="AJ167" s="865" t="str">
        <f>IF(TRIM($B167)="","",IF(IFERROR(INDEX(Lists!$AO$2:$AO$11,MATCH(ROW(),Lists!$AN$2:$AN$11,0)),"")&lt;&gt;"",IFERROR(INDEX(Lists!$AO$2:$AO$11,MATCH(ROW(),Lists!$AN$2:$AN$11,0)),""),IFERROR(INDEX(Lists!$U:$U,MATCH(TRIM($I167),Lists!$T:$T,0)),TRIM($I167))))</f>
        <v>Customer</v>
      </c>
      <c r="AK167" s="865" t="str">
        <f>IF(ISNUMBER(SEARCH("vacant",$B167)),"Vacant","Filled")</f>
        <v>Filled</v>
      </c>
      <c r="AL167" s="865" t="str">
        <f>IF($M167="NZ","NZ","AU")</f>
        <v>NZ</v>
      </c>
      <c r="AM167" s="865">
        <f>COUNTIF($AJ$2:$AJ167,$AJ167)</f>
        <v>60</v>
      </c>
      <c r="AN167" s="865" t="str">
        <f>$AJ167&amp;"|"&amp;$AM167</f>
        <v>Customer|60</v>
      </c>
      <c r="AP167" s="865" t="str">
        <f>IF(TRIM($B167)="","",IF($AQ167=1,"Leadership",IFERROR(INDEX(Lists!$X:$X,MATCH(TRIM($K167),Lists!$W:$W,0)),IF(OR(TRIM($K167)="",LOWER(TRIM($K167))="na"),IF(TRIM($G167)="","Unassigned",TRIM($G167)),TRIM($K167)))))</f>
        <v>Z Loyalty &amp; Martech</v>
      </c>
      <c r="AQ167" s="865" t="b">
        <f>IF(TRIM($B167)="","",--OR(TRIM($K167)="Leadership",TRIM($J167)="Leadership"))</f>
        <v>0</v>
      </c>
      <c r="AR167" s="1136" t="str">
        <f>IF(TRIM($B167)="","",IF(IFERROR(INDEX(Lists!$AQ$2:$AQ$11,MATCH(ROW(),Lists!$AN$2:$AN$11,0)),"")&lt;&gt;"",IFERROR(INDEX(Lists!$AQ$2:$AQ$11,MATCH(ROW(),Lists!$AN$2:$AN$11,0)),""),IF(ISNUMBER(SEARCH("head of ",$C167)),"Head of Technology",IF(ISNUMBER(SEARCH("TDD BP",$C167)),"Business Partner",IF(OR(ISNUMBER(SEARCH("domain architect",$C167)),ISNUMBER(SEARCH("enterprise architect",$C167))),"Domain Architect",IF(ISNUMBER(SEARCH("delivery man",$C167)),"Delivery Manager",IF(OR(ISNUMBER(SEARCH("technology manager",$C167)),ISNUMBER(SEARCH("technology manger",$C167)),ISNUMBER(SEARCH("tech manager",$C167))),"Technology Manager","Squad")))))))</f>
        <v>Squad</v>
      </c>
      <c r="AS167" s="1136" t="str">
        <f>IF(TRIM($B167)="","",IFERROR(INDEX(Lists!$AA:$AA,MATCH($AP167,Lists!$Z:$Z,0)),$AP167))</f>
        <v>Z Loyalty &amp; Martech</v>
      </c>
      <c r="AT167" s="1136" t="str">
        <f>IF(TRIM($B167)="","",IF(IFERROR(INDEX(Lists!$AP$2:$AP$11,MATCH(ROW(),Lists!$AN$2:$AN$11,0)),"")&lt;&gt;"",IFERROR(INDEX(Lists!$AP$2:$AP$11,MATCH(ROW(),Lists!$AN$2:$AN$11,0)),""),IF(OR(LEFT($AJ167,3)="COE",$AJ167="EGI"),$AP167,IF($AR167&lt;&gt;"Squad",$AR167,$AP167))))</f>
        <v>Z Loyalty &amp; Martech</v>
      </c>
    </row>
    <row r="168" ht="18" customHeight="1" s="866">
      <c r="A168" s="1208" t="n">
        <v>99999101543</v>
      </c>
      <c r="B168" s="1209" t="inlineStr">
        <is>
          <t>Shona Paul</t>
        </is>
      </c>
      <c r="C168" s="1209" t="inlineStr">
        <is>
          <t>Head of Technology - Digital</t>
        </is>
      </c>
      <c r="D168" s="1209" t="inlineStr">
        <is>
          <t>Harley Giles</t>
        </is>
      </c>
      <c r="E168" s="1209" t="inlineStr">
        <is>
          <t>GM TDD, Customer</t>
        </is>
      </c>
      <c r="F168" s="1210" t="inlineStr">
        <is>
          <t>Customer</t>
        </is>
      </c>
      <c r="G168" s="1199" t="inlineStr">
        <is>
          <t>Digital</t>
        </is>
      </c>
      <c r="H168" s="1209" t="n"/>
      <c r="I168" s="1199" t="inlineStr">
        <is>
          <t>Ampol Customer</t>
        </is>
      </c>
      <c r="J168" s="1209" t="inlineStr">
        <is>
          <t>(All Customer)</t>
        </is>
      </c>
      <c r="K168" s="1209" t="inlineStr">
        <is>
          <t>Leadership</t>
        </is>
      </c>
      <c r="L168" s="1199" t="n"/>
      <c r="M168" s="1211" t="inlineStr">
        <is>
          <t>NZ</t>
        </is>
      </c>
      <c r="N168" s="1199" t="inlineStr">
        <is>
          <t>CSC</t>
        </is>
      </c>
      <c r="O168" s="1199" t="n">
        <v>1</v>
      </c>
      <c r="P168" s="1199" t="n"/>
      <c r="Q168" s="1209" t="inlineStr">
        <is>
          <t>V</t>
        </is>
      </c>
      <c r="R168" s="1199" t="n"/>
      <c r="S168" s="1199" t="n"/>
      <c r="T168" s="1212" t="n">
        <v>203550</v>
      </c>
      <c r="U168" s="1213" t="n">
        <v>203550</v>
      </c>
      <c r="V168" s="1224" t="n">
        <v>0.14</v>
      </c>
      <c r="W168" s="1209" t="n">
        <v>0.055</v>
      </c>
      <c r="X168" s="1214" t="n">
        <v>0.12</v>
      </c>
      <c r="Y168" s="1910" t="n"/>
      <c r="Z168" s="1214" t="n">
        <v>0.04</v>
      </c>
      <c r="AA168" s="1216">
        <f>IF(TRIM($B168)="","",IF(N($AU168)&gt;0,$AU168,IF(N($S168)&gt;0,$S168*Lists!$AG$15*(1+N($Z168)),N($U168)*(1+N($V168)+N($W168)+N($X168)+N($Z168))+N($Y168))))</f>
        <v>275810.25</v>
      </c>
      <c r="AB168" s="1217" t="n"/>
      <c r="AC168" s="1217" t="n"/>
      <c r="AD168" s="1217" t="n"/>
      <c r="AE168" s="1217" t="n"/>
      <c r="AF168" s="1217" t="n"/>
      <c r="AG168" s="1217" t="n"/>
      <c r="AH168" s="1908" t="n"/>
      <c r="AJ168" s="865" t="str">
        <f>IF(TRIM($B168)="","",IF(IFERROR(INDEX(Lists!$AO$2:$AO$11,MATCH(ROW(),Lists!$AN$2:$AN$11,0)),"")&lt;&gt;"",IFERROR(INDEX(Lists!$AO$2:$AO$11,MATCH(ROW(),Lists!$AN$2:$AN$11,0)),""),IFERROR(INDEX(Lists!$U:$U,MATCH(TRIM($I168),Lists!$T:$T,0)),TRIM($I168))))</f>
        <v>Customer</v>
      </c>
      <c r="AK168" s="865" t="str">
        <f>IF(ISNUMBER(SEARCH("vacant",$B168)),"Vacant","Filled")</f>
        <v>Filled</v>
      </c>
      <c r="AL168" s="865" t="str">
        <f>IF($M168="NZ","NZ","AU")</f>
        <v>NZ</v>
      </c>
      <c r="AM168" s="865">
        <f>COUNTIF($AJ$2:$AJ168,$AJ168)</f>
        <v>61</v>
      </c>
      <c r="AN168" s="865" t="str">
        <f>$AJ168&amp;"|"&amp;$AM168</f>
        <v>Customer|61</v>
      </c>
      <c r="AP168" s="865" t="str">
        <f>IF(TRIM($B168)="","",IF($AQ168=1,"Leadership",IFERROR(INDEX(Lists!$X:$X,MATCH(TRIM($K168),Lists!$W:$W,0)),IF(OR(TRIM($K168)="",LOWER(TRIM($K168))="na"),IF(TRIM($G168)="","Unassigned",TRIM($G168)),TRIM($K168)))))</f>
        <v>Leadership</v>
      </c>
      <c r="AQ168" s="865" t="b">
        <f>IF(TRIM($B168)="","",--OR(TRIM($K168)="Leadership",TRIM($J168)="Leadership"))</f>
        <v>1</v>
      </c>
      <c r="AR168" s="1136" t="str">
        <f>IF(TRIM($B168)="","",IF(IFERROR(INDEX(Lists!$AQ$2:$AQ$11,MATCH(ROW(),Lists!$AN$2:$AN$11,0)),"")&lt;&gt;"",IFERROR(INDEX(Lists!$AQ$2:$AQ$11,MATCH(ROW(),Lists!$AN$2:$AN$11,0)),""),IF(ISNUMBER(SEARCH("head of ",$C168)),"Head of Technology",IF(ISNUMBER(SEARCH("TDD BP",$C168)),"Business Partner",IF(OR(ISNUMBER(SEARCH("domain architect",$C168)),ISNUMBER(SEARCH("enterprise architect",$C168))),"Domain Architect",IF(ISNUMBER(SEARCH("delivery man",$C168)),"Delivery Manager",IF(OR(ISNUMBER(SEARCH("technology manager",$C168)),ISNUMBER(SEARCH("technology manger",$C168)),ISNUMBER(SEARCH("tech manager",$C168))),"Technology Manager","Squad")))))))</f>
        <v>Head of Technology</v>
      </c>
      <c r="AS168" s="1136" t="str">
        <f>IF(TRIM($B168)="","",IFERROR(INDEX(Lists!$AA:$AA,MATCH($AP168,Lists!$Z:$Z,0)),$AP168))</f>
        <v>Leadership</v>
      </c>
      <c r="AT168" s="1136" t="str">
        <f>IF(TRIM($B168)="","",IF(IFERROR(INDEX(Lists!$AP$2:$AP$11,MATCH(ROW(),Lists!$AN$2:$AN$11,0)),"")&lt;&gt;"",IFERROR(INDEX(Lists!$AP$2:$AP$11,MATCH(ROW(),Lists!$AN$2:$AN$11,0)),""),IF(OR(LEFT($AJ168,3)="COE",$AJ168="EGI"),$AP168,IF($AR168&lt;&gt;"Squad",$AR168,$AP168))))</f>
        <v>Head of Technology</v>
      </c>
    </row>
    <row r="169" ht="18" customHeight="1" s="866">
      <c r="A169" s="1208" t="inlineStr">
        <is>
          <t>c</t>
        </is>
      </c>
      <c r="B169" s="1209" t="inlineStr">
        <is>
          <t>Shreema Das</t>
        </is>
      </c>
      <c r="C169" s="1209" t="inlineStr">
        <is>
          <t>Solution Architect</t>
        </is>
      </c>
      <c r="D169" s="1199" t="inlineStr">
        <is>
          <t>Mitesh Shah</t>
        </is>
      </c>
      <c r="E169" s="1209" t="inlineStr">
        <is>
          <t>Technology Manager, Digitial</t>
        </is>
      </c>
      <c r="F169" s="1210" t="inlineStr">
        <is>
          <t>Customer</t>
        </is>
      </c>
      <c r="G169" s="1199" t="inlineStr">
        <is>
          <t>Digital</t>
        </is>
      </c>
      <c r="H169" s="1199" t="inlineStr">
        <is>
          <t>Digital, Tech</t>
        </is>
      </c>
      <c r="I169" s="1199" t="inlineStr">
        <is>
          <t>Ampol Customer</t>
        </is>
      </c>
      <c r="J169" s="1209" t="inlineStr">
        <is>
          <t>Ampol Digital</t>
        </is>
      </c>
      <c r="K169" s="1209" t="inlineStr">
        <is>
          <t>Digital Operations</t>
        </is>
      </c>
      <c r="L169" s="1199" t="n"/>
      <c r="M169" s="1211" t="inlineStr">
        <is>
          <t>Australia</t>
        </is>
      </c>
      <c r="N169" s="1199" t="inlineStr">
        <is>
          <t>NA</t>
        </is>
      </c>
      <c r="O169" s="1199" t="n">
        <v>1</v>
      </c>
      <c r="P169" s="1199" t="n"/>
      <c r="Q169" s="1199" t="inlineStr">
        <is>
          <t>V</t>
        </is>
      </c>
      <c r="R169" s="1199" t="n"/>
      <c r="S169" s="1199" t="n"/>
      <c r="T169" s="1212" t="n">
        <v>203550</v>
      </c>
      <c r="U169" s="1213" t="n">
        <v>203550</v>
      </c>
      <c r="V169" s="1214" t="n">
        <v>0.14</v>
      </c>
      <c r="W169" s="1215" t="n">
        <v>0.055</v>
      </c>
      <c r="X169" s="1215" t="n">
        <v>0.12</v>
      </c>
      <c r="Y169" s="1215" t="n"/>
      <c r="Z169" s="1215" t="n">
        <v>0.04</v>
      </c>
      <c r="AA169" s="1216">
        <f>IF(TRIM($B169)="","",IF(N($AU169)&gt;0,$AU169,IF(N($S169)&gt;0,$S169*Lists!$AG$15*(1+N($Z169)),N($U169)*(1+N($V169)+N($W169)+N($X169)+N($Z169))+N($Y169))))</f>
        <v>275810.25</v>
      </c>
      <c r="AB169" s="1217" t="n">
        <v>113616</v>
      </c>
      <c r="AC169" s="1217" t="n"/>
      <c r="AD169" s="1217" t="n"/>
      <c r="AE169" s="1217" t="n"/>
      <c r="AF169" s="1217" t="n"/>
      <c r="AG169" s="1217" t="n"/>
      <c r="AH169" s="1908" t="n"/>
      <c r="AJ169" s="865" t="str">
        <f>IF(TRIM($B169)="","",IF(IFERROR(INDEX(Lists!$AO$2:$AO$11,MATCH(ROW(),Lists!$AN$2:$AN$11,0)),"")&lt;&gt;"",IFERROR(INDEX(Lists!$AO$2:$AO$11,MATCH(ROW(),Lists!$AN$2:$AN$11,0)),""),IFERROR(INDEX(Lists!$U:$U,MATCH(TRIM($I169),Lists!$T:$T,0)),TRIM($I169))))</f>
        <v>Customer</v>
      </c>
      <c r="AK169" s="865" t="str">
        <f>IF(ISNUMBER(SEARCH("vacant",$B169)),"Vacant","Filled")</f>
        <v>Filled</v>
      </c>
      <c r="AL169" s="865" t="str">
        <f>IF($M169="NZ","NZ","AU")</f>
        <v>AU</v>
      </c>
      <c r="AM169" s="865">
        <f>COUNTIF($AJ$2:$AJ169,$AJ169)</f>
        <v>62</v>
      </c>
      <c r="AN169" s="865" t="str">
        <f>$AJ169&amp;"|"&amp;$AM169</f>
        <v>Customer|62</v>
      </c>
      <c r="AP169" s="865" t="str">
        <f>IF(TRIM($B169)="","",IF($AQ169=1,"Leadership",IFERROR(INDEX(Lists!$X:$X,MATCH(TRIM($K169),Lists!$W:$W,0)),IF(OR(TRIM($K169)="",LOWER(TRIM($K169))="na"),IF(TRIM($G169)="","Unassigned",TRIM($G169)),TRIM($K169)))))</f>
        <v>Digital Operations</v>
      </c>
      <c r="AQ169" s="865" t="b">
        <f>IF(TRIM($B169)="","",--OR(TRIM($K169)="Leadership",TRIM($J169)="Leadership"))</f>
        <v>0</v>
      </c>
      <c r="AR169" s="1136" t="str">
        <f>IF(TRIM($B169)="","",IF(IFERROR(INDEX(Lists!$AQ$2:$AQ$11,MATCH(ROW(),Lists!$AN$2:$AN$11,0)),"")&lt;&gt;"",IFERROR(INDEX(Lists!$AQ$2:$AQ$11,MATCH(ROW(),Lists!$AN$2:$AN$11,0)),""),IF(ISNUMBER(SEARCH("head of ",$C169)),"Head of Technology",IF(ISNUMBER(SEARCH("TDD BP",$C169)),"Business Partner",IF(OR(ISNUMBER(SEARCH("domain architect",$C169)),ISNUMBER(SEARCH("enterprise architect",$C169))),"Domain Architect",IF(ISNUMBER(SEARCH("delivery man",$C169)),"Delivery Manager",IF(OR(ISNUMBER(SEARCH("technology manager",$C169)),ISNUMBER(SEARCH("technology manger",$C169)),ISNUMBER(SEARCH("tech manager",$C169))),"Technology Manager","Squad")))))))</f>
        <v>Squad</v>
      </c>
      <c r="AS169" s="1136" t="str">
        <f>IF(TRIM($B169)="","",IFERROR(INDEX(Lists!$AA:$AA,MATCH($AP169,Lists!$Z:$Z,0)),$AP169))</f>
        <v>Digital Operations</v>
      </c>
      <c r="AT169" s="1136" t="str">
        <f>IF(TRIM($B169)="","",IF(IFERROR(INDEX(Lists!$AP$2:$AP$11,MATCH(ROW(),Lists!$AN$2:$AN$11,0)),"")&lt;&gt;"",IFERROR(INDEX(Lists!$AP$2:$AP$11,MATCH(ROW(),Lists!$AN$2:$AN$11,0)),""),IF(OR(LEFT($AJ169,3)="COE",$AJ169="EGI"),$AP169,IF($AR169&lt;&gt;"Squad",$AR169,$AP169))))</f>
        <v>Digital Operations</v>
      </c>
    </row>
    <row r="170" ht="18" customHeight="1" s="866">
      <c r="A170" s="1208" t="n">
        <v>117595</v>
      </c>
      <c r="B170" s="1209" t="inlineStr">
        <is>
          <t>Sri Balan Raj</t>
        </is>
      </c>
      <c r="C170" s="1209" t="inlineStr">
        <is>
          <t>Business Analyst</t>
        </is>
      </c>
      <c r="D170" s="1209" t="inlineStr">
        <is>
          <t>Vacant</t>
        </is>
      </c>
      <c r="E170" s="1209" t="inlineStr">
        <is>
          <t>Delivery Manager, Digital</t>
        </is>
      </c>
      <c r="F170" s="1210" t="inlineStr">
        <is>
          <t>Customer</t>
        </is>
      </c>
      <c r="G170" s="1199" t="inlineStr">
        <is>
          <t>Digital</t>
        </is>
      </c>
      <c r="H170" s="1199" t="inlineStr">
        <is>
          <t>Digital, Delivery</t>
        </is>
      </c>
      <c r="I170" s="1199" t="inlineStr">
        <is>
          <t>Ampol Customer</t>
        </is>
      </c>
      <c r="J170" s="1209" t="inlineStr">
        <is>
          <t>EGI</t>
        </is>
      </c>
      <c r="K170" s="1209" t="inlineStr">
        <is>
          <t>EGI Customer</t>
        </is>
      </c>
      <c r="L170" s="1199" t="n"/>
      <c r="M170" s="1211" t="inlineStr">
        <is>
          <t>Australia</t>
        </is>
      </c>
      <c r="N170" s="1199" t="inlineStr">
        <is>
          <t>CIB</t>
        </is>
      </c>
      <c r="O170" s="1199" t="n">
        <v>1</v>
      </c>
      <c r="P170" s="1199" t="n"/>
      <c r="Q170" s="1209" t="inlineStr">
        <is>
          <t>v</t>
        </is>
      </c>
      <c r="R170" s="1199" t="n"/>
      <c r="S170" s="1199" t="n"/>
      <c r="T170" s="1212" t="n">
        <v>203550</v>
      </c>
      <c r="U170" s="1213" t="n">
        <v>203550</v>
      </c>
      <c r="V170" s="1224" t="n">
        <v>0.14</v>
      </c>
      <c r="W170" s="1199" t="n">
        <v>0.055</v>
      </c>
      <c r="X170" s="1214" t="n">
        <v>0.12</v>
      </c>
      <c r="Y170" s="1910" t="n"/>
      <c r="Z170" s="1214" t="n">
        <v>0.04</v>
      </c>
      <c r="AA170" s="1216">
        <f>IF(TRIM($B170)="","",IF(N($AU170)&gt;0,$AU170,IF(N($S170)&gt;0,$S170*Lists!$AG$15*(1+N($Z170)),N($U170)*(1+N($V170)+N($W170)+N($X170)+N($Z170))+N($Y170))))</f>
        <v>275810.25</v>
      </c>
      <c r="AB170" s="1217" t="n"/>
      <c r="AC170" s="1217" t="n"/>
      <c r="AD170" s="1217" t="n"/>
      <c r="AE170" s="1217" t="n"/>
      <c r="AF170" s="1217" t="n"/>
      <c r="AG170" s="1217" t="n"/>
      <c r="AH170" s="1908" t="n"/>
      <c r="AJ170" s="865" t="str">
        <f>IF(TRIM($B170)="","",IF(IFERROR(INDEX(Lists!$AO$2:$AO$11,MATCH(ROW(),Lists!$AN$2:$AN$11,0)),"")&lt;&gt;"",IFERROR(INDEX(Lists!$AO$2:$AO$11,MATCH(ROW(),Lists!$AN$2:$AN$11,0)),""),IFERROR(INDEX(Lists!$U:$U,MATCH(TRIM($I170),Lists!$T:$T,0)),TRIM($I170))))</f>
        <v>Customer</v>
      </c>
      <c r="AK170" s="865" t="str">
        <f>IF(ISNUMBER(SEARCH("vacant",$B170)),"Vacant","Filled")</f>
        <v>Filled</v>
      </c>
      <c r="AL170" s="865" t="str">
        <f>IF($M170="NZ","NZ","AU")</f>
        <v>AU</v>
      </c>
      <c r="AM170" s="865">
        <f>COUNTIF($AJ$2:$AJ170,$AJ170)</f>
        <v>63</v>
      </c>
      <c r="AN170" s="865" t="str">
        <f>$AJ170&amp;"|"&amp;$AM170</f>
        <v>Customer|63</v>
      </c>
      <c r="AP170" s="865" t="str">
        <f>IF(TRIM($B170)="","",IF($AQ170=1,"Leadership",IFERROR(INDEX(Lists!$X:$X,MATCH(TRIM($K170),Lists!$W:$W,0)),IF(OR(TRIM($K170)="",LOWER(TRIM($K170))="na"),IF(TRIM($G170)="","Unassigned",TRIM($G170)),TRIM($K170)))))</f>
        <v>EGI Customer</v>
      </c>
      <c r="AQ170" s="865" t="b">
        <f>IF(TRIM($B170)="","",--OR(TRIM($K170)="Leadership",TRIM($J170)="Leadership"))</f>
        <v>0</v>
      </c>
      <c r="AR170" s="1136" t="str">
        <f>IF(TRIM($B170)="","",IF(IFERROR(INDEX(Lists!$AQ$2:$AQ$11,MATCH(ROW(),Lists!$AN$2:$AN$11,0)),"")&lt;&gt;"",IFERROR(INDEX(Lists!$AQ$2:$AQ$11,MATCH(ROW(),Lists!$AN$2:$AN$11,0)),""),IF(ISNUMBER(SEARCH("head of ",$C170)),"Head of Technology",IF(ISNUMBER(SEARCH("TDD BP",$C170)),"Business Partner",IF(OR(ISNUMBER(SEARCH("domain architect",$C170)),ISNUMBER(SEARCH("enterprise architect",$C170))),"Domain Architect",IF(ISNUMBER(SEARCH("delivery man",$C170)),"Delivery Manager",IF(OR(ISNUMBER(SEARCH("technology manager",$C170)),ISNUMBER(SEARCH("technology manger",$C170)),ISNUMBER(SEARCH("tech manager",$C170))),"Technology Manager","Squad")))))))</f>
        <v>Squad</v>
      </c>
      <c r="AS170" s="1136" t="str">
        <f>IF(TRIM($B170)="","",IFERROR(INDEX(Lists!$AA:$AA,MATCH($AP170,Lists!$Z:$Z,0)),$AP170))</f>
        <v>EGI Customer</v>
      </c>
      <c r="AT170" s="1136" t="str">
        <f>IF(TRIM($B170)="","",IF(IFERROR(INDEX(Lists!$AP$2:$AP$11,MATCH(ROW(),Lists!$AN$2:$AN$11,0)),"")&lt;&gt;"",IFERROR(INDEX(Lists!$AP$2:$AP$11,MATCH(ROW(),Lists!$AN$2:$AN$11,0)),""),IF(OR(LEFT($AJ170,3)="COE",$AJ170="EGI"),$AP170,IF($AR170&lt;&gt;"Squad",$AR170,$AP170))))</f>
        <v>EGI Customer</v>
      </c>
    </row>
    <row r="171" ht="18" customHeight="1" s="866">
      <c r="A171" s="1208" t="inlineStr">
        <is>
          <t>C</t>
        </is>
      </c>
      <c r="B171" s="1209" t="inlineStr">
        <is>
          <t>Swapnil Pithwa</t>
        </is>
      </c>
      <c r="C171" s="1209" t="inlineStr">
        <is>
          <t>Engineer - BE</t>
        </is>
      </c>
      <c r="D171" s="1209" t="inlineStr">
        <is>
          <t>Vacant</t>
        </is>
      </c>
      <c r="E171" s="1209" t="inlineStr">
        <is>
          <t>Technology Manager, Digital Engineering</t>
        </is>
      </c>
      <c r="F171" s="1210" t="inlineStr">
        <is>
          <t>Customer</t>
        </is>
      </c>
      <c r="G171" s="1199" t="inlineStr">
        <is>
          <t>Digital</t>
        </is>
      </c>
      <c r="H171" s="1199" t="inlineStr">
        <is>
          <t>Tech, Digital Engineering</t>
        </is>
      </c>
      <c r="I171" s="1199" t="inlineStr">
        <is>
          <t>Ampol Customer</t>
        </is>
      </c>
      <c r="J171" s="1209" t="inlineStr">
        <is>
          <t>EGI</t>
        </is>
      </c>
      <c r="K171" s="1209" t="inlineStr">
        <is>
          <t>EGI Customer</t>
        </is>
      </c>
      <c r="L171" s="1199" t="n"/>
      <c r="M171" s="1211" t="inlineStr">
        <is>
          <t>Australia</t>
        </is>
      </c>
      <c r="N171" s="1199" t="inlineStr">
        <is>
          <t>NA</t>
        </is>
      </c>
      <c r="O171" s="1209" t="n">
        <v>1</v>
      </c>
      <c r="P171" s="1199" t="n"/>
      <c r="Q171" s="1199" t="inlineStr">
        <is>
          <t>v</t>
        </is>
      </c>
      <c r="R171" s="1199" t="n"/>
      <c r="S171" s="1199" t="n"/>
      <c r="T171" s="1212" t="n">
        <v>203550</v>
      </c>
      <c r="U171" s="1213" t="n">
        <v>203550</v>
      </c>
      <c r="V171" s="1214" t="n">
        <v>0.14</v>
      </c>
      <c r="W171" s="1215" t="n">
        <v>0.055</v>
      </c>
      <c r="X171" s="1215" t="n">
        <v>0.12</v>
      </c>
      <c r="Y171" s="1215" t="n"/>
      <c r="Z171" s="1215" t="n">
        <v>0.04</v>
      </c>
      <c r="AA171" s="1216">
        <f>IF(TRIM($B171)="","",IF(N($AU171)&gt;0,$AU171,IF(N($S171)&gt;0,$S171*Lists!$AG$15*(1+N($Z171)),N($U171)*(1+N($V171)+N($W171)+N($X171)+N($Z171))+N($Y171))))</f>
        <v>275810.25</v>
      </c>
      <c r="AB171" s="1217" t="n"/>
      <c r="AC171" s="1217" t="n"/>
      <c r="AD171" s="1217" t="n"/>
      <c r="AE171" s="1217" t="n"/>
      <c r="AF171" s="1217" t="n"/>
      <c r="AG171" s="1217" t="n"/>
      <c r="AH171" s="1908" t="n"/>
      <c r="AJ171" s="865" t="str">
        <f>IF(TRIM($B171)="","",IF(IFERROR(INDEX(Lists!$AO$2:$AO$11,MATCH(ROW(),Lists!$AN$2:$AN$11,0)),"")&lt;&gt;"",IFERROR(INDEX(Lists!$AO$2:$AO$11,MATCH(ROW(),Lists!$AN$2:$AN$11,0)),""),IFERROR(INDEX(Lists!$U:$U,MATCH(TRIM($I171),Lists!$T:$T,0)),TRIM($I171))))</f>
        <v>Customer</v>
      </c>
      <c r="AK171" s="865" t="str">
        <f>IF(ISNUMBER(SEARCH("vacant",$B171)),"Vacant","Filled")</f>
        <v>Filled</v>
      </c>
      <c r="AL171" s="865" t="str">
        <f>IF($M171="NZ","NZ","AU")</f>
        <v>AU</v>
      </c>
      <c r="AM171" s="865">
        <f>COUNTIF($AJ$2:$AJ171,$AJ171)</f>
        <v>64</v>
      </c>
      <c r="AN171" s="865" t="str">
        <f>$AJ171&amp;"|"&amp;$AM171</f>
        <v>Customer|64</v>
      </c>
      <c r="AP171" s="865" t="str">
        <f>IF(TRIM($B171)="","",IF($AQ171=1,"Leadership",IFERROR(INDEX(Lists!$X:$X,MATCH(TRIM($K171),Lists!$W:$W,0)),IF(OR(TRIM($K171)="",LOWER(TRIM($K171))="na"),IF(TRIM($G171)="","Unassigned",TRIM($G171)),TRIM($K171)))))</f>
        <v>EGI Customer</v>
      </c>
      <c r="AQ171" s="865" t="b">
        <f>IF(TRIM($B171)="","",--OR(TRIM($K171)="Leadership",TRIM($J171)="Leadership"))</f>
        <v>0</v>
      </c>
      <c r="AR171" s="1136" t="str">
        <f>IF(TRIM($B171)="","",IF(IFERROR(INDEX(Lists!$AQ$2:$AQ$11,MATCH(ROW(),Lists!$AN$2:$AN$11,0)),"")&lt;&gt;"",IFERROR(INDEX(Lists!$AQ$2:$AQ$11,MATCH(ROW(),Lists!$AN$2:$AN$11,0)),""),IF(ISNUMBER(SEARCH("head of ",$C171)),"Head of Technology",IF(ISNUMBER(SEARCH("TDD BP",$C171)),"Business Partner",IF(OR(ISNUMBER(SEARCH("domain architect",$C171)),ISNUMBER(SEARCH("enterprise architect",$C171))),"Domain Architect",IF(ISNUMBER(SEARCH("delivery man",$C171)),"Delivery Manager",IF(OR(ISNUMBER(SEARCH("technology manager",$C171)),ISNUMBER(SEARCH("technology manger",$C171)),ISNUMBER(SEARCH("tech manager",$C171))),"Technology Manager","Squad")))))))</f>
        <v>Squad</v>
      </c>
      <c r="AS171" s="1136" t="str">
        <f>IF(TRIM($B171)="","",IFERROR(INDEX(Lists!$AA:$AA,MATCH($AP171,Lists!$Z:$Z,0)),$AP171))</f>
        <v>EGI Customer</v>
      </c>
      <c r="AT171" s="1136" t="str">
        <f>IF(TRIM($B171)="","",IF(IFERROR(INDEX(Lists!$AP$2:$AP$11,MATCH(ROW(),Lists!$AN$2:$AN$11,0)),"")&lt;&gt;"",IFERROR(INDEX(Lists!$AP$2:$AP$11,MATCH(ROW(),Lists!$AN$2:$AN$11,0)),""),IF(OR(LEFT($AJ171,3)="COE",$AJ171="EGI"),$AP171,IF($AR171&lt;&gt;"Squad",$AR171,$AP171))))</f>
        <v>EGI Customer</v>
      </c>
    </row>
    <row r="172" ht="18" customHeight="1" s="866">
      <c r="A172" s="1208" t="n">
        <v>99999101757</v>
      </c>
      <c r="B172" s="1209" t="inlineStr">
        <is>
          <t>Tim Corin</t>
        </is>
      </c>
      <c r="C172" s="1209" t="inlineStr">
        <is>
          <t>Experience Designer</t>
        </is>
      </c>
      <c r="D172" s="1209" t="inlineStr">
        <is>
          <t>Byron Thornhill</t>
        </is>
      </c>
      <c r="E172" s="1209" t="inlineStr">
        <is>
          <t>Design Manager</t>
        </is>
      </c>
      <c r="F172" s="1210" t="inlineStr">
        <is>
          <t>Customer</t>
        </is>
      </c>
      <c r="G172" s="1199" t="inlineStr">
        <is>
          <t>Digital</t>
        </is>
      </c>
      <c r="H172" s="1209" t="inlineStr">
        <is>
          <t>Digital, Design</t>
        </is>
      </c>
      <c r="I172" s="1199" t="inlineStr">
        <is>
          <t>Ampol Customer</t>
        </is>
      </c>
      <c r="J172" s="1209" t="inlineStr">
        <is>
          <t>Z Energy (Digitial)</t>
        </is>
      </c>
      <c r="K172" s="1209" t="inlineStr">
        <is>
          <t>Z App and Web</t>
        </is>
      </c>
      <c r="L172" s="1199" t="n"/>
      <c r="M172" s="1211" t="inlineStr">
        <is>
          <t>NZ</t>
        </is>
      </c>
      <c r="N172" s="1199" t="inlineStr">
        <is>
          <t>CIC</t>
        </is>
      </c>
      <c r="O172" s="1199" t="n">
        <v>1</v>
      </c>
      <c r="P172" s="1199" t="n"/>
      <c r="Q172" s="1199" t="inlineStr">
        <is>
          <t>V</t>
        </is>
      </c>
      <c r="R172" s="1199" t="n"/>
      <c r="S172" s="1199" t="n"/>
      <c r="T172" s="1212" t="n">
        <v>237000</v>
      </c>
      <c r="U172" s="1213" t="n">
        <v>237000</v>
      </c>
      <c r="V172" s="1214" t="n">
        <v>0.14</v>
      </c>
      <c r="W172" s="1215" t="n">
        <v>0.055</v>
      </c>
      <c r="X172" s="1215" t="n">
        <v>0.12</v>
      </c>
      <c r="Y172" s="1215" t="n"/>
      <c r="Z172" s="1215" t="n">
        <v>0.04</v>
      </c>
      <c r="AA172" s="1216">
        <f>IF(TRIM($B172)="","",IF(N($AU172)&gt;0,$AU172,IF(N($S172)&gt;0,$S172*Lists!$AG$15*(1+N($Z172)),N($U172)*(1+N($V172)+N($W172)+N($X172)+N($Z172))+N($Y172))))</f>
        <v>275810.25</v>
      </c>
      <c r="AB172" s="1217" t="n"/>
      <c r="AC172" s="1217" t="n"/>
      <c r="AD172" s="1217" t="n"/>
      <c r="AE172" s="1217" t="n"/>
      <c r="AF172" s="1217" t="n"/>
      <c r="AG172" s="1217" t="n"/>
      <c r="AH172" s="1908" t="n"/>
      <c r="AJ172" s="865" t="str">
        <f>IF(TRIM($B172)="","",IF(IFERROR(INDEX(Lists!$AO$2:$AO$11,MATCH(ROW(),Lists!$AN$2:$AN$11,0)),"")&lt;&gt;"",IFERROR(INDEX(Lists!$AO$2:$AO$11,MATCH(ROW(),Lists!$AN$2:$AN$11,0)),""),IFERROR(INDEX(Lists!$U:$U,MATCH(TRIM($I172),Lists!$T:$T,0)),TRIM($I172))))</f>
        <v>Customer</v>
      </c>
      <c r="AK172" s="865" t="str">
        <f>IF(ISNUMBER(SEARCH("vacant",$B172)),"Vacant","Filled")</f>
        <v>Filled</v>
      </c>
      <c r="AL172" s="865" t="str">
        <f>IF($M172="NZ","NZ","AU")</f>
        <v>NZ</v>
      </c>
      <c r="AM172" s="865">
        <f>COUNTIF($AJ$2:$AJ172,$AJ172)</f>
        <v>65</v>
      </c>
      <c r="AN172" s="865" t="str">
        <f>$AJ172&amp;"|"&amp;$AM172</f>
        <v>Customer|65</v>
      </c>
      <c r="AP172" s="865" t="str">
        <f>IF(TRIM($B172)="","",IF($AQ172=1,"Leadership",IFERROR(INDEX(Lists!$X:$X,MATCH(TRIM($K172),Lists!$W:$W,0)),IF(OR(TRIM($K172)="",LOWER(TRIM($K172))="na"),IF(TRIM($G172)="","Unassigned",TRIM($G172)),TRIM($K172)))))</f>
        <v>Z App and Web</v>
      </c>
      <c r="AQ172" s="865" t="b">
        <f>IF(TRIM($B172)="","",--OR(TRIM($K172)="Leadership",TRIM($J172)="Leadership"))</f>
        <v>0</v>
      </c>
      <c r="AR172" s="1136" t="str">
        <f>IF(TRIM($B172)="","",IF(IFERROR(INDEX(Lists!$AQ$2:$AQ$11,MATCH(ROW(),Lists!$AN$2:$AN$11,0)),"")&lt;&gt;"",IFERROR(INDEX(Lists!$AQ$2:$AQ$11,MATCH(ROW(),Lists!$AN$2:$AN$11,0)),""),IF(ISNUMBER(SEARCH("head of ",$C172)),"Head of Technology",IF(ISNUMBER(SEARCH("TDD BP",$C172)),"Business Partner",IF(OR(ISNUMBER(SEARCH("domain architect",$C172)),ISNUMBER(SEARCH("enterprise architect",$C172))),"Domain Architect",IF(ISNUMBER(SEARCH("delivery man",$C172)),"Delivery Manager",IF(OR(ISNUMBER(SEARCH("technology manager",$C172)),ISNUMBER(SEARCH("technology manger",$C172)),ISNUMBER(SEARCH("tech manager",$C172))),"Technology Manager","Squad")))))))</f>
        <v>Squad</v>
      </c>
      <c r="AS172" s="1136" t="str">
        <f>IF(TRIM($B172)="","",IFERROR(INDEX(Lists!$AA:$AA,MATCH($AP172,Lists!$Z:$Z,0)),$AP172))</f>
        <v>Z App and Web</v>
      </c>
      <c r="AT172" s="1136" t="str">
        <f>IF(TRIM($B172)="","",IF(IFERROR(INDEX(Lists!$AP$2:$AP$11,MATCH(ROW(),Lists!$AN$2:$AN$11,0)),"")&lt;&gt;"",IFERROR(INDEX(Lists!$AP$2:$AP$11,MATCH(ROW(),Lists!$AN$2:$AN$11,0)),""),IF(OR(LEFT($AJ172,3)="COE",$AJ172="EGI"),$AP172,IF($AR172&lt;&gt;"Squad",$AR172,$AP172))))</f>
        <v>Z App and Web</v>
      </c>
      <c r="AU172" s="1794" t="n">
        <v>275810.25</v>
      </c>
      <c r="AV172" s="1136" t="inlineStr">
        <is>
          <t>Banded rate agreed for this role; its own components give $321,135. Clear AU172 to price it from the components.</t>
        </is>
      </c>
    </row>
    <row r="173" ht="18" customHeight="1" s="866">
      <c r="A173" s="1208" t="n">
        <v>115964</v>
      </c>
      <c r="B173" s="1156" t="inlineStr">
        <is>
          <t>Toby Clark</t>
        </is>
      </c>
      <c r="C173" s="1199" t="inlineStr">
        <is>
          <t>Engineer - Mobile (iOS)</t>
        </is>
      </c>
      <c r="D173" s="1199" t="inlineStr">
        <is>
          <t>Mitesh Shah</t>
        </is>
      </c>
      <c r="E173" s="1199" t="inlineStr">
        <is>
          <t>Technology Manager, Digitial</t>
        </is>
      </c>
      <c r="F173" s="1210" t="inlineStr">
        <is>
          <t>Customer</t>
        </is>
      </c>
      <c r="G173" s="1199" t="inlineStr">
        <is>
          <t>Digital</t>
        </is>
      </c>
      <c r="H173" s="1209" t="inlineStr">
        <is>
          <t>Digital, Tech</t>
        </is>
      </c>
      <c r="I173" s="1199" t="inlineStr">
        <is>
          <t>Ampol Customer</t>
        </is>
      </c>
      <c r="J173" s="1199" t="inlineStr">
        <is>
          <t>Ampol Digital</t>
        </is>
      </c>
      <c r="K173" s="1199" t="inlineStr">
        <is>
          <t>Ampol App</t>
        </is>
      </c>
      <c r="L173" s="1199" t="n"/>
      <c r="M173" s="1211" t="inlineStr">
        <is>
          <t>Australia</t>
        </is>
      </c>
      <c r="N173" s="1199" t="inlineStr">
        <is>
          <t>CIB</t>
        </is>
      </c>
      <c r="O173" s="1199" t="n">
        <v>1</v>
      </c>
      <c r="P173" s="1199" t="n"/>
      <c r="Q173" s="1209" t="inlineStr">
        <is>
          <t>v</t>
        </is>
      </c>
      <c r="R173" s="1199" t="n"/>
      <c r="S173" s="1199" t="n"/>
      <c r="T173" s="1212" t="n">
        <v>203550</v>
      </c>
      <c r="U173" s="1213" t="n">
        <v>203550</v>
      </c>
      <c r="V173" s="1224" t="n">
        <v>0.14</v>
      </c>
      <c r="W173" s="1209" t="n">
        <v>0.055</v>
      </c>
      <c r="X173" s="1214" t="n">
        <v>0.12</v>
      </c>
      <c r="Y173" s="1910" t="n"/>
      <c r="Z173" s="1214" t="n">
        <v>0.04</v>
      </c>
      <c r="AA173" s="1216">
        <f>IF(TRIM($B173)="","",IF(N($AU173)&gt;0,$AU173,IF(N($S173)&gt;0,$S173*Lists!$AG$15*(1+N($Z173)),N($U173)*(1+N($V173)+N($W173)+N($X173)+N($Z173))+N($Y173))))</f>
        <v>275810.25</v>
      </c>
      <c r="AB173" s="1217" t="n"/>
      <c r="AC173" s="1217" t="n"/>
      <c r="AD173" s="1217" t="n"/>
      <c r="AE173" s="1217" t="n"/>
      <c r="AF173" s="1217" t="n"/>
      <c r="AG173" s="1217" t="n"/>
      <c r="AJ173" s="865" t="str">
        <f>IF(TRIM($B173)="","",IF(IFERROR(INDEX(Lists!$AO$2:$AO$11,MATCH(ROW(),Lists!$AN$2:$AN$11,0)),"")&lt;&gt;"",IFERROR(INDEX(Lists!$AO$2:$AO$11,MATCH(ROW(),Lists!$AN$2:$AN$11,0)),""),IFERROR(INDEX(Lists!$U:$U,MATCH(TRIM($I173),Lists!$T:$T,0)),TRIM($I173))))</f>
        <v>Customer</v>
      </c>
      <c r="AK173" s="865" t="str">
        <f>IF(ISNUMBER(SEARCH("vacant",$B173)),"Vacant","Filled")</f>
        <v>Filled</v>
      </c>
      <c r="AL173" s="865" t="str">
        <f>IF($M173="NZ","NZ","AU")</f>
        <v>AU</v>
      </c>
      <c r="AM173" s="865">
        <f>COUNTIF($AJ$2:$AJ173,$AJ173)</f>
        <v>66</v>
      </c>
      <c r="AN173" s="865" t="str">
        <f>$AJ173&amp;"|"&amp;$AM173</f>
        <v>Customer|66</v>
      </c>
      <c r="AP173" s="865" t="str">
        <f>IF(TRIM($B173)="","",IF($AQ173=1,"Leadership",IFERROR(INDEX(Lists!$X:$X,MATCH(TRIM($K173),Lists!$W:$W,0)),IF(OR(TRIM($K173)="",LOWER(TRIM($K173))="na"),IF(TRIM($G173)="","Unassigned",TRIM($G173)),TRIM($K173)))))</f>
        <v>Ampol App</v>
      </c>
      <c r="AQ173" s="865" t="b">
        <f>IF(TRIM($B173)="","",--OR(TRIM($K173)="Leadership",TRIM($J173)="Leadership"))</f>
        <v>0</v>
      </c>
      <c r="AR173" s="1136" t="str">
        <f>IF(TRIM($B173)="","",IF(IFERROR(INDEX(Lists!$AQ$2:$AQ$11,MATCH(ROW(),Lists!$AN$2:$AN$11,0)),"")&lt;&gt;"",IFERROR(INDEX(Lists!$AQ$2:$AQ$11,MATCH(ROW(),Lists!$AN$2:$AN$11,0)),""),IF(ISNUMBER(SEARCH("head of ",$C173)),"Head of Technology",IF(ISNUMBER(SEARCH("TDD BP",$C173)),"Business Partner",IF(OR(ISNUMBER(SEARCH("domain architect",$C173)),ISNUMBER(SEARCH("enterprise architect",$C173))),"Domain Architect",IF(ISNUMBER(SEARCH("delivery man",$C173)),"Delivery Manager",IF(OR(ISNUMBER(SEARCH("technology manager",$C173)),ISNUMBER(SEARCH("technology manger",$C173)),ISNUMBER(SEARCH("tech manager",$C173))),"Technology Manager","Squad")))))))</f>
        <v>Squad</v>
      </c>
      <c r="AS173" s="1136" t="str">
        <f>IF(TRIM($B173)="","",IFERROR(INDEX(Lists!$AA:$AA,MATCH($AP173,Lists!$Z:$Z,0)),$AP173))</f>
        <v>Ampol App</v>
      </c>
      <c r="AT173" s="1136" t="str">
        <f>IF(TRIM($B173)="","",IF(IFERROR(INDEX(Lists!$AP$2:$AP$11,MATCH(ROW(),Lists!$AN$2:$AN$11,0)),"")&lt;&gt;"",IFERROR(INDEX(Lists!$AP$2:$AP$11,MATCH(ROW(),Lists!$AN$2:$AN$11,0)),""),IF(OR(LEFT($AJ173,3)="COE",$AJ173="EGI"),$AP173,IF($AR173&lt;&gt;"Squad",$AR173,$AP173))))</f>
        <v>Ampol App</v>
      </c>
    </row>
    <row r="174" ht="18" customHeight="1" s="866">
      <c r="A174" s="1208" t="inlineStr">
        <is>
          <t>V</t>
        </is>
      </c>
      <c r="B174" s="1156" t="inlineStr">
        <is>
          <t>Vacant</t>
        </is>
      </c>
      <c r="C174" s="1199" t="inlineStr">
        <is>
          <t>AI Engineer - Front End</t>
        </is>
      </c>
      <c r="D174" s="1199" t="inlineStr">
        <is>
          <t>Vacant</t>
        </is>
      </c>
      <c r="E174" s="1199" t="inlineStr">
        <is>
          <t>AI Enablement Lead</t>
        </is>
      </c>
      <c r="F174" s="1210" t="inlineStr">
        <is>
          <t>Customer</t>
        </is>
      </c>
      <c r="G174" s="1199" t="inlineStr">
        <is>
          <t>Customer, AI Enablement</t>
        </is>
      </c>
      <c r="H174" s="1199" t="n"/>
      <c r="I174" s="1199" t="inlineStr">
        <is>
          <t>Ampol Customer</t>
        </is>
      </c>
      <c r="J174" s="1199" t="inlineStr">
        <is>
          <t>(All Customer)</t>
        </is>
      </c>
      <c r="K174" s="1209" t="inlineStr">
        <is>
          <t>Customer, AI</t>
        </is>
      </c>
      <c r="L174" s="1199" t="n"/>
      <c r="M174" s="1211" t="inlineStr">
        <is>
          <t>Australia</t>
        </is>
      </c>
      <c r="N174" s="1199" t="inlineStr">
        <is>
          <t>CIB</t>
        </is>
      </c>
      <c r="O174" s="1199" t="n">
        <v>1</v>
      </c>
      <c r="P174" s="1199" t="n"/>
      <c r="Q174" s="1209" t="inlineStr">
        <is>
          <t>Permanent - Full Time</t>
        </is>
      </c>
      <c r="R174" s="1199" t="n">
        <v>222</v>
      </c>
      <c r="S174" s="1199" t="n">
        <v>374</v>
      </c>
      <c r="T174" s="1212" t="n">
        <v>83028</v>
      </c>
      <c r="U174" s="1213" t="n"/>
      <c r="V174" s="1224" t="n"/>
      <c r="W174" s="1199" t="n"/>
      <c r="X174" s="1214" t="n"/>
      <c r="Y174" s="1910" t="n"/>
      <c r="Z174" s="1214" t="n">
        <v>0.03</v>
      </c>
      <c r="AA174" s="1216">
        <f>IF(TRIM($B174)="","",IF(N($AU174)&gt;0,$AU174,IF(N($S174)&gt;0,$S174*Lists!$AG$15*(1+N($Z174)),N($U174)*(1+N($V174)+N($W174)+N($X174)+N($Z174))+N($Y174))))</f>
        <v>85518.84</v>
      </c>
      <c r="AB174" s="1217" t="n"/>
      <c r="AC174" s="1217" t="n"/>
      <c r="AD174" s="1217" t="n"/>
      <c r="AE174" s="1217" t="n"/>
      <c r="AF174" s="1217" t="n"/>
      <c r="AG174" s="1217" t="n"/>
      <c r="AJ174" s="865" t="str">
        <f>IF(TRIM($B174)="","",IF(IFERROR(INDEX(Lists!$AO$2:$AO$11,MATCH(ROW(),Lists!$AN$2:$AN$11,0)),"")&lt;&gt;"",IFERROR(INDEX(Lists!$AO$2:$AO$11,MATCH(ROW(),Lists!$AN$2:$AN$11,0)),""),IFERROR(INDEX(Lists!$U:$U,MATCH(TRIM($I174),Lists!$T:$T,0)),TRIM($I174))))</f>
        <v>Customer</v>
      </c>
      <c r="AK174" s="865" t="str">
        <f>IF(ISNUMBER(SEARCH("vacant",$B174)),"Vacant","Filled")</f>
        <v>Vacant</v>
      </c>
      <c r="AL174" s="865" t="str">
        <f>IF($M174="NZ","NZ","AU")</f>
        <v>AU</v>
      </c>
      <c r="AM174" s="865">
        <f>COUNTIF($AJ$2:$AJ174,$AJ174)</f>
        <v>67</v>
      </c>
      <c r="AN174" s="865" t="str">
        <f>$AJ174&amp;"|"&amp;$AM174</f>
        <v>Customer|67</v>
      </c>
      <c r="AP174" s="865" t="str">
        <f>IF(TRIM($B174)="","",IF($AQ174=1,"Leadership",IFERROR(INDEX(Lists!$X:$X,MATCH(TRIM($K174),Lists!$W:$W,0)),IF(OR(TRIM($K174)="",LOWER(TRIM($K174))="na"),IF(TRIM($G174)="","Unassigned",TRIM($G174)),TRIM($K174)))))</f>
        <v>Customer AI</v>
      </c>
      <c r="AQ174" s="865" t="b">
        <f>IF(TRIM($B174)="","",--OR(TRIM($K174)="Leadership",TRIM($J174)="Leadership"))</f>
        <v>0</v>
      </c>
      <c r="AR174" s="1136" t="str">
        <f>IF(TRIM($B174)="","",IF(IFERROR(INDEX(Lists!$AQ$2:$AQ$11,MATCH(ROW(),Lists!$AN$2:$AN$11,0)),"")&lt;&gt;"",IFERROR(INDEX(Lists!$AQ$2:$AQ$11,MATCH(ROW(),Lists!$AN$2:$AN$11,0)),""),IF(ISNUMBER(SEARCH("head of ",$C174)),"Head of Technology",IF(ISNUMBER(SEARCH("TDD BP",$C174)),"Business Partner",IF(OR(ISNUMBER(SEARCH("domain architect",$C174)),ISNUMBER(SEARCH("enterprise architect",$C174))),"Domain Architect",IF(ISNUMBER(SEARCH("delivery man",$C174)),"Delivery Manager",IF(OR(ISNUMBER(SEARCH("technology manager",$C174)),ISNUMBER(SEARCH("technology manger",$C174)),ISNUMBER(SEARCH("tech manager",$C174))),"Technology Manager","Squad")))))))</f>
        <v>Squad</v>
      </c>
      <c r="AS174" s="1136" t="str">
        <f>IF(TRIM($B174)="","",IFERROR(INDEX(Lists!$AA:$AA,MATCH($AP174,Lists!$Z:$Z,0)),$AP174))</f>
        <v>Customer AI</v>
      </c>
      <c r="AT174" s="1136" t="str">
        <f>IF(TRIM($B174)="","",IF(IFERROR(INDEX(Lists!$AP$2:$AP$11,MATCH(ROW(),Lists!$AN$2:$AN$11,0)),"")&lt;&gt;"",IFERROR(INDEX(Lists!$AP$2:$AP$11,MATCH(ROW(),Lists!$AN$2:$AN$11,0)),""),IF(OR(LEFT($AJ174,3)="COE",$AJ174="EGI"),$AP174,IF($AR174&lt;&gt;"Squad",$AR174,$AP174))))</f>
        <v>Customer AI</v>
      </c>
    </row>
    <row r="175" ht="18" customHeight="1" s="866">
      <c r="A175" s="1208" t="inlineStr">
        <is>
          <t>V</t>
        </is>
      </c>
      <c r="B175" s="1156" t="inlineStr">
        <is>
          <t>Vacant</t>
        </is>
      </c>
      <c r="C175" s="1199" t="inlineStr">
        <is>
          <t xml:space="preserve">AI Engineer - Full Stack </t>
        </is>
      </c>
      <c r="D175" s="1199" t="inlineStr">
        <is>
          <t>Vacant</t>
        </is>
      </c>
      <c r="E175" s="1199" t="inlineStr">
        <is>
          <t>AI Enablement Lead</t>
        </is>
      </c>
      <c r="F175" s="1210" t="inlineStr">
        <is>
          <t>Customer</t>
        </is>
      </c>
      <c r="G175" s="1199" t="inlineStr">
        <is>
          <t>Customer, AI Enablement</t>
        </is>
      </c>
      <c r="H175" s="1209" t="n"/>
      <c r="I175" s="1199" t="inlineStr">
        <is>
          <t>Ampol Customer</t>
        </is>
      </c>
      <c r="J175" s="1199" t="inlineStr">
        <is>
          <t>(All Customer)</t>
        </is>
      </c>
      <c r="K175" s="1199" t="inlineStr">
        <is>
          <t>Customer, AI</t>
        </is>
      </c>
      <c r="L175" s="1199" t="n"/>
      <c r="M175" s="1211" t="inlineStr">
        <is>
          <t>Australia</t>
        </is>
      </c>
      <c r="N175" s="1199" t="inlineStr">
        <is>
          <t>CIB</t>
        </is>
      </c>
      <c r="O175" s="1199" t="n">
        <v>1</v>
      </c>
      <c r="P175" s="1199" t="n"/>
      <c r="Q175" s="1209" t="inlineStr">
        <is>
          <t>Permanent - Full Time</t>
        </is>
      </c>
      <c r="R175" s="1199" t="n">
        <v>222</v>
      </c>
      <c r="S175" s="1199" t="n">
        <v>374</v>
      </c>
      <c r="T175" s="1212" t="n">
        <v>83028</v>
      </c>
      <c r="U175" s="1213" t="n"/>
      <c r="V175" s="1224" t="n"/>
      <c r="W175" s="1209" t="n"/>
      <c r="X175" s="1214" t="n"/>
      <c r="Y175" s="1910" t="n"/>
      <c r="Z175" s="1214" t="n">
        <v>0.03</v>
      </c>
      <c r="AA175" s="1216">
        <f>IF(TRIM($B175)="","",IF(N($AU175)&gt;0,$AU175,IF(N($S175)&gt;0,$S175*Lists!$AG$15*(1+N($Z175)),N($U175)*(1+N($V175)+N($W175)+N($X175)+N($Z175))+N($Y175))))</f>
        <v>85518.84</v>
      </c>
      <c r="AB175" s="1217" t="n">
        <v>113618</v>
      </c>
      <c r="AC175" s="1217" t="n"/>
      <c r="AD175" s="1217" t="n"/>
      <c r="AE175" s="1217" t="n"/>
      <c r="AF175" s="1217" t="n"/>
      <c r="AG175" s="1217" t="n"/>
      <c r="AH175" s="1908" t="n"/>
      <c r="AJ175" s="865" t="str">
        <f>IF(TRIM($B175)="","",IF(IFERROR(INDEX(Lists!$AO$2:$AO$11,MATCH(ROW(),Lists!$AN$2:$AN$11,0)),"")&lt;&gt;"",IFERROR(INDEX(Lists!$AO$2:$AO$11,MATCH(ROW(),Lists!$AN$2:$AN$11,0)),""),IFERROR(INDEX(Lists!$U:$U,MATCH(TRIM($I175),Lists!$T:$T,0)),TRIM($I175))))</f>
        <v>Customer</v>
      </c>
      <c r="AK175" s="865" t="str">
        <f>IF(ISNUMBER(SEARCH("vacant",$B175)),"Vacant","Filled")</f>
        <v>Vacant</v>
      </c>
      <c r="AL175" s="865" t="str">
        <f>IF($M175="NZ","NZ","AU")</f>
        <v>AU</v>
      </c>
      <c r="AM175" s="865">
        <f>COUNTIF($AJ$2:$AJ175,$AJ175)</f>
        <v>68</v>
      </c>
      <c r="AN175" s="865" t="str">
        <f>$AJ175&amp;"|"&amp;$AM175</f>
        <v>Customer|68</v>
      </c>
      <c r="AP175" s="865" t="str">
        <f>IF(TRIM($B175)="","",IF($AQ175=1,"Leadership",IFERROR(INDEX(Lists!$X:$X,MATCH(TRIM($K175),Lists!$W:$W,0)),IF(OR(TRIM($K175)="",LOWER(TRIM($K175))="na"),IF(TRIM($G175)="","Unassigned",TRIM($G175)),TRIM($K175)))))</f>
        <v>Customer AI</v>
      </c>
      <c r="AQ175" s="865" t="b">
        <f>IF(TRIM($B175)="","",--OR(TRIM($K175)="Leadership",TRIM($J175)="Leadership"))</f>
        <v>0</v>
      </c>
      <c r="AR175" s="1136" t="str">
        <f>IF(TRIM($B175)="","",IF(IFERROR(INDEX(Lists!$AQ$2:$AQ$11,MATCH(ROW(),Lists!$AN$2:$AN$11,0)),"")&lt;&gt;"",IFERROR(INDEX(Lists!$AQ$2:$AQ$11,MATCH(ROW(),Lists!$AN$2:$AN$11,0)),""),IF(ISNUMBER(SEARCH("head of ",$C175)),"Head of Technology",IF(ISNUMBER(SEARCH("TDD BP",$C175)),"Business Partner",IF(OR(ISNUMBER(SEARCH("domain architect",$C175)),ISNUMBER(SEARCH("enterprise architect",$C175))),"Domain Architect",IF(ISNUMBER(SEARCH("delivery man",$C175)),"Delivery Manager",IF(OR(ISNUMBER(SEARCH("technology manager",$C175)),ISNUMBER(SEARCH("technology manger",$C175)),ISNUMBER(SEARCH("tech manager",$C175))),"Technology Manager","Squad")))))))</f>
        <v>Squad</v>
      </c>
      <c r="AS175" s="1136" t="str">
        <f>IF(TRIM($B175)="","",IFERROR(INDEX(Lists!$AA:$AA,MATCH($AP175,Lists!$Z:$Z,0)),$AP175))</f>
        <v>Customer AI</v>
      </c>
      <c r="AT175" s="1136" t="str">
        <f>IF(TRIM($B175)="","",IF(IFERROR(INDEX(Lists!$AP$2:$AP$11,MATCH(ROW(),Lists!$AN$2:$AN$11,0)),"")&lt;&gt;"",IFERROR(INDEX(Lists!$AP$2:$AP$11,MATCH(ROW(),Lists!$AN$2:$AN$11,0)),""),IF(OR(LEFT($AJ175,3)="COE",$AJ175="EGI"),$AP175,IF($AR175&lt;&gt;"Squad",$AR175,$AP175))))</f>
        <v>Customer AI</v>
      </c>
    </row>
    <row r="176" ht="18" customHeight="1" s="866">
      <c r="A176" s="1208" t="inlineStr">
        <is>
          <t>V</t>
        </is>
      </c>
      <c r="B176" s="1156" t="inlineStr">
        <is>
          <t>Vacant</t>
        </is>
      </c>
      <c r="C176" s="1199" t="inlineStr">
        <is>
          <t>Technology Manager, Engineering</t>
        </is>
      </c>
      <c r="D176" s="1199" t="inlineStr">
        <is>
          <t>Shona Paul</t>
        </is>
      </c>
      <c r="E176" s="1199" t="inlineStr">
        <is>
          <t>Head of Technology, Digital</t>
        </is>
      </c>
      <c r="F176" s="1210" t="inlineStr">
        <is>
          <t>Customer</t>
        </is>
      </c>
      <c r="G176" s="1199" t="inlineStr">
        <is>
          <t>Digital</t>
        </is>
      </c>
      <c r="H176" s="1199" t="inlineStr">
        <is>
          <t>Tech, Digital Engineering</t>
        </is>
      </c>
      <c r="I176" s="1199" t="inlineStr">
        <is>
          <t>Ampol Customer</t>
        </is>
      </c>
      <c r="J176" s="1199" t="inlineStr">
        <is>
          <t>Ampol Digital</t>
        </is>
      </c>
      <c r="K176" s="1199" t="inlineStr">
        <is>
          <t>Leadership</t>
        </is>
      </c>
      <c r="L176" s="1199" t="n"/>
      <c r="M176" s="1211" t="inlineStr">
        <is>
          <t>Australia</t>
        </is>
      </c>
      <c r="N176" s="1199" t="inlineStr">
        <is>
          <t>CSB</t>
        </is>
      </c>
      <c r="O176" s="1199" t="n">
        <v>1</v>
      </c>
      <c r="P176" s="1199" t="n"/>
      <c r="Q176" s="1209" t="inlineStr">
        <is>
          <t>Permanent - Full Time</t>
        </is>
      </c>
      <c r="R176" s="1199" t="n"/>
      <c r="S176" s="1199" t="n"/>
      <c r="T176" s="1212" t="n">
        <v>162180</v>
      </c>
      <c r="U176" s="1213" t="n">
        <v>149205.6</v>
      </c>
      <c r="V176" s="1224" t="n">
        <v>0.15</v>
      </c>
      <c r="W176" s="1209" t="n"/>
      <c r="X176" s="1214" t="n">
        <v>0.05</v>
      </c>
      <c r="Y176" s="1910" t="n">
        <v>2910</v>
      </c>
      <c r="Z176" s="1214" t="n">
        <v>0.03</v>
      </c>
      <c r="AA176" s="1216">
        <f>IF(TRIM($B176)="","",IF(N($AU176)&gt;0,$AU176,IF(N($S176)&gt;0,$S176*Lists!$AG$15*(1+N($Z176)),N($U176)*(1+N($V176)+N($W176)+N($X176)+N($Z176))+N($Y176))))</f>
        <v>186432.888</v>
      </c>
      <c r="AB176" s="1217" t="n">
        <v>117426</v>
      </c>
      <c r="AC176" s="1217" t="n"/>
      <c r="AD176" s="1217" t="n"/>
      <c r="AE176" s="1217" t="n"/>
      <c r="AF176" s="1217" t="n"/>
      <c r="AG176" s="1217" t="n"/>
      <c r="AJ176" s="865" t="str">
        <f>IF(TRIM($B176)="","",IF(IFERROR(INDEX(Lists!$AO$2:$AO$11,MATCH(ROW(),Lists!$AN$2:$AN$11,0)),"")&lt;&gt;"",IFERROR(INDEX(Lists!$AO$2:$AO$11,MATCH(ROW(),Lists!$AN$2:$AN$11,0)),""),IFERROR(INDEX(Lists!$U:$U,MATCH(TRIM($I176),Lists!$T:$T,0)),TRIM($I176))))</f>
        <v>Customer</v>
      </c>
      <c r="AK176" s="865" t="str">
        <f>IF(ISNUMBER(SEARCH("vacant",$B176)),"Vacant","Filled")</f>
        <v>Vacant</v>
      </c>
      <c r="AL176" s="865" t="str">
        <f>IF($M176="NZ","NZ","AU")</f>
        <v>AU</v>
      </c>
      <c r="AM176" s="865">
        <f>COUNTIF($AJ$2:$AJ176,$AJ176)</f>
        <v>69</v>
      </c>
      <c r="AN176" s="865" t="str">
        <f>$AJ176&amp;"|"&amp;$AM176</f>
        <v>Customer|69</v>
      </c>
      <c r="AP176" s="865" t="str">
        <f>IF(TRIM($B176)="","",IF($AQ176=1,"Leadership",IFERROR(INDEX(Lists!$X:$X,MATCH(TRIM($K176),Lists!$W:$W,0)),IF(OR(TRIM($K176)="",LOWER(TRIM($K176))="na"),IF(TRIM($G176)="","Unassigned",TRIM($G176)),TRIM($K176)))))</f>
        <v>Leadership</v>
      </c>
      <c r="AQ176" s="865" t="b">
        <f>IF(TRIM($B176)="","",--OR(TRIM($K176)="Leadership",TRIM($J176)="Leadership"))</f>
        <v>1</v>
      </c>
      <c r="AR176" s="1136" t="str">
        <f>IF(TRIM($B176)="","",IF(IFERROR(INDEX(Lists!$AQ$2:$AQ$11,MATCH(ROW(),Lists!$AN$2:$AN$11,0)),"")&lt;&gt;"",IFERROR(INDEX(Lists!$AQ$2:$AQ$11,MATCH(ROW(),Lists!$AN$2:$AN$11,0)),""),IF(ISNUMBER(SEARCH("head of ",$C176)),"Head of Technology",IF(ISNUMBER(SEARCH("TDD BP",$C176)),"Business Partner",IF(OR(ISNUMBER(SEARCH("domain architect",$C176)),ISNUMBER(SEARCH("enterprise architect",$C176))),"Domain Architect",IF(ISNUMBER(SEARCH("delivery man",$C176)),"Delivery Manager",IF(OR(ISNUMBER(SEARCH("technology manager",$C176)),ISNUMBER(SEARCH("technology manger",$C176)),ISNUMBER(SEARCH("tech manager",$C176))),"Technology Manager","Squad")))))))</f>
        <v>Technology Manager</v>
      </c>
      <c r="AS176" s="1136" t="str">
        <f>IF(TRIM($B176)="","",IFERROR(INDEX(Lists!$AA:$AA,MATCH($AP176,Lists!$Z:$Z,0)),$AP176))</f>
        <v>Leadership</v>
      </c>
      <c r="AT176" s="1136" t="str">
        <f>IF(TRIM($B176)="","",IF(IFERROR(INDEX(Lists!$AP$2:$AP$11,MATCH(ROW(),Lists!$AN$2:$AN$11,0)),"")&lt;&gt;"",IFERROR(INDEX(Lists!$AP$2:$AP$11,MATCH(ROW(),Lists!$AN$2:$AN$11,0)),""),IF(OR(LEFT($AJ176,3)="COE",$AJ176="EGI"),$AP176,IF($AR176&lt;&gt;"Squad",$AR176,$AP176))))</f>
        <v>Technology Manager</v>
      </c>
    </row>
    <row r="177" ht="18" customHeight="1" s="866">
      <c r="A177" s="1208" t="inlineStr">
        <is>
          <t>V</t>
        </is>
      </c>
      <c r="B177" s="1156" t="inlineStr">
        <is>
          <t>Vacant</t>
        </is>
      </c>
      <c r="C177" s="1199" t="inlineStr">
        <is>
          <t>Program Manager</t>
        </is>
      </c>
      <c r="D177" s="1199" t="inlineStr">
        <is>
          <t>Harley Giles</t>
        </is>
      </c>
      <c r="E177" s="1199" t="inlineStr">
        <is>
          <t>GM TDD, Customer</t>
        </is>
      </c>
      <c r="F177" s="1210" t="inlineStr">
        <is>
          <t>Customer</t>
        </is>
      </c>
      <c r="G177" s="1199" t="inlineStr">
        <is>
          <t>Customer, PMO</t>
        </is>
      </c>
      <c r="H177" s="1209" t="n"/>
      <c r="I177" s="1199" t="inlineStr">
        <is>
          <t>Ampol Customer</t>
        </is>
      </c>
      <c r="J177" s="1199" t="inlineStr">
        <is>
          <t>Ampol Digital, Group Customer Platforms</t>
        </is>
      </c>
      <c r="K177" s="1199" t="inlineStr">
        <is>
          <t>Leadership</t>
        </is>
      </c>
      <c r="L177" s="1199" t="n"/>
      <c r="M177" s="1211" t="inlineStr">
        <is>
          <t>Australia</t>
        </is>
      </c>
      <c r="N177" s="1199" t="inlineStr">
        <is>
          <t>CSB</t>
        </is>
      </c>
      <c r="O177" s="1199" t="n">
        <v>1</v>
      </c>
      <c r="P177" s="1199" t="n"/>
      <c r="Q177" s="1209" t="inlineStr">
        <is>
          <t>Permanent - Full Time</t>
        </is>
      </c>
      <c r="R177" s="1199" t="n"/>
      <c r="S177" s="1199" t="n"/>
      <c r="T177" s="1212" t="n">
        <v>142000</v>
      </c>
      <c r="U177" s="1213" t="n">
        <v>130640</v>
      </c>
      <c r="V177" s="1224" t="n">
        <v>0.15</v>
      </c>
      <c r="W177" s="1209" t="n"/>
      <c r="X177" s="1214" t="n">
        <v>0.05</v>
      </c>
      <c r="Y177" s="1910" t="n">
        <v>2910</v>
      </c>
      <c r="Z177" s="1214" t="n">
        <v>0.03</v>
      </c>
      <c r="AA177" s="1216">
        <f>IF(TRIM($B177)="","",IF(N($AU177)&gt;0,$AU177,IF(N($S177)&gt;0,$S177*Lists!$AG$15*(1+N($Z177)),N($U177)*(1+N($V177)+N($W177)+N($X177)+N($Z177))+N($Y177))))</f>
        <v>163597.2</v>
      </c>
      <c r="AB177" s="1217" t="n">
        <v>113519</v>
      </c>
      <c r="AC177" s="1217" t="n"/>
      <c r="AD177" s="1217" t="n"/>
      <c r="AE177" s="1217" t="n"/>
      <c r="AF177" s="1217" t="n"/>
      <c r="AG177" s="1217" t="n"/>
      <c r="AH177" s="1908" t="n"/>
      <c r="AJ177" s="865" t="str">
        <f>IF(TRIM($B177)="","",IF(IFERROR(INDEX(Lists!$AO$2:$AO$11,MATCH(ROW(),Lists!$AN$2:$AN$11,0)),"")&lt;&gt;"",IFERROR(INDEX(Lists!$AO$2:$AO$11,MATCH(ROW(),Lists!$AN$2:$AN$11,0)),""),IFERROR(INDEX(Lists!$U:$U,MATCH(TRIM($I177),Lists!$T:$T,0)),TRIM($I177))))</f>
        <v>Customer</v>
      </c>
      <c r="AK177" s="865" t="str">
        <f>IF(ISNUMBER(SEARCH("vacant",$B177)),"Vacant","Filled")</f>
        <v>Vacant</v>
      </c>
      <c r="AL177" s="865" t="str">
        <f>IF($M177="NZ","NZ","AU")</f>
        <v>AU</v>
      </c>
      <c r="AM177" s="865">
        <f>COUNTIF($AJ$2:$AJ177,$AJ177)</f>
        <v>70</v>
      </c>
      <c r="AN177" s="865" t="str">
        <f>$AJ177&amp;"|"&amp;$AM177</f>
        <v>Customer|70</v>
      </c>
      <c r="AP177" s="865" t="str">
        <f>IF(TRIM($B177)="","",IF($AQ177=1,"Leadership",IFERROR(INDEX(Lists!$X:$X,MATCH(TRIM($K177),Lists!$W:$W,0)),IF(OR(TRIM($K177)="",LOWER(TRIM($K177))="na"),IF(TRIM($G177)="","Unassigned",TRIM($G177)),TRIM($K177)))))</f>
        <v>Leadership</v>
      </c>
      <c r="AQ177" s="865" t="b">
        <f>IF(TRIM($B177)="","",--OR(TRIM($K177)="Leadership",TRIM($J177)="Leadership"))</f>
        <v>1</v>
      </c>
      <c r="AR177" s="1136" t="str">
        <f>IF(TRIM($B177)="","",IF(IFERROR(INDEX(Lists!$AQ$2:$AQ$11,MATCH(ROW(),Lists!$AN$2:$AN$11,0)),"")&lt;&gt;"",IFERROR(INDEX(Lists!$AQ$2:$AQ$11,MATCH(ROW(),Lists!$AN$2:$AN$11,0)),""),IF(ISNUMBER(SEARCH("head of ",$C177)),"Head of Technology",IF(ISNUMBER(SEARCH("TDD BP",$C177)),"Business Partner",IF(OR(ISNUMBER(SEARCH("domain architect",$C177)),ISNUMBER(SEARCH("enterprise architect",$C177))),"Domain Architect",IF(ISNUMBER(SEARCH("delivery man",$C177)),"Delivery Manager",IF(OR(ISNUMBER(SEARCH("technology manager",$C177)),ISNUMBER(SEARCH("technology manger",$C177)),ISNUMBER(SEARCH("tech manager",$C177))),"Technology Manager","Squad")))))))</f>
        <v>Squad</v>
      </c>
      <c r="AS177" s="1136" t="str">
        <f>IF(TRIM($B177)="","",IFERROR(INDEX(Lists!$AA:$AA,MATCH($AP177,Lists!$Z:$Z,0)),$AP177))</f>
        <v>Leadership</v>
      </c>
      <c r="AT177" s="1136" t="str">
        <f>IF(TRIM($B177)="","",IF(IFERROR(INDEX(Lists!$AP$2:$AP$11,MATCH(ROW(),Lists!$AN$2:$AN$11,0)),"")&lt;&gt;"",IFERROR(INDEX(Lists!$AP$2:$AP$11,MATCH(ROW(),Lists!$AN$2:$AN$11,0)),""),IF(OR(LEFT($AJ177,3)="COE",$AJ177="EGI"),$AP177,IF($AR177&lt;&gt;"Squad",$AR177,$AP177))))</f>
        <v>Leadership</v>
      </c>
    </row>
    <row r="178" ht="18" customHeight="1" s="866">
      <c r="A178" s="1208" t="inlineStr">
        <is>
          <t>V</t>
        </is>
      </c>
      <c r="B178" s="1156" t="inlineStr">
        <is>
          <t>Vacant</t>
        </is>
      </c>
      <c r="C178" s="1209" t="inlineStr">
        <is>
          <t>Engineer, Software</t>
        </is>
      </c>
      <c r="D178" s="1209" t="inlineStr">
        <is>
          <t>Vacant</t>
        </is>
      </c>
      <c r="E178" s="1209" t="inlineStr">
        <is>
          <t>Technology Manager, Data &amp; Engineering</t>
        </is>
      </c>
      <c r="F178" s="1210" t="inlineStr">
        <is>
          <t>Customer</t>
        </is>
      </c>
      <c r="G178" s="1199" t="inlineStr">
        <is>
          <t>Loyalty &amp; Martech</t>
        </is>
      </c>
      <c r="H178" s="1209" t="inlineStr">
        <is>
          <t>Loyalty, Data &amp; Engineering</t>
        </is>
      </c>
      <c r="I178" s="1199" t="inlineStr">
        <is>
          <t>Ampol Customer</t>
        </is>
      </c>
      <c r="J178" s="1209" t="inlineStr">
        <is>
          <t>Ampol Loyalty &amp; Martech</t>
        </is>
      </c>
      <c r="K178" s="1209" t="inlineStr">
        <is>
          <t>Ampol Loyalty &amp; Martech</t>
        </is>
      </c>
      <c r="L178" s="1199" t="n"/>
      <c r="M178" s="1211" t="inlineStr">
        <is>
          <t>Australia</t>
        </is>
      </c>
      <c r="N178" s="1199" t="inlineStr">
        <is>
          <t>CIB</t>
        </is>
      </c>
      <c r="O178" s="1199" t="n">
        <v>1</v>
      </c>
      <c r="P178" s="1199" t="n"/>
      <c r="Q178" s="1209" t="inlineStr">
        <is>
          <t>Temporary - Full Time</t>
        </is>
      </c>
      <c r="R178" s="1199" t="n"/>
      <c r="S178" s="1199" t="n"/>
      <c r="T178" s="1212" t="n">
        <v>135000</v>
      </c>
      <c r="U178" s="1213" t="n">
        <v>124200</v>
      </c>
      <c r="V178" s="1224" t="n">
        <v>0.15</v>
      </c>
      <c r="W178" s="1209" t="n"/>
      <c r="X178" s="1214" t="n">
        <v>0.05</v>
      </c>
      <c r="Y178" s="1910" t="n">
        <v>2910</v>
      </c>
      <c r="Z178" s="1214" t="n">
        <v>0.03</v>
      </c>
      <c r="AA178" s="1216">
        <f>IF(TRIM($B178)="","",IF(N($AU178)&gt;0,$AU178,IF(N($S178)&gt;0,$S178*Lists!$AG$15*(1+N($Z178)),N($U178)*(1+N($V178)+N($W178)+N($X178)+N($Z178))+N($Y178))))</f>
        <v>155676</v>
      </c>
      <c r="AB178" s="1217" t="n">
        <v>113560</v>
      </c>
      <c r="AC178" s="1217" t="n"/>
      <c r="AD178" s="1217" t="n"/>
      <c r="AE178" s="1217" t="n"/>
      <c r="AF178" s="1217" t="n"/>
      <c r="AG178" s="1217" t="n"/>
      <c r="AH178" s="1908" t="n"/>
      <c r="AJ178" s="865" t="str">
        <f>IF(TRIM($B178)="","",IF(IFERROR(INDEX(Lists!$AO$2:$AO$11,MATCH(ROW(),Lists!$AN$2:$AN$11,0)),"")&lt;&gt;"",IFERROR(INDEX(Lists!$AO$2:$AO$11,MATCH(ROW(),Lists!$AN$2:$AN$11,0)),""),IFERROR(INDEX(Lists!$U:$U,MATCH(TRIM($I178),Lists!$T:$T,0)),TRIM($I178))))</f>
        <v>Customer</v>
      </c>
      <c r="AK178" s="865" t="str">
        <f>IF(ISNUMBER(SEARCH("vacant",$B178)),"Vacant","Filled")</f>
        <v>Vacant</v>
      </c>
      <c r="AL178" s="865" t="str">
        <f>IF($M178="NZ","NZ","AU")</f>
        <v>AU</v>
      </c>
      <c r="AM178" s="865">
        <f>COUNTIF($AJ$2:$AJ178,$AJ178)</f>
        <v>71</v>
      </c>
      <c r="AN178" s="865" t="str">
        <f>$AJ178&amp;"|"&amp;$AM178</f>
        <v>Customer|71</v>
      </c>
      <c r="AP178" s="865" t="str">
        <f>IF(TRIM($B178)="","",IF($AQ178=1,"Leadership",IFERROR(INDEX(Lists!$X:$X,MATCH(TRIM($K178),Lists!$W:$W,0)),IF(OR(TRIM($K178)="",LOWER(TRIM($K178))="na"),IF(TRIM($G178)="","Unassigned",TRIM($G178)),TRIM($K178)))))</f>
        <v>Ampol Loyalty &amp; Martech</v>
      </c>
      <c r="AQ178" s="865" t="b">
        <f>IF(TRIM($B178)="","",--OR(TRIM($K178)="Leadership",TRIM($J178)="Leadership"))</f>
        <v>0</v>
      </c>
      <c r="AR178" s="1136" t="str">
        <f>IF(TRIM($B178)="","",IF(IFERROR(INDEX(Lists!$AQ$2:$AQ$11,MATCH(ROW(),Lists!$AN$2:$AN$11,0)),"")&lt;&gt;"",IFERROR(INDEX(Lists!$AQ$2:$AQ$11,MATCH(ROW(),Lists!$AN$2:$AN$11,0)),""),IF(ISNUMBER(SEARCH("head of ",$C178)),"Head of Technology",IF(ISNUMBER(SEARCH("TDD BP",$C178)),"Business Partner",IF(OR(ISNUMBER(SEARCH("domain architect",$C178)),ISNUMBER(SEARCH("enterprise architect",$C178))),"Domain Architect",IF(ISNUMBER(SEARCH("delivery man",$C178)),"Delivery Manager",IF(OR(ISNUMBER(SEARCH("technology manager",$C178)),ISNUMBER(SEARCH("technology manger",$C178)),ISNUMBER(SEARCH("tech manager",$C178))),"Technology Manager","Squad")))))))</f>
        <v>Squad</v>
      </c>
      <c r="AS178" s="1136" t="str">
        <f>IF(TRIM($B178)="","",IFERROR(INDEX(Lists!$AA:$AA,MATCH($AP178,Lists!$Z:$Z,0)),$AP178))</f>
        <v>Ampol Loyalty &amp; Martech</v>
      </c>
      <c r="AT178" s="1136" t="str">
        <f>IF(TRIM($B178)="","",IF(IFERROR(INDEX(Lists!$AP$2:$AP$11,MATCH(ROW(),Lists!$AN$2:$AN$11,0)),"")&lt;&gt;"",IFERROR(INDEX(Lists!$AP$2:$AP$11,MATCH(ROW(),Lists!$AN$2:$AN$11,0)),""),IF(OR(LEFT($AJ178,3)="COE",$AJ178="EGI"),$AP178,IF($AR178&lt;&gt;"Squad",$AR178,$AP178))))</f>
        <v>Ampol Loyalty &amp; Martech</v>
      </c>
    </row>
    <row r="179" ht="18" customHeight="1" s="866">
      <c r="A179" s="1208" t="inlineStr">
        <is>
          <t>V</t>
        </is>
      </c>
      <c r="B179" s="1156" t="inlineStr">
        <is>
          <t>Vacant</t>
        </is>
      </c>
      <c r="C179" s="1199" t="inlineStr">
        <is>
          <t>Snr Engineer, Data</t>
        </is>
      </c>
      <c r="D179" s="1199" t="inlineStr">
        <is>
          <t>Vacant</t>
        </is>
      </c>
      <c r="E179" s="1199" t="inlineStr">
        <is>
          <t>Technology Manager, Data &amp; Engineering</t>
        </is>
      </c>
      <c r="F179" s="1210" t="inlineStr">
        <is>
          <t>Customer</t>
        </is>
      </c>
      <c r="G179" s="1199" t="inlineStr">
        <is>
          <t>Loyalty &amp; Martech</t>
        </is>
      </c>
      <c r="H179" s="1209" t="inlineStr">
        <is>
          <t>Loyalty, Data &amp; Engineering</t>
        </is>
      </c>
      <c r="I179" s="1199" t="inlineStr">
        <is>
          <t>Ampol Customer</t>
        </is>
      </c>
      <c r="J179" s="1199" t="inlineStr">
        <is>
          <t>Ampol Loyalty &amp; Martech</t>
        </is>
      </c>
      <c r="K179" s="1199" t="inlineStr">
        <is>
          <t>Ampol Loyalty &amp; Martech</t>
        </is>
      </c>
      <c r="L179" s="1199" t="n"/>
      <c r="M179" s="1211" t="inlineStr">
        <is>
          <t>Australia</t>
        </is>
      </c>
      <c r="N179" s="1199" t="inlineStr">
        <is>
          <t>CIB</t>
        </is>
      </c>
      <c r="O179" s="1199" t="n">
        <v>1</v>
      </c>
      <c r="P179" s="1199" t="n"/>
      <c r="Q179" s="1209" t="inlineStr">
        <is>
          <t>Permanent - Full Time</t>
        </is>
      </c>
      <c r="R179" s="1199" t="n"/>
      <c r="S179" s="1199" t="n"/>
      <c r="T179" s="1212" t="n">
        <v>151850</v>
      </c>
      <c r="U179" s="1213" t="n">
        <v>139702</v>
      </c>
      <c r="V179" s="1224" t="n">
        <v>0.15</v>
      </c>
      <c r="W179" s="1209" t="n"/>
      <c r="X179" s="1214" t="n">
        <v>0.05</v>
      </c>
      <c r="Y179" s="1910" t="n">
        <v>2910</v>
      </c>
      <c r="Z179" s="1214" t="n">
        <v>0.03</v>
      </c>
      <c r="AA179" s="1216">
        <f>IF(TRIM($B179)="","",IF(N($AU179)&gt;0,$AU179,IF(N($S179)&gt;0,$S179*Lists!$AG$15*(1+N($Z179)),N($U179)*(1+N($V179)+N($W179)+N($X179)+N($Z179))+N($Y179))))</f>
        <v>174743.46</v>
      </c>
      <c r="AB179" s="1217" t="n">
        <v>113564</v>
      </c>
      <c r="AC179" s="1217" t="n"/>
      <c r="AD179" s="1217" t="n"/>
      <c r="AE179" s="1217" t="n"/>
      <c r="AF179" s="1217" t="n"/>
      <c r="AG179" s="1217" t="n"/>
      <c r="AH179" s="1908" t="n"/>
      <c r="AJ179" s="865" t="str">
        <f>IF(TRIM($B179)="","",IF(IFERROR(INDEX(Lists!$AO$2:$AO$11,MATCH(ROW(),Lists!$AN$2:$AN$11,0)),"")&lt;&gt;"",IFERROR(INDEX(Lists!$AO$2:$AO$11,MATCH(ROW(),Lists!$AN$2:$AN$11,0)),""),IFERROR(INDEX(Lists!$U:$U,MATCH(TRIM($I179),Lists!$T:$T,0)),TRIM($I179))))</f>
        <v>Customer</v>
      </c>
      <c r="AK179" s="865" t="str">
        <f>IF(ISNUMBER(SEARCH("vacant",$B179)),"Vacant","Filled")</f>
        <v>Vacant</v>
      </c>
      <c r="AL179" s="865" t="str">
        <f>IF($M179="NZ","NZ","AU")</f>
        <v>AU</v>
      </c>
      <c r="AM179" s="865">
        <f>COUNTIF($AJ$2:$AJ179,$AJ179)</f>
        <v>72</v>
      </c>
      <c r="AN179" s="865" t="str">
        <f>$AJ179&amp;"|"&amp;$AM179</f>
        <v>Customer|72</v>
      </c>
      <c r="AP179" s="865" t="str">
        <f>IF(TRIM($B179)="","",IF($AQ179=1,"Leadership",IFERROR(INDEX(Lists!$X:$X,MATCH(TRIM($K179),Lists!$W:$W,0)),IF(OR(TRIM($K179)="",LOWER(TRIM($K179))="na"),IF(TRIM($G179)="","Unassigned",TRIM($G179)),TRIM($K179)))))</f>
        <v>Ampol Loyalty &amp; Martech</v>
      </c>
      <c r="AQ179" s="865" t="b">
        <f>IF(TRIM($B179)="","",--OR(TRIM($K179)="Leadership",TRIM($J179)="Leadership"))</f>
        <v>0</v>
      </c>
      <c r="AR179" s="1136" t="str">
        <f>IF(TRIM($B179)="","",IF(IFERROR(INDEX(Lists!$AQ$2:$AQ$11,MATCH(ROW(),Lists!$AN$2:$AN$11,0)),"")&lt;&gt;"",IFERROR(INDEX(Lists!$AQ$2:$AQ$11,MATCH(ROW(),Lists!$AN$2:$AN$11,0)),""),IF(ISNUMBER(SEARCH("head of ",$C179)),"Head of Technology",IF(ISNUMBER(SEARCH("TDD BP",$C179)),"Business Partner",IF(OR(ISNUMBER(SEARCH("domain architect",$C179)),ISNUMBER(SEARCH("enterprise architect",$C179))),"Domain Architect",IF(ISNUMBER(SEARCH("delivery man",$C179)),"Delivery Manager",IF(OR(ISNUMBER(SEARCH("technology manager",$C179)),ISNUMBER(SEARCH("technology manger",$C179)),ISNUMBER(SEARCH("tech manager",$C179))),"Technology Manager","Squad")))))))</f>
        <v>Squad</v>
      </c>
      <c r="AS179" s="1136" t="str">
        <f>IF(TRIM($B179)="","",IFERROR(INDEX(Lists!$AA:$AA,MATCH($AP179,Lists!$Z:$Z,0)),$AP179))</f>
        <v>Ampol Loyalty &amp; Martech</v>
      </c>
      <c r="AT179" s="1136" t="str">
        <f>IF(TRIM($B179)="","",IF(IFERROR(INDEX(Lists!$AP$2:$AP$11,MATCH(ROW(),Lists!$AN$2:$AN$11,0)),"")&lt;&gt;"",IFERROR(INDEX(Lists!$AP$2:$AP$11,MATCH(ROW(),Lists!$AN$2:$AN$11,0)),""),IF(OR(LEFT($AJ179,3)="COE",$AJ179="EGI"),$AP179,IF($AR179&lt;&gt;"Squad",$AR179,$AP179))))</f>
        <v>Ampol Loyalty &amp; Martech</v>
      </c>
    </row>
    <row r="180" ht="18" customHeight="1" s="866">
      <c r="A180" s="1208" t="inlineStr">
        <is>
          <t>V</t>
        </is>
      </c>
      <c r="B180" s="1156" t="inlineStr">
        <is>
          <t>Vacant</t>
        </is>
      </c>
      <c r="C180" s="1209" t="inlineStr">
        <is>
          <t>Solution Architect</t>
        </is>
      </c>
      <c r="D180" s="1209" t="inlineStr">
        <is>
          <t>Kris Hamilton</t>
        </is>
      </c>
      <c r="E180" s="1209" t="inlineStr">
        <is>
          <t>Technology Manager, Loyalty &amp; Martech</t>
        </is>
      </c>
      <c r="F180" s="1210" t="inlineStr">
        <is>
          <t>Customer</t>
        </is>
      </c>
      <c r="G180" s="1199" t="inlineStr">
        <is>
          <t>Loyalty &amp; Martech</t>
        </is>
      </c>
      <c r="H180" s="1221" t="inlineStr">
        <is>
          <t>Loyalty, Tech</t>
        </is>
      </c>
      <c r="I180" s="1199" t="inlineStr">
        <is>
          <t>Ampol Customer</t>
        </is>
      </c>
      <c r="J180" s="1209" t="inlineStr">
        <is>
          <t>Ampol Loyalty &amp; Martech</t>
        </is>
      </c>
      <c r="K180" s="1209" t="inlineStr">
        <is>
          <t>Ampol Loyalty &amp; Martech</t>
        </is>
      </c>
      <c r="L180" s="1199" t="n"/>
      <c r="M180" s="1211" t="inlineStr">
        <is>
          <t>australia</t>
        </is>
      </c>
      <c r="N180" s="1199" t="inlineStr">
        <is>
          <t>CIC</t>
        </is>
      </c>
      <c r="O180" s="1199" t="n">
        <v>1</v>
      </c>
      <c r="P180" s="1199" t="n"/>
      <c r="Q180" s="1209" t="inlineStr">
        <is>
          <t>Permanent - Full Time</t>
        </is>
      </c>
      <c r="R180" s="1199" t="n">
        <v>222</v>
      </c>
      <c r="S180" s="1199" t="n">
        <v>330</v>
      </c>
      <c r="T180" s="1212" t="n">
        <v>73260</v>
      </c>
      <c r="U180" s="1213" t="n"/>
      <c r="V180" s="1224" t="n"/>
      <c r="W180" s="1209" t="n"/>
      <c r="X180" s="1214" t="n"/>
      <c r="Y180" s="1910" t="n"/>
      <c r="Z180" s="1214" t="n">
        <v>0.03</v>
      </c>
      <c r="AA180" s="1216">
        <f>IF(TRIM($B180)="","",IF(N($AU180)&gt;0,$AU180,IF(N($S180)&gt;0,$S180*Lists!$AG$15*(1+N($Z180)),N($U180)*(1+N($V180)+N($W180)+N($X180)+N($Z180))+N($Y180))))</f>
        <v>75457.8</v>
      </c>
      <c r="AB180" s="1217" t="n">
        <v>113565</v>
      </c>
      <c r="AC180" s="1217" t="n"/>
      <c r="AD180" s="1217" t="n"/>
      <c r="AE180" s="1217" t="n"/>
      <c r="AF180" s="1217" t="n"/>
      <c r="AG180" s="1217" t="n"/>
      <c r="AH180" s="1908" t="n"/>
      <c r="AJ180" s="865" t="str">
        <f>IF(TRIM($B180)="","",IF(IFERROR(INDEX(Lists!$AO$2:$AO$11,MATCH(ROW(),Lists!$AN$2:$AN$11,0)),"")&lt;&gt;"",IFERROR(INDEX(Lists!$AO$2:$AO$11,MATCH(ROW(),Lists!$AN$2:$AN$11,0)),""),IFERROR(INDEX(Lists!$U:$U,MATCH(TRIM($I180),Lists!$T:$T,0)),TRIM($I180))))</f>
        <v>Customer</v>
      </c>
      <c r="AK180" s="865" t="str">
        <f>IF(ISNUMBER(SEARCH("vacant",$B180)),"Vacant","Filled")</f>
        <v>Vacant</v>
      </c>
      <c r="AL180" s="865" t="str">
        <f>IF($M180="NZ","NZ","AU")</f>
        <v>AU</v>
      </c>
      <c r="AM180" s="865">
        <f>COUNTIF($AJ$2:$AJ180,$AJ180)</f>
        <v>73</v>
      </c>
      <c r="AN180" s="865" t="str">
        <f>$AJ180&amp;"|"&amp;$AM180</f>
        <v>Customer|73</v>
      </c>
      <c r="AP180" s="865" t="str">
        <f>IF(TRIM($B180)="","",IF($AQ180=1,"Leadership",IFERROR(INDEX(Lists!$X:$X,MATCH(TRIM($K180),Lists!$W:$W,0)),IF(OR(TRIM($K180)="",LOWER(TRIM($K180))="na"),IF(TRIM($G180)="","Unassigned",TRIM($G180)),TRIM($K180)))))</f>
        <v>Ampol Loyalty &amp; Martech</v>
      </c>
      <c r="AQ180" s="865" t="b">
        <f>IF(TRIM($B180)="","",--OR(TRIM($K180)="Leadership",TRIM($J180)="Leadership"))</f>
        <v>0</v>
      </c>
      <c r="AR180" s="1136" t="str">
        <f>IF(TRIM($B180)="","",IF(IFERROR(INDEX(Lists!$AQ$2:$AQ$11,MATCH(ROW(),Lists!$AN$2:$AN$11,0)),"")&lt;&gt;"",IFERROR(INDEX(Lists!$AQ$2:$AQ$11,MATCH(ROW(),Lists!$AN$2:$AN$11,0)),""),IF(ISNUMBER(SEARCH("head of ",$C180)),"Head of Technology",IF(ISNUMBER(SEARCH("TDD BP",$C180)),"Business Partner",IF(OR(ISNUMBER(SEARCH("domain architect",$C180)),ISNUMBER(SEARCH("enterprise architect",$C180))),"Domain Architect",IF(ISNUMBER(SEARCH("delivery man",$C180)),"Delivery Manager",IF(OR(ISNUMBER(SEARCH("technology manager",$C180)),ISNUMBER(SEARCH("technology manger",$C180)),ISNUMBER(SEARCH("tech manager",$C180))),"Technology Manager","Squad")))))))</f>
        <v>Squad</v>
      </c>
      <c r="AS180" s="1136" t="str">
        <f>IF(TRIM($B180)="","",IFERROR(INDEX(Lists!$AA:$AA,MATCH($AP180,Lists!$Z:$Z,0)),$AP180))</f>
        <v>Ampol Loyalty &amp; Martech</v>
      </c>
      <c r="AT180" s="1136" t="str">
        <f>IF(TRIM($B180)="","",IF(IFERROR(INDEX(Lists!$AP$2:$AP$11,MATCH(ROW(),Lists!$AN$2:$AN$11,0)),"")&lt;&gt;"",IFERROR(INDEX(Lists!$AP$2:$AP$11,MATCH(ROW(),Lists!$AN$2:$AN$11,0)),""),IF(OR(LEFT($AJ180,3)="COE",$AJ180="EGI"),$AP180,IF($AR180&lt;&gt;"Squad",$AR180,$AP180))))</f>
        <v>Ampol Loyalty &amp; Martech</v>
      </c>
    </row>
    <row r="181" ht="18" customHeight="1" s="866">
      <c r="A181" s="1208" t="inlineStr">
        <is>
          <t>V</t>
        </is>
      </c>
      <c r="B181" s="1156" t="inlineStr">
        <is>
          <t>Vacant</t>
        </is>
      </c>
      <c r="C181" s="1199" t="inlineStr">
        <is>
          <t>Data Analyst</t>
        </is>
      </c>
      <c r="D181" s="1199" t="inlineStr">
        <is>
          <t>Vacant</t>
        </is>
      </c>
      <c r="E181" s="1199" t="inlineStr">
        <is>
          <t>Technology Manager, Data &amp; Engineering</t>
        </is>
      </c>
      <c r="F181" s="1210" t="inlineStr">
        <is>
          <t>Customer</t>
        </is>
      </c>
      <c r="G181" s="1199" t="inlineStr">
        <is>
          <t>Loyalty &amp; Martech</t>
        </is>
      </c>
      <c r="H181" s="1209" t="inlineStr">
        <is>
          <t>Loyalty, Data &amp; Engineering</t>
        </is>
      </c>
      <c r="I181" s="1199" t="inlineStr">
        <is>
          <t>Ampol Customer</t>
        </is>
      </c>
      <c r="J181" s="1199" t="inlineStr">
        <is>
          <t>Ampol Loyalty &amp; Martech</t>
        </is>
      </c>
      <c r="K181" s="1209" t="inlineStr">
        <is>
          <t>Ampol Loyalty &amp; Martech</t>
        </is>
      </c>
      <c r="L181" s="1199" t="n"/>
      <c r="M181" s="1211" t="inlineStr">
        <is>
          <t>Australia</t>
        </is>
      </c>
      <c r="N181" s="1199" t="inlineStr">
        <is>
          <t>CIB</t>
        </is>
      </c>
      <c r="O181" s="1199" t="n">
        <v>1</v>
      </c>
      <c r="P181" s="1199" t="n"/>
      <c r="Q181" s="1199" t="inlineStr">
        <is>
          <t>Permanent - Full Time</t>
        </is>
      </c>
      <c r="R181" s="1199" t="n">
        <v>222</v>
      </c>
      <c r="S181" s="1199" t="n">
        <v>330</v>
      </c>
      <c r="T181" s="1212" t="n">
        <v>73260</v>
      </c>
      <c r="U181" s="1213" t="n"/>
      <c r="V181" s="1214" t="n"/>
      <c r="W181" s="1215" t="n"/>
      <c r="X181" s="1215" t="n"/>
      <c r="Y181" s="1215" t="n"/>
      <c r="Z181" s="1215" t="n">
        <v>0.03</v>
      </c>
      <c r="AA181" s="1216">
        <f>IF(TRIM($B181)="","",IF(N($AU181)&gt;0,$AU181,IF(N($S181)&gt;0,$S181*Lists!$AG$15*(1+N($Z181)),N($U181)*(1+N($V181)+N($W181)+N($X181)+N($Z181))+N($Y181))))</f>
        <v>75457.8</v>
      </c>
      <c r="AB181" s="1217" t="n">
        <v>113601</v>
      </c>
      <c r="AC181" s="1217" t="n"/>
      <c r="AD181" s="1217" t="n"/>
      <c r="AE181" s="1217" t="n"/>
      <c r="AF181" s="1217" t="n"/>
      <c r="AG181" s="1217" t="n"/>
      <c r="AH181" s="1908" t="n"/>
      <c r="AJ181" s="865" t="str">
        <f>IF(TRIM($B181)="","",IF(IFERROR(INDEX(Lists!$AO$2:$AO$11,MATCH(ROW(),Lists!$AN$2:$AN$11,0)),"")&lt;&gt;"",IFERROR(INDEX(Lists!$AO$2:$AO$11,MATCH(ROW(),Lists!$AN$2:$AN$11,0)),""),IFERROR(INDEX(Lists!$U:$U,MATCH(TRIM($I181),Lists!$T:$T,0)),TRIM($I181))))</f>
        <v>Customer</v>
      </c>
      <c r="AK181" s="865" t="str">
        <f>IF(ISNUMBER(SEARCH("vacant",$B181)),"Vacant","Filled")</f>
        <v>Vacant</v>
      </c>
      <c r="AL181" s="865" t="str">
        <f>IF($M181="NZ","NZ","AU")</f>
        <v>AU</v>
      </c>
      <c r="AM181" s="865">
        <f>COUNTIF($AJ$2:$AJ181,$AJ181)</f>
        <v>74</v>
      </c>
      <c r="AN181" s="865" t="str">
        <f>$AJ181&amp;"|"&amp;$AM181</f>
        <v>Customer|74</v>
      </c>
      <c r="AP181" s="865" t="str">
        <f>IF(TRIM($B181)="","",IF($AQ181=1,"Leadership",IFERROR(INDEX(Lists!$X:$X,MATCH(TRIM($K181),Lists!$W:$W,0)),IF(OR(TRIM($K181)="",LOWER(TRIM($K181))="na"),IF(TRIM($G181)="","Unassigned",TRIM($G181)),TRIM($K181)))))</f>
        <v>Ampol Loyalty &amp; Martech</v>
      </c>
      <c r="AQ181" s="865" t="b">
        <f>IF(TRIM($B181)="","",--OR(TRIM($K181)="Leadership",TRIM($J181)="Leadership"))</f>
        <v>0</v>
      </c>
      <c r="AR181" s="1136" t="str">
        <f>IF(TRIM($B181)="","",IF(IFERROR(INDEX(Lists!$AQ$2:$AQ$11,MATCH(ROW(),Lists!$AN$2:$AN$11,0)),"")&lt;&gt;"",IFERROR(INDEX(Lists!$AQ$2:$AQ$11,MATCH(ROW(),Lists!$AN$2:$AN$11,0)),""),IF(ISNUMBER(SEARCH("head of ",$C181)),"Head of Technology",IF(ISNUMBER(SEARCH("TDD BP",$C181)),"Business Partner",IF(OR(ISNUMBER(SEARCH("domain architect",$C181)),ISNUMBER(SEARCH("enterprise architect",$C181))),"Domain Architect",IF(ISNUMBER(SEARCH("delivery man",$C181)),"Delivery Manager",IF(OR(ISNUMBER(SEARCH("technology manager",$C181)),ISNUMBER(SEARCH("technology manger",$C181)),ISNUMBER(SEARCH("tech manager",$C181))),"Technology Manager","Squad")))))))</f>
        <v>Squad</v>
      </c>
      <c r="AS181" s="1136" t="str">
        <f>IF(TRIM($B181)="","",IFERROR(INDEX(Lists!$AA:$AA,MATCH($AP181,Lists!$Z:$Z,0)),$AP181))</f>
        <v>Ampol Loyalty &amp; Martech</v>
      </c>
      <c r="AT181" s="1136" t="str">
        <f>IF(TRIM($B181)="","",IF(IFERROR(INDEX(Lists!$AP$2:$AP$11,MATCH(ROW(),Lists!$AN$2:$AN$11,0)),"")&lt;&gt;"",IFERROR(INDEX(Lists!$AP$2:$AP$11,MATCH(ROW(),Lists!$AN$2:$AN$11,0)),""),IF(OR(LEFT($AJ181,3)="COE",$AJ181="EGI"),$AP181,IF($AR181&lt;&gt;"Squad",$AR181,$AP181))))</f>
        <v>Ampol Loyalty &amp; Martech</v>
      </c>
    </row>
    <row r="182" ht="18" customHeight="1" s="866">
      <c r="A182" s="1208" t="inlineStr">
        <is>
          <t>V</t>
        </is>
      </c>
      <c r="B182" s="1156" t="inlineStr">
        <is>
          <t>Vacant</t>
        </is>
      </c>
      <c r="C182" s="1199" t="inlineStr">
        <is>
          <t>.NET Back End Developer / Mid</t>
        </is>
      </c>
      <c r="D182" s="1199" t="inlineStr">
        <is>
          <t>Mark Wilson</t>
        </is>
      </c>
      <c r="E182" s="1199" t="inlineStr">
        <is>
          <t>Digital Support Manager(AU)</t>
        </is>
      </c>
      <c r="F182" s="1210" t="inlineStr">
        <is>
          <t>Customer</t>
        </is>
      </c>
      <c r="G182" s="1199" t="inlineStr">
        <is>
          <t>Digital</t>
        </is>
      </c>
      <c r="H182" s="1209" t="inlineStr">
        <is>
          <t>Digital Support (AU)</t>
        </is>
      </c>
      <c r="I182" s="1199" t="inlineStr">
        <is>
          <t>Ampol Customer</t>
        </is>
      </c>
      <c r="J182" s="1199" t="inlineStr">
        <is>
          <t>Ampol Digital</t>
        </is>
      </c>
      <c r="K182" s="1209" t="inlineStr">
        <is>
          <t>Digital Operations</t>
        </is>
      </c>
      <c r="L182" s="1199" t="n"/>
      <c r="M182" s="1211" t="inlineStr">
        <is>
          <t>WIPRO</t>
        </is>
      </c>
      <c r="N182" s="1199" t="inlineStr">
        <is>
          <t>CIB</t>
        </is>
      </c>
      <c r="O182" s="1199" t="n">
        <v>1</v>
      </c>
      <c r="P182" s="1199" t="n"/>
      <c r="Q182" s="1209" t="inlineStr">
        <is>
          <t>Permanent - Full Time</t>
        </is>
      </c>
      <c r="R182" s="1199" t="n"/>
      <c r="S182" s="1199" t="n"/>
      <c r="T182" s="1212" t="n">
        <v>95440</v>
      </c>
      <c r="U182" s="1213" t="n">
        <v>87804.8</v>
      </c>
      <c r="V182" s="1224" t="n">
        <v>0.1</v>
      </c>
      <c r="W182" s="1199" t="n"/>
      <c r="X182" s="1214" t="n">
        <v>0.05</v>
      </c>
      <c r="Y182" s="1910" t="n">
        <v>2910</v>
      </c>
      <c r="Z182" s="1214" t="n">
        <v>0.03</v>
      </c>
      <c r="AA182" s="1216">
        <f>IF(TRIM($B182)="","",IF(N($AU182)&gt;0,$AU182,IF(N($S182)&gt;0,$S182*Lists!$AG$15*(1+N($Z182)),N($U182)*(1+N($V182)+N($W182)+N($X182)+N($Z182))+N($Y182))))</f>
        <v>106519.664</v>
      </c>
      <c r="AB182" s="1217" t="n">
        <v>113514</v>
      </c>
      <c r="AC182" s="1231" t="n"/>
      <c r="AD182" s="1217" t="n"/>
      <c r="AE182" s="1217" t="n"/>
      <c r="AF182" s="1217" t="n"/>
      <c r="AG182" s="1217" t="n"/>
      <c r="AJ182" s="865" t="str">
        <f>IF(TRIM($B182)="","",IF(IFERROR(INDEX(Lists!$AO$2:$AO$11,MATCH(ROW(),Lists!$AN$2:$AN$11,0)),"")&lt;&gt;"",IFERROR(INDEX(Lists!$AO$2:$AO$11,MATCH(ROW(),Lists!$AN$2:$AN$11,0)),""),IFERROR(INDEX(Lists!$U:$U,MATCH(TRIM($I182),Lists!$T:$T,0)),TRIM($I182))))</f>
        <v>Customer</v>
      </c>
      <c r="AK182" s="865" t="str">
        <f>IF(ISNUMBER(SEARCH("vacant",$B182)),"Vacant","Filled")</f>
        <v>Vacant</v>
      </c>
      <c r="AL182" s="865" t="str">
        <f>IF($M182="NZ","NZ","AU")</f>
        <v>AU</v>
      </c>
      <c r="AM182" s="865">
        <f>COUNTIF($AJ$2:$AJ182,$AJ182)</f>
        <v>75</v>
      </c>
      <c r="AN182" s="865" t="str">
        <f>$AJ182&amp;"|"&amp;$AM182</f>
        <v>Customer|75</v>
      </c>
      <c r="AP182" s="865" t="str">
        <f>IF(TRIM($B182)="","",IF($AQ182=1,"Leadership",IFERROR(INDEX(Lists!$X:$X,MATCH(TRIM($K182),Lists!$W:$W,0)),IF(OR(TRIM($K182)="",LOWER(TRIM($K182))="na"),IF(TRIM($G182)="","Unassigned",TRIM($G182)),TRIM($K182)))))</f>
        <v>Digital Operations</v>
      </c>
      <c r="AQ182" s="865" t="b">
        <f>IF(TRIM($B182)="","",--OR(TRIM($K182)="Leadership",TRIM($J182)="Leadership"))</f>
        <v>0</v>
      </c>
      <c r="AR182" s="1136" t="str">
        <f>IF(TRIM($B182)="","",IF(IFERROR(INDEX(Lists!$AQ$2:$AQ$11,MATCH(ROW(),Lists!$AN$2:$AN$11,0)),"")&lt;&gt;"",IFERROR(INDEX(Lists!$AQ$2:$AQ$11,MATCH(ROW(),Lists!$AN$2:$AN$11,0)),""),IF(ISNUMBER(SEARCH("head of ",$C182)),"Head of Technology",IF(ISNUMBER(SEARCH("TDD BP",$C182)),"Business Partner",IF(OR(ISNUMBER(SEARCH("domain architect",$C182)),ISNUMBER(SEARCH("enterprise architect",$C182))),"Domain Architect",IF(ISNUMBER(SEARCH("delivery man",$C182)),"Delivery Manager",IF(OR(ISNUMBER(SEARCH("technology manager",$C182)),ISNUMBER(SEARCH("technology manger",$C182)),ISNUMBER(SEARCH("tech manager",$C182))),"Technology Manager","Squad")))))))</f>
        <v>Squad</v>
      </c>
      <c r="AS182" s="1136" t="str">
        <f>IF(TRIM($B182)="","",IFERROR(INDEX(Lists!$AA:$AA,MATCH($AP182,Lists!$Z:$Z,0)),$AP182))</f>
        <v>Digital Operations</v>
      </c>
      <c r="AT182" s="1136" t="str">
        <f>IF(TRIM($B182)="","",IF(IFERROR(INDEX(Lists!$AP$2:$AP$11,MATCH(ROW(),Lists!$AN$2:$AN$11,0)),"")&lt;&gt;"",IFERROR(INDEX(Lists!$AP$2:$AP$11,MATCH(ROW(),Lists!$AN$2:$AN$11,0)),""),IF(OR(LEFT($AJ182,3)="COE",$AJ182="EGI"),$AP182,IF($AR182&lt;&gt;"Squad",$AR182,$AP182))))</f>
        <v>Digital Operations</v>
      </c>
    </row>
    <row r="183" ht="18" customHeight="1" s="866">
      <c r="A183" s="1208" t="inlineStr">
        <is>
          <t>V</t>
        </is>
      </c>
      <c r="B183" s="1156" t="inlineStr">
        <is>
          <t>Vacant</t>
        </is>
      </c>
      <c r="C183" s="1209" t="inlineStr">
        <is>
          <t>.NET Back End Developer / Mid</t>
        </is>
      </c>
      <c r="D183" s="1209" t="inlineStr">
        <is>
          <t>Mark Wilson</t>
        </is>
      </c>
      <c r="E183" s="1209" t="inlineStr">
        <is>
          <t>Digital Support Manager(AU)</t>
        </is>
      </c>
      <c r="F183" s="1210" t="inlineStr">
        <is>
          <t>Customer</t>
        </is>
      </c>
      <c r="G183" s="1199" t="inlineStr">
        <is>
          <t>Digital</t>
        </is>
      </c>
      <c r="H183" s="1199" t="inlineStr">
        <is>
          <t>Digital Support (AU)</t>
        </is>
      </c>
      <c r="I183" s="1199" t="inlineStr">
        <is>
          <t>Ampol Customer</t>
        </is>
      </c>
      <c r="J183" s="1209" t="inlineStr">
        <is>
          <t>Ampol Digital</t>
        </is>
      </c>
      <c r="K183" s="1209" t="inlineStr">
        <is>
          <t>Digital Operations</t>
        </is>
      </c>
      <c r="L183" s="1199" t="n"/>
      <c r="M183" s="1211" t="inlineStr">
        <is>
          <t>WIPRO</t>
        </is>
      </c>
      <c r="N183" s="1199" t="inlineStr">
        <is>
          <t>CIB</t>
        </is>
      </c>
      <c r="O183" s="1199" t="n">
        <v>1</v>
      </c>
      <c r="P183" s="1199" t="n"/>
      <c r="Q183" s="1209" t="inlineStr">
        <is>
          <t>Permanent - Full Time</t>
        </is>
      </c>
      <c r="R183" s="1199" t="n"/>
      <c r="S183" s="1199" t="n"/>
      <c r="T183" s="1212" t="n">
        <v>94080</v>
      </c>
      <c r="U183" s="1213" t="n">
        <v>86553.60000000001</v>
      </c>
      <c r="V183" s="1224" t="n">
        <v>0.1</v>
      </c>
      <c r="W183" s="1199" t="n"/>
      <c r="X183" s="1214" t="n">
        <v>0.05</v>
      </c>
      <c r="Y183" s="1910" t="n">
        <v>2910</v>
      </c>
      <c r="Z183" s="1214" t="n">
        <v>0.03</v>
      </c>
      <c r="AA183" s="1216">
        <f>IF(TRIM($B183)="","",IF(N($AU183)&gt;0,$AU183,IF(N($S183)&gt;0,$S183*Lists!$AG$15*(1+N($Z183)),N($U183)*(1+N($V183)+N($W183)+N($X183)+N($Z183))+N($Y183))))</f>
        <v>105043.248</v>
      </c>
      <c r="AB183" s="1217" t="n">
        <v>113552</v>
      </c>
      <c r="AC183" s="1217" t="n"/>
      <c r="AD183" s="1217" t="n"/>
      <c r="AE183" s="1217" t="n"/>
      <c r="AF183" s="1217" t="n"/>
      <c r="AG183" s="1217" t="n"/>
      <c r="AH183" s="1908" t="n"/>
      <c r="AJ183" s="865" t="str">
        <f>IF(TRIM($B183)="","",IF(IFERROR(INDEX(Lists!$AO$2:$AO$11,MATCH(ROW(),Lists!$AN$2:$AN$11,0)),"")&lt;&gt;"",IFERROR(INDEX(Lists!$AO$2:$AO$11,MATCH(ROW(),Lists!$AN$2:$AN$11,0)),""),IFERROR(INDEX(Lists!$U:$U,MATCH(TRIM($I183),Lists!$T:$T,0)),TRIM($I183))))</f>
        <v>Customer</v>
      </c>
      <c r="AK183" s="865" t="str">
        <f>IF(ISNUMBER(SEARCH("vacant",$B183)),"Vacant","Filled")</f>
        <v>Vacant</v>
      </c>
      <c r="AL183" s="865" t="str">
        <f>IF($M183="NZ","NZ","AU")</f>
        <v>AU</v>
      </c>
      <c r="AM183" s="865">
        <f>COUNTIF($AJ$2:$AJ183,$AJ183)</f>
        <v>76</v>
      </c>
      <c r="AN183" s="865" t="str">
        <f>$AJ183&amp;"|"&amp;$AM183</f>
        <v>Customer|76</v>
      </c>
      <c r="AP183" s="865" t="str">
        <f>IF(TRIM($B183)="","",IF($AQ183=1,"Leadership",IFERROR(INDEX(Lists!$X:$X,MATCH(TRIM($K183),Lists!$W:$W,0)),IF(OR(TRIM($K183)="",LOWER(TRIM($K183))="na"),IF(TRIM($G183)="","Unassigned",TRIM($G183)),TRIM($K183)))))</f>
        <v>Digital Operations</v>
      </c>
      <c r="AQ183" s="865" t="b">
        <f>IF(TRIM($B183)="","",--OR(TRIM($K183)="Leadership",TRIM($J183)="Leadership"))</f>
        <v>0</v>
      </c>
      <c r="AR183" s="1136" t="str">
        <f>IF(TRIM($B183)="","",IF(IFERROR(INDEX(Lists!$AQ$2:$AQ$11,MATCH(ROW(),Lists!$AN$2:$AN$11,0)),"")&lt;&gt;"",IFERROR(INDEX(Lists!$AQ$2:$AQ$11,MATCH(ROW(),Lists!$AN$2:$AN$11,0)),""),IF(ISNUMBER(SEARCH("head of ",$C183)),"Head of Technology",IF(ISNUMBER(SEARCH("TDD BP",$C183)),"Business Partner",IF(OR(ISNUMBER(SEARCH("domain architect",$C183)),ISNUMBER(SEARCH("enterprise architect",$C183))),"Domain Architect",IF(ISNUMBER(SEARCH("delivery man",$C183)),"Delivery Manager",IF(OR(ISNUMBER(SEARCH("technology manager",$C183)),ISNUMBER(SEARCH("technology manger",$C183)),ISNUMBER(SEARCH("tech manager",$C183))),"Technology Manager","Squad")))))))</f>
        <v>Squad</v>
      </c>
      <c r="AS183" s="1136" t="str">
        <f>IF(TRIM($B183)="","",IFERROR(INDEX(Lists!$AA:$AA,MATCH($AP183,Lists!$Z:$Z,0)),$AP183))</f>
        <v>Digital Operations</v>
      </c>
      <c r="AT183" s="1136" t="str">
        <f>IF(TRIM($B183)="","",IF(IFERROR(INDEX(Lists!$AP$2:$AP$11,MATCH(ROW(),Lists!$AN$2:$AN$11,0)),"")&lt;&gt;"",IFERROR(INDEX(Lists!$AP$2:$AP$11,MATCH(ROW(),Lists!$AN$2:$AN$11,0)),""),IF(OR(LEFT($AJ183,3)="COE",$AJ183="EGI"),$AP183,IF($AR183&lt;&gt;"Squad",$AR183,$AP183))))</f>
        <v>Digital Operations</v>
      </c>
    </row>
    <row r="184" ht="18" customHeight="1" s="866">
      <c r="A184" s="1208" t="inlineStr">
        <is>
          <t>V</t>
        </is>
      </c>
      <c r="B184" s="1156" t="inlineStr">
        <is>
          <t>Vacant</t>
        </is>
      </c>
      <c r="C184" s="1199" t="inlineStr">
        <is>
          <t>QA / Tester / Mid</t>
        </is>
      </c>
      <c r="D184" s="1199" t="inlineStr">
        <is>
          <t>Mark Wilson</t>
        </is>
      </c>
      <c r="E184" s="1199" t="inlineStr">
        <is>
          <t>Digital Support Manager(AU)</t>
        </is>
      </c>
      <c r="F184" s="1210" t="inlineStr">
        <is>
          <t>Customer</t>
        </is>
      </c>
      <c r="G184" s="1199" t="inlineStr">
        <is>
          <t>Digital</t>
        </is>
      </c>
      <c r="H184" s="1199" t="inlineStr">
        <is>
          <t>Digital Support (AU)</t>
        </is>
      </c>
      <c r="I184" s="1199" t="inlineStr">
        <is>
          <t>Ampol Customer</t>
        </is>
      </c>
      <c r="J184" s="1199" t="inlineStr">
        <is>
          <t>Ampol Digital</t>
        </is>
      </c>
      <c r="K184" s="1209" t="inlineStr">
        <is>
          <t>Digital Operations</t>
        </is>
      </c>
      <c r="L184" s="1199" t="n"/>
      <c r="M184" s="1211" t="inlineStr">
        <is>
          <t>WIPRO</t>
        </is>
      </c>
      <c r="N184" s="1199" t="inlineStr">
        <is>
          <t>CIA</t>
        </is>
      </c>
      <c r="O184" s="1199" t="n">
        <v>1</v>
      </c>
      <c r="P184" s="1199" t="n"/>
      <c r="Q184" s="1209" t="inlineStr">
        <is>
          <t>Permanent - Part Time</t>
        </is>
      </c>
      <c r="R184" s="1199" t="n"/>
      <c r="S184" s="1199" t="n"/>
      <c r="T184" s="1212" t="n">
        <v>169080</v>
      </c>
      <c r="U184" s="1213" t="n">
        <v>155553.6</v>
      </c>
      <c r="V184" s="1224" t="n">
        <v>0.15</v>
      </c>
      <c r="W184" s="1209" t="n"/>
      <c r="X184" s="1214" t="n">
        <v>0.05</v>
      </c>
      <c r="Y184" s="1910" t="n">
        <v>2910</v>
      </c>
      <c r="Z184" s="1214" t="n">
        <v>0.03</v>
      </c>
      <c r="AA184" s="1216">
        <f>IF(TRIM($B184)="","",IF(N($AU184)&gt;0,$AU184,IF(N($S184)&gt;0,$S184*Lists!$AG$15*(1+N($Z184)),N($U184)*(1+N($V184)+N($W184)+N($X184)+N($Z184))+N($Y184))))</f>
        <v>194240.928</v>
      </c>
      <c r="AB184" s="1217" t="n">
        <v>113526</v>
      </c>
      <c r="AC184" s="1217" t="n"/>
      <c r="AD184" s="1217" t="n"/>
      <c r="AE184" s="1217" t="n"/>
      <c r="AF184" s="1217" t="n"/>
      <c r="AG184" s="1217" t="n"/>
      <c r="AH184" s="1908" t="n"/>
      <c r="AJ184" s="865" t="str">
        <f>IF(TRIM($B184)="","",IF(IFERROR(INDEX(Lists!$AO$2:$AO$11,MATCH(ROW(),Lists!$AN$2:$AN$11,0)),"")&lt;&gt;"",IFERROR(INDEX(Lists!$AO$2:$AO$11,MATCH(ROW(),Lists!$AN$2:$AN$11,0)),""),IFERROR(INDEX(Lists!$U:$U,MATCH(TRIM($I184),Lists!$T:$T,0)),TRIM($I184))))</f>
        <v>Customer</v>
      </c>
      <c r="AK184" s="865" t="str">
        <f>IF(ISNUMBER(SEARCH("vacant",$B184)),"Vacant","Filled")</f>
        <v>Vacant</v>
      </c>
      <c r="AL184" s="865" t="str">
        <f>IF($M184="NZ","NZ","AU")</f>
        <v>AU</v>
      </c>
      <c r="AM184" s="865">
        <f>COUNTIF($AJ$2:$AJ184,$AJ184)</f>
        <v>77</v>
      </c>
      <c r="AN184" s="865" t="str">
        <f>$AJ184&amp;"|"&amp;$AM184</f>
        <v>Customer|77</v>
      </c>
      <c r="AP184" s="865" t="str">
        <f>IF(TRIM($B184)="","",IF($AQ184=1,"Leadership",IFERROR(INDEX(Lists!$X:$X,MATCH(TRIM($K184),Lists!$W:$W,0)),IF(OR(TRIM($K184)="",LOWER(TRIM($K184))="na"),IF(TRIM($G184)="","Unassigned",TRIM($G184)),TRIM($K184)))))</f>
        <v>Digital Operations</v>
      </c>
      <c r="AQ184" s="865" t="b">
        <f>IF(TRIM($B184)="","",--OR(TRIM($K184)="Leadership",TRIM($J184)="Leadership"))</f>
        <v>0</v>
      </c>
      <c r="AR184" s="1136" t="str">
        <f>IF(TRIM($B184)="","",IF(IFERROR(INDEX(Lists!$AQ$2:$AQ$11,MATCH(ROW(),Lists!$AN$2:$AN$11,0)),"")&lt;&gt;"",IFERROR(INDEX(Lists!$AQ$2:$AQ$11,MATCH(ROW(),Lists!$AN$2:$AN$11,0)),""),IF(ISNUMBER(SEARCH("head of ",$C184)),"Head of Technology",IF(ISNUMBER(SEARCH("TDD BP",$C184)),"Business Partner",IF(OR(ISNUMBER(SEARCH("domain architect",$C184)),ISNUMBER(SEARCH("enterprise architect",$C184))),"Domain Architect",IF(ISNUMBER(SEARCH("delivery man",$C184)),"Delivery Manager",IF(OR(ISNUMBER(SEARCH("technology manager",$C184)),ISNUMBER(SEARCH("technology manger",$C184)),ISNUMBER(SEARCH("tech manager",$C184))),"Technology Manager","Squad")))))))</f>
        <v>Squad</v>
      </c>
      <c r="AS184" s="1136" t="str">
        <f>IF(TRIM($B184)="","",IFERROR(INDEX(Lists!$AA:$AA,MATCH($AP184,Lists!$Z:$Z,0)),$AP184))</f>
        <v>Digital Operations</v>
      </c>
      <c r="AT184" s="1136" t="str">
        <f>IF(TRIM($B184)="","",IF(IFERROR(INDEX(Lists!$AP$2:$AP$11,MATCH(ROW(),Lists!$AN$2:$AN$11,0)),"")&lt;&gt;"",IFERROR(INDEX(Lists!$AP$2:$AP$11,MATCH(ROW(),Lists!$AN$2:$AN$11,0)),""),IF(OR(LEFT($AJ184,3)="COE",$AJ184="EGI"),$AP184,IF($AR184&lt;&gt;"Squad",$AR184,$AP184))))</f>
        <v>Digital Operations</v>
      </c>
    </row>
    <row r="185" ht="18" customHeight="1" s="866">
      <c r="A185" s="1208" t="inlineStr">
        <is>
          <t>V</t>
        </is>
      </c>
      <c r="B185" s="1156" t="inlineStr">
        <is>
          <t>Vacant</t>
        </is>
      </c>
      <c r="C185" s="1209" t="inlineStr">
        <is>
          <t>QA / Tester / Mid</t>
        </is>
      </c>
      <c r="D185" s="1209" t="inlineStr">
        <is>
          <t>Vacant</t>
        </is>
      </c>
      <c r="E185" s="1209" t="inlineStr">
        <is>
          <t>Delivery Manager, Loyalty</t>
        </is>
      </c>
      <c r="F185" s="1210" t="inlineStr">
        <is>
          <t>Customer</t>
        </is>
      </c>
      <c r="G185" s="1199" t="inlineStr">
        <is>
          <t>Loyalty &amp; Martech</t>
        </is>
      </c>
      <c r="H185" s="1209" t="inlineStr">
        <is>
          <t xml:space="preserve">Loyalty, Delivery </t>
        </is>
      </c>
      <c r="I185" s="1199" t="inlineStr">
        <is>
          <t>Ampol Customer</t>
        </is>
      </c>
      <c r="J185" s="1209" t="inlineStr">
        <is>
          <t>Ampol Loyalty &amp; Martech</t>
        </is>
      </c>
      <c r="K185" s="1209" t="inlineStr">
        <is>
          <t>AU CRM &amp; Martech</t>
        </is>
      </c>
      <c r="L185" s="1199" t="n"/>
      <c r="M185" s="1211" t="inlineStr">
        <is>
          <t>WIPRO</t>
        </is>
      </c>
      <c r="N185" s="1199" t="inlineStr">
        <is>
          <t>CIA</t>
        </is>
      </c>
      <c r="O185" s="1199" t="n">
        <v>1</v>
      </c>
      <c r="P185" s="1199" t="n"/>
      <c r="Q185" s="1209" t="inlineStr">
        <is>
          <t>Permanent - Full Time</t>
        </is>
      </c>
      <c r="R185" s="1199" t="n">
        <v>222</v>
      </c>
      <c r="S185" s="1199" t="n">
        <v>418</v>
      </c>
      <c r="T185" s="1212" t="n">
        <v>92796</v>
      </c>
      <c r="U185" s="1213" t="n"/>
      <c r="V185" s="1224" t="n"/>
      <c r="W185" s="1209" t="n"/>
      <c r="X185" s="1214" t="n"/>
      <c r="Y185" s="1910" t="n"/>
      <c r="Z185" s="1214" t="n">
        <v>0.03</v>
      </c>
      <c r="AA185" s="1216">
        <f>IF(TRIM($B185)="","",IF(N($AU185)&gt;0,$AU185,IF(N($S185)&gt;0,$S185*Lists!$AG$15*(1+N($Z185)),N($U185)*(1+N($V185)+N($W185)+N($X185)+N($Z185))+N($Y185))))</f>
        <v>95579.88</v>
      </c>
      <c r="AB185" s="1217" t="n">
        <v>113528</v>
      </c>
      <c r="AC185" s="1217" t="n"/>
      <c r="AD185" s="1217" t="n"/>
      <c r="AE185" s="1217" t="n"/>
      <c r="AF185" s="1217" t="n"/>
      <c r="AG185" s="1217" t="n"/>
      <c r="AJ185" s="865" t="str">
        <f>IF(TRIM($B185)="","",IF(IFERROR(INDEX(Lists!$AO$2:$AO$11,MATCH(ROW(),Lists!$AN$2:$AN$11,0)),"")&lt;&gt;"",IFERROR(INDEX(Lists!$AO$2:$AO$11,MATCH(ROW(),Lists!$AN$2:$AN$11,0)),""),IFERROR(INDEX(Lists!$U:$U,MATCH(TRIM($I185),Lists!$T:$T,0)),TRIM($I185))))</f>
        <v>Customer</v>
      </c>
      <c r="AK185" s="865" t="str">
        <f>IF(ISNUMBER(SEARCH("vacant",$B185)),"Vacant","Filled")</f>
        <v>Vacant</v>
      </c>
      <c r="AL185" s="865" t="str">
        <f>IF($M185="NZ","NZ","AU")</f>
        <v>AU</v>
      </c>
      <c r="AM185" s="865">
        <f>COUNTIF($AJ$2:$AJ185,$AJ185)</f>
        <v>78</v>
      </c>
      <c r="AN185" s="865" t="str">
        <f>$AJ185&amp;"|"&amp;$AM185</f>
        <v>Customer|78</v>
      </c>
      <c r="AP185" s="865" t="str">
        <f>IF(TRIM($B185)="","",IF($AQ185=1,"Leadership",IFERROR(INDEX(Lists!$X:$X,MATCH(TRIM($K185),Lists!$W:$W,0)),IF(OR(TRIM($K185)="",LOWER(TRIM($K185))="na"),IF(TRIM($G185)="","Unassigned",TRIM($G185)),TRIM($K185)))))</f>
        <v>Ampol Loyalty &amp; Martech</v>
      </c>
      <c r="AQ185" s="865" t="b">
        <f>IF(TRIM($B185)="","",--OR(TRIM($K185)="Leadership",TRIM($J185)="Leadership"))</f>
        <v>0</v>
      </c>
      <c r="AR185" s="1136" t="str">
        <f>IF(TRIM($B185)="","",IF(IFERROR(INDEX(Lists!$AQ$2:$AQ$11,MATCH(ROW(),Lists!$AN$2:$AN$11,0)),"")&lt;&gt;"",IFERROR(INDEX(Lists!$AQ$2:$AQ$11,MATCH(ROW(),Lists!$AN$2:$AN$11,0)),""),IF(ISNUMBER(SEARCH("head of ",$C185)),"Head of Technology",IF(ISNUMBER(SEARCH("TDD BP",$C185)),"Business Partner",IF(OR(ISNUMBER(SEARCH("domain architect",$C185)),ISNUMBER(SEARCH("enterprise architect",$C185))),"Domain Architect",IF(ISNUMBER(SEARCH("delivery man",$C185)),"Delivery Manager",IF(OR(ISNUMBER(SEARCH("technology manager",$C185)),ISNUMBER(SEARCH("technology manger",$C185)),ISNUMBER(SEARCH("tech manager",$C185))),"Technology Manager","Squad")))))))</f>
        <v>Squad</v>
      </c>
      <c r="AS185" s="1136" t="str">
        <f>IF(TRIM($B185)="","",IFERROR(INDEX(Lists!$AA:$AA,MATCH($AP185,Lists!$Z:$Z,0)),$AP185))</f>
        <v>Ampol Loyalty &amp; Martech</v>
      </c>
      <c r="AT185" s="1136" t="str">
        <f>IF(TRIM($B185)="","",IF(IFERROR(INDEX(Lists!$AP$2:$AP$11,MATCH(ROW(),Lists!$AN$2:$AN$11,0)),"")&lt;&gt;"",IFERROR(INDEX(Lists!$AP$2:$AP$11,MATCH(ROW(),Lists!$AN$2:$AN$11,0)),""),IF(OR(LEFT($AJ185,3)="COE",$AJ185="EGI"),$AP185,IF($AR185&lt;&gt;"Squad",$AR185,$AP185))))</f>
        <v>Ampol Loyalty &amp; Martech</v>
      </c>
    </row>
    <row r="186" ht="18" customHeight="1" s="866">
      <c r="A186" s="1208" t="inlineStr">
        <is>
          <t>V</t>
        </is>
      </c>
      <c r="B186" s="1156" t="inlineStr">
        <is>
          <t>Vacant</t>
        </is>
      </c>
      <c r="C186" s="1209" t="inlineStr">
        <is>
          <t>Systems Analyst / Mid</t>
        </is>
      </c>
      <c r="D186" s="1209" t="inlineStr">
        <is>
          <t>Vacant</t>
        </is>
      </c>
      <c r="E186" s="1209" t="inlineStr">
        <is>
          <t>Delivery Manager, Loyalty</t>
        </is>
      </c>
      <c r="F186" s="1210" t="inlineStr">
        <is>
          <t>Customer</t>
        </is>
      </c>
      <c r="G186" s="1199" t="inlineStr">
        <is>
          <t>Loyalty &amp; Martech</t>
        </is>
      </c>
      <c r="H186" s="1209" t="inlineStr">
        <is>
          <t xml:space="preserve">Loyalty, Delivery </t>
        </is>
      </c>
      <c r="I186" s="1199" t="inlineStr">
        <is>
          <t>Ampol Customer</t>
        </is>
      </c>
      <c r="J186" s="1209" t="inlineStr">
        <is>
          <t>Ampol Loyalty &amp; Martech</t>
        </is>
      </c>
      <c r="K186" s="1209" t="inlineStr">
        <is>
          <t>AU CRM &amp; Martech</t>
        </is>
      </c>
      <c r="L186" s="1199" t="n"/>
      <c r="M186" s="1211" t="inlineStr">
        <is>
          <t>WIPRO</t>
        </is>
      </c>
      <c r="N186" s="1199" t="inlineStr">
        <is>
          <t>CIB</t>
        </is>
      </c>
      <c r="O186" s="1199" t="n">
        <v>1</v>
      </c>
      <c r="P186" s="1199" t="n"/>
      <c r="Q186" s="1209" t="inlineStr">
        <is>
          <t>Permanent - Part Time</t>
        </is>
      </c>
      <c r="R186" s="1199" t="n"/>
      <c r="S186" s="1199" t="n"/>
      <c r="T186" s="1212" t="n">
        <v>128530</v>
      </c>
      <c r="U186" s="1213" t="n">
        <v>118247.6</v>
      </c>
      <c r="V186" s="1224" t="n">
        <v>0.15</v>
      </c>
      <c r="W186" s="1209" t="n"/>
      <c r="X186" s="1214" t="n">
        <v>0.05</v>
      </c>
      <c r="Y186" s="1910" t="n">
        <v>2910</v>
      </c>
      <c r="Z186" s="1214" t="n">
        <v>0.03</v>
      </c>
      <c r="AA186" s="1216">
        <f>IF(TRIM($B186)="","",IF(N($AU186)&gt;0,$AU186,IF(N($S186)&gt;0,$S186*Lists!$AG$15*(1+N($Z186)),N($U186)*(1+N($V186)+N($W186)+N($X186)+N($Z186))+N($Y186))))</f>
        <v>148354.548</v>
      </c>
      <c r="AB186" s="1217" t="n">
        <v>113567</v>
      </c>
      <c r="AC186" s="1217" t="n"/>
      <c r="AD186" s="1217" t="n"/>
      <c r="AE186" s="1217" t="n"/>
      <c r="AF186" s="1217" t="n"/>
      <c r="AG186" s="1217" t="n"/>
      <c r="AH186" s="1908" t="n"/>
      <c r="AJ186" s="865" t="str">
        <f>IF(TRIM($B186)="","",IF(IFERROR(INDEX(Lists!$AO$2:$AO$11,MATCH(ROW(),Lists!$AN$2:$AN$11,0)),"")&lt;&gt;"",IFERROR(INDEX(Lists!$AO$2:$AO$11,MATCH(ROW(),Lists!$AN$2:$AN$11,0)),""),IFERROR(INDEX(Lists!$U:$U,MATCH(TRIM($I186),Lists!$T:$T,0)),TRIM($I186))))</f>
        <v>Customer</v>
      </c>
      <c r="AK186" s="865" t="str">
        <f>IF(ISNUMBER(SEARCH("vacant",$B186)),"Vacant","Filled")</f>
        <v>Vacant</v>
      </c>
      <c r="AL186" s="865" t="str">
        <f>IF($M186="NZ","NZ","AU")</f>
        <v>AU</v>
      </c>
      <c r="AM186" s="865">
        <f>COUNTIF($AJ$2:$AJ186,$AJ186)</f>
        <v>79</v>
      </c>
      <c r="AN186" s="865" t="str">
        <f>$AJ186&amp;"|"&amp;$AM186</f>
        <v>Customer|79</v>
      </c>
      <c r="AP186" s="865" t="str">
        <f>IF(TRIM($B186)="","",IF($AQ186=1,"Leadership",IFERROR(INDEX(Lists!$X:$X,MATCH(TRIM($K186),Lists!$W:$W,0)),IF(OR(TRIM($K186)="",LOWER(TRIM($K186))="na"),IF(TRIM($G186)="","Unassigned",TRIM($G186)),TRIM($K186)))))</f>
        <v>Ampol Loyalty &amp; Martech</v>
      </c>
      <c r="AQ186" s="865" t="b">
        <f>IF(TRIM($B186)="","",--OR(TRIM($K186)="Leadership",TRIM($J186)="Leadership"))</f>
        <v>0</v>
      </c>
      <c r="AR186" s="1136" t="str">
        <f>IF(TRIM($B186)="","",IF(IFERROR(INDEX(Lists!$AQ$2:$AQ$11,MATCH(ROW(),Lists!$AN$2:$AN$11,0)),"")&lt;&gt;"",IFERROR(INDEX(Lists!$AQ$2:$AQ$11,MATCH(ROW(),Lists!$AN$2:$AN$11,0)),""),IF(ISNUMBER(SEARCH("head of ",$C186)),"Head of Technology",IF(ISNUMBER(SEARCH("TDD BP",$C186)),"Business Partner",IF(OR(ISNUMBER(SEARCH("domain architect",$C186)),ISNUMBER(SEARCH("enterprise architect",$C186))),"Domain Architect",IF(ISNUMBER(SEARCH("delivery man",$C186)),"Delivery Manager",IF(OR(ISNUMBER(SEARCH("technology manager",$C186)),ISNUMBER(SEARCH("technology manger",$C186)),ISNUMBER(SEARCH("tech manager",$C186))),"Technology Manager","Squad")))))))</f>
        <v>Squad</v>
      </c>
      <c r="AS186" s="1136" t="str">
        <f>IF(TRIM($B186)="","",IFERROR(INDEX(Lists!$AA:$AA,MATCH($AP186,Lists!$Z:$Z,0)),$AP186))</f>
        <v>Ampol Loyalty &amp; Martech</v>
      </c>
      <c r="AT186" s="1136" t="str">
        <f>IF(TRIM($B186)="","",IF(IFERROR(INDEX(Lists!$AP$2:$AP$11,MATCH(ROW(),Lists!$AN$2:$AN$11,0)),"")&lt;&gt;"",IFERROR(INDEX(Lists!$AP$2:$AP$11,MATCH(ROW(),Lists!$AN$2:$AN$11,0)),""),IF(OR(LEFT($AJ186,3)="COE",$AJ186="EGI"),$AP186,IF($AR186&lt;&gt;"Squad",$AR186,$AP186))))</f>
        <v>Ampol Loyalty &amp; Martech</v>
      </c>
    </row>
    <row r="187" ht="18" customHeight="1" s="866">
      <c r="A187" s="1208" t="inlineStr">
        <is>
          <t>C</t>
        </is>
      </c>
      <c r="B187" s="1156" t="inlineStr">
        <is>
          <t>Waheed Malek</t>
        </is>
      </c>
      <c r="C187" s="1209" t="inlineStr">
        <is>
          <t>Quality Assurance</t>
        </is>
      </c>
      <c r="D187" s="1209" t="inlineStr">
        <is>
          <t>Mitesh Shah</t>
        </is>
      </c>
      <c r="E187" s="1209" t="inlineStr">
        <is>
          <t>Technology Manager, Digitial</t>
        </is>
      </c>
      <c r="F187" s="1210" t="inlineStr">
        <is>
          <t>Customer</t>
        </is>
      </c>
      <c r="G187" s="1199" t="inlineStr">
        <is>
          <t>Digital</t>
        </is>
      </c>
      <c r="H187" s="1209" t="inlineStr">
        <is>
          <t>Digital, Tech</t>
        </is>
      </c>
      <c r="I187" s="1199" t="inlineStr">
        <is>
          <t>Ampol Customer</t>
        </is>
      </c>
      <c r="J187" s="1209" t="inlineStr">
        <is>
          <t>EGI</t>
        </is>
      </c>
      <c r="K187" s="1209" t="inlineStr">
        <is>
          <t>EGI Customer</t>
        </is>
      </c>
      <c r="L187" s="1199" t="n"/>
      <c r="M187" s="1211" t="inlineStr">
        <is>
          <t>Australia</t>
        </is>
      </c>
      <c r="N187" s="1199" t="inlineStr">
        <is>
          <t>NA</t>
        </is>
      </c>
      <c r="O187" s="1199" t="n">
        <v>1</v>
      </c>
      <c r="P187" s="1199" t="n"/>
      <c r="Q187" s="1199" t="inlineStr">
        <is>
          <t>Permanent - Full Time</t>
        </is>
      </c>
      <c r="R187" s="1199" t="n"/>
      <c r="S187" s="1199" t="n"/>
      <c r="T187" s="1212" t="n">
        <v>170880</v>
      </c>
      <c r="U187" s="1213" t="n">
        <v>157209.6</v>
      </c>
      <c r="V187" s="1214" t="n">
        <v>0.15</v>
      </c>
      <c r="W187" s="1215" t="n"/>
      <c r="X187" s="1215" t="n">
        <v>0.05</v>
      </c>
      <c r="Y187" s="1215" t="n">
        <v>2910</v>
      </c>
      <c r="Z187" s="1215" t="n">
        <v>0.03</v>
      </c>
      <c r="AA187" s="1216">
        <f>IF(TRIM($B187)="","",IF(N($AU187)&gt;0,$AU187,IF(N($S187)&gt;0,$S187*Lists!$AG$15*(1+N($Z187)),N($U187)*(1+N($V187)+N($W187)+N($X187)+N($Z187))+N($Y187))))</f>
        <v>196277.808</v>
      </c>
      <c r="AB187" s="1217" t="n"/>
      <c r="AC187" s="1217" t="n"/>
      <c r="AD187" s="1217" t="n"/>
      <c r="AE187" s="1217" t="n"/>
      <c r="AF187" s="1217" t="n"/>
      <c r="AG187" s="1217" t="n"/>
      <c r="AH187" s="1908" t="n"/>
      <c r="AJ187" s="865" t="str">
        <f>IF(TRIM($B187)="","",IF(IFERROR(INDEX(Lists!$AO$2:$AO$11,MATCH(ROW(),Lists!$AN$2:$AN$11,0)),"")&lt;&gt;"",IFERROR(INDEX(Lists!$AO$2:$AO$11,MATCH(ROW(),Lists!$AN$2:$AN$11,0)),""),IFERROR(INDEX(Lists!$U:$U,MATCH(TRIM($I187),Lists!$T:$T,0)),TRIM($I187))))</f>
        <v>Customer</v>
      </c>
      <c r="AK187" s="865" t="str">
        <f>IF(ISNUMBER(SEARCH("vacant",$B187)),"Vacant","Filled")</f>
        <v>Filled</v>
      </c>
      <c r="AL187" s="865" t="str">
        <f>IF($M187="NZ","NZ","AU")</f>
        <v>AU</v>
      </c>
      <c r="AM187" s="865">
        <f>COUNTIF($AJ$2:$AJ187,$AJ187)</f>
        <v>80</v>
      </c>
      <c r="AN187" s="865" t="str">
        <f>$AJ187&amp;"|"&amp;$AM187</f>
        <v>Customer|80</v>
      </c>
      <c r="AP187" s="865" t="str">
        <f>IF(TRIM($B187)="","",IF($AQ187=1,"Leadership",IFERROR(INDEX(Lists!$X:$X,MATCH(TRIM($K187),Lists!$W:$W,0)),IF(OR(TRIM($K187)="",LOWER(TRIM($K187))="na"),IF(TRIM($G187)="","Unassigned",TRIM($G187)),TRIM($K187)))))</f>
        <v>EGI Customer</v>
      </c>
      <c r="AQ187" s="865" t="b">
        <f>IF(TRIM($B187)="","",--OR(TRIM($K187)="Leadership",TRIM($J187)="Leadership"))</f>
        <v>0</v>
      </c>
      <c r="AR187" s="1136" t="str">
        <f>IF(TRIM($B187)="","",IF(IFERROR(INDEX(Lists!$AQ$2:$AQ$11,MATCH(ROW(),Lists!$AN$2:$AN$11,0)),"")&lt;&gt;"",IFERROR(INDEX(Lists!$AQ$2:$AQ$11,MATCH(ROW(),Lists!$AN$2:$AN$11,0)),""),IF(ISNUMBER(SEARCH("head of ",$C187)),"Head of Technology",IF(ISNUMBER(SEARCH("TDD BP",$C187)),"Business Partner",IF(OR(ISNUMBER(SEARCH("domain architect",$C187)),ISNUMBER(SEARCH("enterprise architect",$C187))),"Domain Architect",IF(ISNUMBER(SEARCH("delivery man",$C187)),"Delivery Manager",IF(OR(ISNUMBER(SEARCH("technology manager",$C187)),ISNUMBER(SEARCH("technology manger",$C187)),ISNUMBER(SEARCH("tech manager",$C187))),"Technology Manager","Squad")))))))</f>
        <v>Squad</v>
      </c>
      <c r="AS187" s="1136" t="str">
        <f>IF(TRIM($B187)="","",IFERROR(INDEX(Lists!$AA:$AA,MATCH($AP187,Lists!$Z:$Z,0)),$AP187))</f>
        <v>EGI Customer</v>
      </c>
      <c r="AT187" s="1136" t="str">
        <f>IF(TRIM($B187)="","",IF(IFERROR(INDEX(Lists!$AP$2:$AP$11,MATCH(ROW(),Lists!$AN$2:$AN$11,0)),"")&lt;&gt;"",IFERROR(INDEX(Lists!$AP$2:$AP$11,MATCH(ROW(),Lists!$AN$2:$AN$11,0)),""),IF(OR(LEFT($AJ187,3)="COE",$AJ187="EGI"),$AP187,IF($AR187&lt;&gt;"Squad",$AR187,$AP187))))</f>
        <v>EGI Customer</v>
      </c>
    </row>
    <row r="188" ht="18" customHeight="1" s="866">
      <c r="A188" s="1208" t="n">
        <v>99999102155</v>
      </c>
      <c r="B188" s="1156" t="inlineStr">
        <is>
          <t>Yash Thakkar</t>
        </is>
      </c>
      <c r="C188" s="1209" t="inlineStr">
        <is>
          <t>Martech Specialist</t>
        </is>
      </c>
      <c r="D188" s="1209" t="inlineStr">
        <is>
          <t>Kris Hamilton</t>
        </is>
      </c>
      <c r="E188" s="1209" t="inlineStr">
        <is>
          <t>Technology Manager, Loyalty &amp; Martech</t>
        </is>
      </c>
      <c r="F188" s="1210" t="inlineStr">
        <is>
          <t>Customer</t>
        </is>
      </c>
      <c r="G188" s="1199" t="inlineStr">
        <is>
          <t>Loyalty &amp; Martech</t>
        </is>
      </c>
      <c r="H188" s="1209" t="inlineStr">
        <is>
          <t>Loyalty, Tech</t>
        </is>
      </c>
      <c r="I188" s="1199" t="inlineStr">
        <is>
          <t>Ampol Customer</t>
        </is>
      </c>
      <c r="J188" s="1209" t="inlineStr">
        <is>
          <t>(All Customer)</t>
        </is>
      </c>
      <c r="K188" s="1209" t="inlineStr">
        <is>
          <t>Z Energy Martech</t>
        </is>
      </c>
      <c r="L188" s="1199" t="n"/>
      <c r="M188" s="1211" t="inlineStr">
        <is>
          <t>NZ</t>
        </is>
      </c>
      <c r="N188" s="1199" t="inlineStr">
        <is>
          <t>CIA</t>
        </is>
      </c>
      <c r="O188" s="1199" t="n">
        <v>1</v>
      </c>
      <c r="P188" s="1199" t="n"/>
      <c r="Q188" s="1199" t="inlineStr">
        <is>
          <t>V</t>
        </is>
      </c>
      <c r="R188" s="1199" t="n"/>
      <c r="S188" s="1199" t="n"/>
      <c r="T188" s="1212" t="n">
        <v>151950</v>
      </c>
      <c r="U188" s="1213" t="n">
        <v>151950</v>
      </c>
      <c r="V188" s="1214" t="n">
        <v>0.12</v>
      </c>
      <c r="W188" s="1215" t="n">
        <v>0.055</v>
      </c>
      <c r="X188" s="1215" t="n">
        <v>0.12</v>
      </c>
      <c r="Y188" s="1215" t="n"/>
      <c r="Z188" s="1215" t="n">
        <v>0.04</v>
      </c>
      <c r="AA188" s="1216">
        <f>IF(TRIM($B188)="","",IF(N($AU188)&gt;0,$AU188,IF(N($S188)&gt;0,$S188*Lists!$AG$15*(1+N($Z188)),N($U188)*(1+N($V188)+N($W188)+N($X188)+N($Z188))+N($Y188))))</f>
        <v>202853.25</v>
      </c>
      <c r="AB188" s="1217" t="n"/>
      <c r="AC188" s="1217" t="n"/>
      <c r="AD188" s="1217" t="n"/>
      <c r="AE188" s="1217" t="n"/>
      <c r="AF188" s="1217" t="n"/>
      <c r="AG188" s="1217" t="n"/>
      <c r="AH188" s="1908" t="n"/>
      <c r="AJ188" s="865" t="str">
        <f>IF(TRIM($B188)="","",IF(IFERROR(INDEX(Lists!$AO$2:$AO$11,MATCH(ROW(),Lists!$AN$2:$AN$11,0)),"")&lt;&gt;"",IFERROR(INDEX(Lists!$AO$2:$AO$11,MATCH(ROW(),Lists!$AN$2:$AN$11,0)),""),IFERROR(INDEX(Lists!$U:$U,MATCH(TRIM($I188),Lists!$T:$T,0)),TRIM($I188))))</f>
        <v>Customer</v>
      </c>
      <c r="AK188" s="865" t="str">
        <f>IF(ISNUMBER(SEARCH("vacant",$B188)),"Vacant","Filled")</f>
        <v>Filled</v>
      </c>
      <c r="AL188" s="865" t="str">
        <f>IF($M188="NZ","NZ","AU")</f>
        <v>NZ</v>
      </c>
      <c r="AM188" s="865">
        <f>COUNTIF($AJ$2:$AJ188,$AJ188)</f>
        <v>81</v>
      </c>
      <c r="AN188" s="865" t="str">
        <f>$AJ188&amp;"|"&amp;$AM188</f>
        <v>Customer|81</v>
      </c>
      <c r="AP188" s="865" t="str">
        <f>IF(TRIM($B188)="","",IF($AQ188=1,"Leadership",IFERROR(INDEX(Lists!$X:$X,MATCH(TRIM($K188),Lists!$W:$W,0)),IF(OR(TRIM($K188)="",LOWER(TRIM($K188))="na"),IF(TRIM($G188)="","Unassigned",TRIM($G188)),TRIM($K188)))))</f>
        <v>Z Loyalty &amp; Martech</v>
      </c>
      <c r="AQ188" s="865" t="b">
        <f>IF(TRIM($B188)="","",--OR(TRIM($K188)="Leadership",TRIM($J188)="Leadership"))</f>
        <v>0</v>
      </c>
      <c r="AR188" s="1136" t="str">
        <f>IF(TRIM($B188)="","",IF(IFERROR(INDEX(Lists!$AQ$2:$AQ$11,MATCH(ROW(),Lists!$AN$2:$AN$11,0)),"")&lt;&gt;"",IFERROR(INDEX(Lists!$AQ$2:$AQ$11,MATCH(ROW(),Lists!$AN$2:$AN$11,0)),""),IF(ISNUMBER(SEARCH("head of ",$C188)),"Head of Technology",IF(ISNUMBER(SEARCH("TDD BP",$C188)),"Business Partner",IF(OR(ISNUMBER(SEARCH("domain architect",$C188)),ISNUMBER(SEARCH("enterprise architect",$C188))),"Domain Architect",IF(ISNUMBER(SEARCH("delivery man",$C188)),"Delivery Manager",IF(OR(ISNUMBER(SEARCH("technology manager",$C188)),ISNUMBER(SEARCH("technology manger",$C188)),ISNUMBER(SEARCH("tech manager",$C188))),"Technology Manager","Squad")))))))</f>
        <v>Squad</v>
      </c>
      <c r="AS188" s="1136" t="str">
        <f>IF(TRIM($B188)="","",IFERROR(INDEX(Lists!$AA:$AA,MATCH($AP188,Lists!$Z:$Z,0)),$AP188))</f>
        <v>Z Loyalty &amp; Martech</v>
      </c>
      <c r="AT188" s="1136" t="str">
        <f>IF(TRIM($B188)="","",IF(IFERROR(INDEX(Lists!$AP$2:$AP$11,MATCH(ROW(),Lists!$AN$2:$AN$11,0)),"")&lt;&gt;"",IFERROR(INDEX(Lists!$AP$2:$AP$11,MATCH(ROW(),Lists!$AN$2:$AN$11,0)),""),IF(OR(LEFT($AJ188,3)="COE",$AJ188="EGI"),$AP188,IF($AR188&lt;&gt;"Squad",$AR188,$AP188))))</f>
        <v>Z Loyalty &amp; Martech</v>
      </c>
    </row>
    <row r="189" ht="18" customHeight="1" s="866">
      <c r="A189" s="1208" t="inlineStr">
        <is>
          <t>V</t>
        </is>
      </c>
      <c r="B189" s="1156" t="inlineStr">
        <is>
          <t>Zoe Udy</t>
        </is>
      </c>
      <c r="C189" s="1209" t="inlineStr">
        <is>
          <t>Technology Manager - Data &amp; Engineering</t>
        </is>
      </c>
      <c r="D189" s="1209" t="inlineStr">
        <is>
          <t>Andy Stewart</t>
        </is>
      </c>
      <c r="E189" s="1209" t="inlineStr">
        <is>
          <t>Head of Technology, Loyalty &amp; Martech</t>
        </is>
      </c>
      <c r="F189" s="1210" t="inlineStr">
        <is>
          <t>Customer</t>
        </is>
      </c>
      <c r="G189" s="1199" t="inlineStr">
        <is>
          <t>Loyalty &amp; Martech</t>
        </is>
      </c>
      <c r="H189" s="1209" t="inlineStr">
        <is>
          <t>Loyalty, Data &amp; Engineering</t>
        </is>
      </c>
      <c r="I189" s="1199" t="inlineStr">
        <is>
          <t>Ampol Customer</t>
        </is>
      </c>
      <c r="J189" s="1221" t="inlineStr">
        <is>
          <t>Z Energy (Digitial) and Ampol Customer</t>
        </is>
      </c>
      <c r="K189" s="1209" t="inlineStr">
        <is>
          <t>Leadership</t>
        </is>
      </c>
      <c r="L189" s="1199" t="n"/>
      <c r="M189" s="1211" t="inlineStr">
        <is>
          <t>Australia</t>
        </is>
      </c>
      <c r="N189" s="1199" t="inlineStr">
        <is>
          <t>CSB</t>
        </is>
      </c>
      <c r="O189" s="1199" t="n">
        <v>1</v>
      </c>
      <c r="P189" s="1199" t="n"/>
      <c r="Q189" s="1199" t="inlineStr">
        <is>
          <t>v</t>
        </is>
      </c>
      <c r="R189" s="1199" t="n"/>
      <c r="S189" s="1199" t="n"/>
      <c r="T189" s="1212" t="n">
        <v>151950</v>
      </c>
      <c r="U189" s="1213" t="n">
        <v>151950</v>
      </c>
      <c r="V189" s="1214" t="n">
        <v>0.12</v>
      </c>
      <c r="W189" s="1215" t="n">
        <v>0.055</v>
      </c>
      <c r="X189" s="1215" t="n">
        <v>0.12</v>
      </c>
      <c r="Y189" s="1215" t="n"/>
      <c r="Z189" s="1215" t="n">
        <v>0.04</v>
      </c>
      <c r="AA189" s="1216">
        <f>IF(TRIM($B189)="","",IF(N($AU189)&gt;0,$AU189,IF(N($S189)&gt;0,$S189*Lists!$AG$15*(1+N($Z189)),N($U189)*(1+N($V189)+N($W189)+N($X189)+N($Z189))+N($Y189))))</f>
        <v>202853.25</v>
      </c>
      <c r="AB189" s="1217" t="n">
        <v>113590</v>
      </c>
      <c r="AC189" s="1217" t="n"/>
      <c r="AD189" s="1217" t="n"/>
      <c r="AE189" s="1217" t="n"/>
      <c r="AF189" s="1217" t="n"/>
      <c r="AG189" s="1217" t="n"/>
      <c r="AJ189" s="865" t="str">
        <f>IF(TRIM($B189)="","",IF(IFERROR(INDEX(Lists!$AO$2:$AO$11,MATCH(ROW(),Lists!$AN$2:$AN$11,0)),"")&lt;&gt;"",IFERROR(INDEX(Lists!$AO$2:$AO$11,MATCH(ROW(),Lists!$AN$2:$AN$11,0)),""),IFERROR(INDEX(Lists!$U:$U,MATCH(TRIM($I189),Lists!$T:$T,0)),TRIM($I189))))</f>
        <v>Customer</v>
      </c>
      <c r="AK189" s="865" t="str">
        <f>IF(ISNUMBER(SEARCH("vacant",$B189)),"Vacant","Filled")</f>
        <v>Filled</v>
      </c>
      <c r="AL189" s="865" t="str">
        <f>IF($M189="NZ","NZ","AU")</f>
        <v>AU</v>
      </c>
      <c r="AM189" s="865">
        <f>COUNTIF($AJ$2:$AJ189,$AJ189)</f>
        <v>82</v>
      </c>
      <c r="AN189" s="865" t="str">
        <f>$AJ189&amp;"|"&amp;$AM189</f>
        <v>Customer|82</v>
      </c>
      <c r="AP189" s="865" t="str">
        <f>IF(TRIM($B189)="","",IF($AQ189=1,"Leadership",IFERROR(INDEX(Lists!$X:$X,MATCH(TRIM($K189),Lists!$W:$W,0)),IF(OR(TRIM($K189)="",LOWER(TRIM($K189))="na"),IF(TRIM($G189)="","Unassigned",TRIM($G189)),TRIM($K189)))))</f>
        <v>Leadership</v>
      </c>
      <c r="AQ189" s="865" t="b">
        <f>IF(TRIM($B189)="","",--OR(TRIM($K189)="Leadership",TRIM($J189)="Leadership"))</f>
        <v>1</v>
      </c>
      <c r="AR189" s="1136" t="str">
        <f>IF(TRIM($B189)="","",IF(IFERROR(INDEX(Lists!$AQ$2:$AQ$11,MATCH(ROW(),Lists!$AN$2:$AN$11,0)),"")&lt;&gt;"",IFERROR(INDEX(Lists!$AQ$2:$AQ$11,MATCH(ROW(),Lists!$AN$2:$AN$11,0)),""),IF(ISNUMBER(SEARCH("head of ",$C189)),"Head of Technology",IF(ISNUMBER(SEARCH("TDD BP",$C189)),"Business Partner",IF(OR(ISNUMBER(SEARCH("domain architect",$C189)),ISNUMBER(SEARCH("enterprise architect",$C189))),"Domain Architect",IF(ISNUMBER(SEARCH("delivery man",$C189)),"Delivery Manager",IF(OR(ISNUMBER(SEARCH("technology manager",$C189)),ISNUMBER(SEARCH("technology manger",$C189)),ISNUMBER(SEARCH("tech manager",$C189))),"Technology Manager","Squad")))))))</f>
        <v>Technology Manager</v>
      </c>
      <c r="AS189" s="1136" t="str">
        <f>IF(TRIM($B189)="","",IFERROR(INDEX(Lists!$AA:$AA,MATCH($AP189,Lists!$Z:$Z,0)),$AP189))</f>
        <v>Leadership</v>
      </c>
      <c r="AT189" s="1136" t="str">
        <f>IF(TRIM($B189)="","",IF(IFERROR(INDEX(Lists!$AP$2:$AP$11,MATCH(ROW(),Lists!$AN$2:$AN$11,0)),"")&lt;&gt;"",IFERROR(INDEX(Lists!$AP$2:$AP$11,MATCH(ROW(),Lists!$AN$2:$AN$11,0)),""),IF(OR(LEFT($AJ189,3)="COE",$AJ189="EGI"),$AP189,IF($AR189&lt;&gt;"Squad",$AR189,$AP189))))</f>
        <v>Technology Manager</v>
      </c>
    </row>
    <row r="190" ht="18" customHeight="1" s="866">
      <c r="A190" s="1208" t="n">
        <v>115607</v>
      </c>
      <c r="B190" s="1209" t="inlineStr">
        <is>
          <t>Zohan Sim</t>
        </is>
      </c>
      <c r="C190" s="1209" t="inlineStr">
        <is>
          <t>Engineer - BE</t>
        </is>
      </c>
      <c r="D190" s="1209" t="inlineStr">
        <is>
          <t>Jin Zhong</t>
        </is>
      </c>
      <c r="E190" s="1209" t="inlineStr">
        <is>
          <t>Lead Engineer - BE</t>
        </is>
      </c>
      <c r="F190" s="1210" t="inlineStr">
        <is>
          <t>Customer</t>
        </is>
      </c>
      <c r="G190" s="1199" t="inlineStr">
        <is>
          <t>Digital</t>
        </is>
      </c>
      <c r="H190" s="1209" t="inlineStr">
        <is>
          <t>Tech, Digital Engineering</t>
        </is>
      </c>
      <c r="I190" s="1199" t="inlineStr">
        <is>
          <t>Ampol Customer</t>
        </is>
      </c>
      <c r="J190" s="1209" t="inlineStr">
        <is>
          <t>Ampol Digital</t>
        </is>
      </c>
      <c r="K190" s="1209" t="inlineStr">
        <is>
          <t>Ampol Web</t>
        </is>
      </c>
      <c r="L190" s="1199" t="n"/>
      <c r="M190" s="1211" t="inlineStr">
        <is>
          <t>Australia</t>
        </is>
      </c>
      <c r="N190" s="1199" t="inlineStr">
        <is>
          <t>CIA</t>
        </is>
      </c>
      <c r="O190" s="1199" t="n">
        <v>1</v>
      </c>
      <c r="P190" s="1199" t="n"/>
      <c r="Q190" s="1199" t="inlineStr">
        <is>
          <t>Permanent - Full Time</t>
        </is>
      </c>
      <c r="R190" s="1199" t="n"/>
      <c r="S190" s="1199" t="n"/>
      <c r="T190" s="1212" t="n">
        <v>130000</v>
      </c>
      <c r="U190" s="1213" t="n">
        <v>119600</v>
      </c>
      <c r="V190" s="1214" t="n">
        <v>0.15</v>
      </c>
      <c r="W190" s="1215" t="n"/>
      <c r="X190" s="1215" t="n">
        <v>0.05</v>
      </c>
      <c r="Y190" s="1215" t="n">
        <v>2910</v>
      </c>
      <c r="Z190" s="1215" t="n">
        <v>0.03</v>
      </c>
      <c r="AA190" s="1216">
        <f>IF(TRIM($B190)="","",IF(N($AU190)&gt;0,$AU190,IF(N($S190)&gt;0,$S190*Lists!$AG$15*(1+N($Z190)),N($U190)*(1+N($V190)+N($W190)+N($X190)+N($Z190))+N($Y190))))</f>
        <v>150018</v>
      </c>
      <c r="AB190" s="1217" t="n">
        <v>117151</v>
      </c>
      <c r="AC190" s="1217" t="n"/>
      <c r="AD190" s="1217" t="n"/>
      <c r="AE190" s="1217" t="n"/>
      <c r="AF190" s="1217" t="n"/>
      <c r="AG190" s="1217" t="n"/>
      <c r="AH190" s="1908" t="n"/>
      <c r="AJ190" s="865" t="str">
        <f>IF(TRIM($B190)="","",IF(IFERROR(INDEX(Lists!$AO$2:$AO$11,MATCH(ROW(),Lists!$AN$2:$AN$11,0)),"")&lt;&gt;"",IFERROR(INDEX(Lists!$AO$2:$AO$11,MATCH(ROW(),Lists!$AN$2:$AN$11,0)),""),IFERROR(INDEX(Lists!$U:$U,MATCH(TRIM($I190),Lists!$T:$T,0)),TRIM($I190))))</f>
        <v>Customer</v>
      </c>
      <c r="AK190" s="865" t="str">
        <f>IF(ISNUMBER(SEARCH("vacant",$B190)),"Vacant","Filled")</f>
        <v>Filled</v>
      </c>
      <c r="AL190" s="865" t="str">
        <f>IF($M190="NZ","NZ","AU")</f>
        <v>AU</v>
      </c>
      <c r="AM190" s="865">
        <f>COUNTIF($AJ$2:$AJ190,$AJ190)</f>
        <v>83</v>
      </c>
      <c r="AN190" s="865" t="str">
        <f>$AJ190&amp;"|"&amp;$AM190</f>
        <v>Customer|83</v>
      </c>
      <c r="AP190" s="865" t="str">
        <f>IF(TRIM($B190)="","",IF($AQ190=1,"Leadership",IFERROR(INDEX(Lists!$X:$X,MATCH(TRIM($K190),Lists!$W:$W,0)),IF(OR(TRIM($K190)="",LOWER(TRIM($K190))="na"),IF(TRIM($G190)="","Unassigned",TRIM($G190)),TRIM($K190)))))</f>
        <v>Ampol Web</v>
      </c>
      <c r="AQ190" s="865" t="b">
        <f>IF(TRIM($B190)="","",--OR(TRIM($K190)="Leadership",TRIM($J190)="Leadership"))</f>
        <v>0</v>
      </c>
      <c r="AR190" s="1136" t="str">
        <f>IF(TRIM($B190)="","",IF(IFERROR(INDEX(Lists!$AQ$2:$AQ$11,MATCH(ROW(),Lists!$AN$2:$AN$11,0)),"")&lt;&gt;"",IFERROR(INDEX(Lists!$AQ$2:$AQ$11,MATCH(ROW(),Lists!$AN$2:$AN$11,0)),""),IF(ISNUMBER(SEARCH("head of ",$C190)),"Head of Technology",IF(ISNUMBER(SEARCH("TDD BP",$C190)),"Business Partner",IF(OR(ISNUMBER(SEARCH("domain architect",$C190)),ISNUMBER(SEARCH("enterprise architect",$C190))),"Domain Architect",IF(ISNUMBER(SEARCH("delivery man",$C190)),"Delivery Manager",IF(OR(ISNUMBER(SEARCH("technology manager",$C190)),ISNUMBER(SEARCH("technology manger",$C190)),ISNUMBER(SEARCH("tech manager",$C190))),"Technology Manager","Squad")))))))</f>
        <v>Squad</v>
      </c>
      <c r="AS190" s="1136" t="str">
        <f>IF(TRIM($B190)="","",IFERROR(INDEX(Lists!$AA:$AA,MATCH($AP190,Lists!$Z:$Z,0)),$AP190))</f>
        <v>Ampol Web</v>
      </c>
      <c r="AT190" s="1136" t="str">
        <f>IF(TRIM($B190)="","",IF(IFERROR(INDEX(Lists!$AP$2:$AP$11,MATCH(ROW(),Lists!$AN$2:$AN$11,0)),"")&lt;&gt;"",IFERROR(INDEX(Lists!$AP$2:$AP$11,MATCH(ROW(),Lists!$AN$2:$AN$11,0)),""),IF(OR(LEFT($AJ190,3)="COE",$AJ190="EGI"),$AP190,IF($AR190&lt;&gt;"Squad",$AR190,$AP190))))</f>
        <v>Ampol Web</v>
      </c>
    </row>
    <row r="191" ht="18" customHeight="1" s="866">
      <c r="A191" s="1208" t="n"/>
      <c r="B191" s="1199" t="n"/>
      <c r="C191" s="1199" t="n"/>
      <c r="D191" s="1199" t="n"/>
      <c r="E191" s="1199" t="n"/>
      <c r="F191" s="1210" t="n"/>
      <c r="G191" s="1199" t="n"/>
      <c r="H191" s="1199" t="n"/>
      <c r="I191" s="1209" t="n"/>
      <c r="J191" s="1199" t="n"/>
      <c r="K191" s="1199" t="n"/>
      <c r="L191" s="1199" t="n"/>
      <c r="M191" s="1211" t="n"/>
      <c r="N191" s="1199" t="n"/>
      <c r="O191" s="1209" t="n"/>
      <c r="P191" s="1199" t="n"/>
      <c r="Q191" s="1199" t="n"/>
      <c r="R191" s="1199" t="n"/>
      <c r="S191" s="1199" t="n"/>
      <c r="T191" s="1212" t="n"/>
      <c r="U191" s="1213" t="n"/>
      <c r="V191" s="1214" t="n"/>
      <c r="W191" s="1215" t="n"/>
      <c r="X191" s="1215" t="n"/>
      <c r="Y191" s="1215" t="n"/>
      <c r="Z191" s="1215" t="n"/>
      <c r="AA191" s="1216">
        <f>IF(TRIM($B191)="","",IF(N($AU191)&gt;0,$AU191,IF(N($S191)&gt;0,$S191*Lists!$AG$15*(1+N($Z191)),N($U191)*(1+N($V191)+N($W191)+N($X191)+N($Z191))+N($Y191))))</f>
        <v/>
      </c>
      <c r="AB191" s="1217" t="n"/>
      <c r="AC191" s="1911" t="n"/>
      <c r="AD191" s="1217" t="n"/>
      <c r="AE191" s="1217" t="n"/>
      <c r="AF191" s="1217" t="n"/>
      <c r="AG191" s="1217" t="n"/>
      <c r="AH191" s="1908" t="n"/>
      <c r="AJ191" s="1136">
        <f>IF(TRIM($B191)="","",IF(IFERROR(INDEX(Lists!$AO$2:$AO$11,MATCH(ROW(),Lists!$AN$2:$AN$11,0)),"")&lt;&gt;"",IFERROR(INDEX(Lists!$AO$2:$AO$11,MATCH(ROW(),Lists!$AN$2:$AN$11,0)),""),IFERROR(INDEX(Lists!$U:$U,MATCH(TRIM($I191),Lists!$T:$T,0)),TRIM($I191))))</f>
        <v/>
      </c>
      <c r="AP191" s="1136">
        <f>IF(TRIM($B191)="","",IF($AQ191=1,"Leadership",IFERROR(INDEX(Lists!$X:$X,MATCH(TRIM($K191),Lists!$W:$W,0)),IF(OR(TRIM($K191)="",LOWER(TRIM($K191))="na"),IF(TRIM($G191)="","Unassigned",TRIM($G191)),TRIM($K191)))))</f>
        <v/>
      </c>
      <c r="AQ191" s="1136">
        <f>IF(TRIM($B191)="","",--OR(TRIM($K191)="Leadership",TRIM($J191)="Leadership"))</f>
        <v/>
      </c>
      <c r="AR191" s="1136">
        <f>IF(TRIM($B191)="","",IF(IFERROR(INDEX(Lists!$AQ$2:$AQ$11,MATCH(ROW(),Lists!$AN$2:$AN$11,0)),"")&lt;&gt;"",IFERROR(INDEX(Lists!$AQ$2:$AQ$11,MATCH(ROW(),Lists!$AN$2:$AN$11,0)),""),IF(ISNUMBER(SEARCH("head of ",$C191)),"Head of Technology",IF(ISNUMBER(SEARCH("TDD BP",$C191)),"Business Partner",IF(OR(ISNUMBER(SEARCH("domain architect",$C191)),ISNUMBER(SEARCH("enterprise architect",$C191))),"Domain Architect",IF(ISNUMBER(SEARCH("delivery man",$C191)),"Delivery Manager",IF(OR(ISNUMBER(SEARCH("technology manager",$C191)),ISNUMBER(SEARCH("technology manger",$C191)),ISNUMBER(SEARCH("tech manager",$C191))),"Technology Manager","Squad")))))))</f>
        <v/>
      </c>
      <c r="AS191" s="1136">
        <f>IF(TRIM($B191)="","",IFERROR(INDEX(Lists!$AA:$AA,MATCH($AP191,Lists!$Z:$Z,0)),$AP191))</f>
        <v/>
      </c>
      <c r="AT191" s="1136">
        <f>IF(TRIM($B191)="","",IF(IFERROR(INDEX(Lists!$AP$2:$AP$11,MATCH(ROW(),Lists!$AN$2:$AN$11,0)),"")&lt;&gt;"",IFERROR(INDEX(Lists!$AP$2:$AP$11,MATCH(ROW(),Lists!$AN$2:$AN$11,0)),""),IF(OR(LEFT($AJ191,3)="COE",$AJ191="EGI"),$AP191,IF($AR191&lt;&gt;"Squad",$AR191,$AP191))))</f>
        <v/>
      </c>
    </row>
    <row r="192" ht="18" customHeight="1" s="866">
      <c r="A192" s="1208" t="n"/>
      <c r="B192" s="1209" t="n"/>
      <c r="C192" s="1209" t="n"/>
      <c r="D192" s="1209" t="n"/>
      <c r="E192" s="1209" t="n"/>
      <c r="F192" s="1210" t="n"/>
      <c r="G192" s="1199" t="n"/>
      <c r="H192" s="1199" t="n"/>
      <c r="I192" s="1199" t="n"/>
      <c r="J192" s="1209" t="n"/>
      <c r="K192" s="1209" t="n"/>
      <c r="L192" s="1199" t="n"/>
      <c r="M192" s="1211" t="n"/>
      <c r="N192" s="1199" t="n"/>
      <c r="O192" s="1199" t="n"/>
      <c r="P192" s="1199" t="n"/>
      <c r="Q192" s="1209" t="n"/>
      <c r="R192" s="1199" t="n"/>
      <c r="S192" s="1199" t="n"/>
      <c r="T192" s="1212" t="n"/>
      <c r="U192" s="1213" t="n"/>
      <c r="V192" s="1224" t="n"/>
      <c r="W192" s="1199" t="n"/>
      <c r="X192" s="1214" t="n"/>
      <c r="Y192" s="1910" t="n"/>
      <c r="Z192" s="1214" t="n"/>
      <c r="AA192" s="1216">
        <f>IF(TRIM($B192)="","",IF(N($AU192)&gt;0,$AU192,IF(N($S192)&gt;0,$S192*Lists!$AG$15*(1+N($Z192)),N($U192)*(1+N($V192)+N($W192)+N($X192)+N($Z192))+N($Y192))))</f>
        <v/>
      </c>
      <c r="AB192" s="1217" t="n"/>
      <c r="AC192" s="1217" t="n"/>
      <c r="AD192" s="1217" t="n"/>
      <c r="AE192" s="1217" t="n"/>
      <c r="AF192" s="1217" t="n"/>
      <c r="AG192" s="1217" t="n"/>
      <c r="AJ192" s="1136">
        <f>IF(TRIM($B192)="","",IF(IFERROR(INDEX(Lists!$AO$2:$AO$11,MATCH(ROW(),Lists!$AN$2:$AN$11,0)),"")&lt;&gt;"",IFERROR(INDEX(Lists!$AO$2:$AO$11,MATCH(ROW(),Lists!$AN$2:$AN$11,0)),""),IFERROR(INDEX(Lists!$U:$U,MATCH(TRIM($I192),Lists!$T:$T,0)),TRIM($I192))))</f>
        <v/>
      </c>
      <c r="AP192" s="1136">
        <f>IF(TRIM($B192)="","",IF($AQ192=1,"Leadership",IFERROR(INDEX(Lists!$X:$X,MATCH(TRIM($K192),Lists!$W:$W,0)),IF(OR(TRIM($K192)="",LOWER(TRIM($K192))="na"),IF(TRIM($G192)="","Unassigned",TRIM($G192)),TRIM($K192)))))</f>
        <v/>
      </c>
      <c r="AQ192" s="1136">
        <f>IF(TRIM($B192)="","",--OR(TRIM($K192)="Leadership",TRIM($J192)="Leadership"))</f>
        <v/>
      </c>
      <c r="AR192" s="1136">
        <f>IF(TRIM($B192)="","",IF(IFERROR(INDEX(Lists!$AQ$2:$AQ$11,MATCH(ROW(),Lists!$AN$2:$AN$11,0)),"")&lt;&gt;"",IFERROR(INDEX(Lists!$AQ$2:$AQ$11,MATCH(ROW(),Lists!$AN$2:$AN$11,0)),""),IF(ISNUMBER(SEARCH("head of ",$C192)),"Head of Technology",IF(ISNUMBER(SEARCH("TDD BP",$C192)),"Business Partner",IF(OR(ISNUMBER(SEARCH("domain architect",$C192)),ISNUMBER(SEARCH("enterprise architect",$C192))),"Domain Architect",IF(ISNUMBER(SEARCH("delivery man",$C192)),"Delivery Manager",IF(OR(ISNUMBER(SEARCH("technology manager",$C192)),ISNUMBER(SEARCH("technology manger",$C192)),ISNUMBER(SEARCH("tech manager",$C192))),"Technology Manager","Squad")))))))</f>
        <v/>
      </c>
      <c r="AS192" s="1136">
        <f>IF(TRIM($B192)="","",IFERROR(INDEX(Lists!$AA:$AA,MATCH($AP192,Lists!$Z:$Z,0)),$AP192))</f>
        <v/>
      </c>
      <c r="AT192" s="1136">
        <f>IF(TRIM($B192)="","",IF(IFERROR(INDEX(Lists!$AP$2:$AP$11,MATCH(ROW(),Lists!$AN$2:$AN$11,0)),"")&lt;&gt;"",IFERROR(INDEX(Lists!$AP$2:$AP$11,MATCH(ROW(),Lists!$AN$2:$AN$11,0)),""),IF(OR(LEFT($AJ192,3)="COE",$AJ192="EGI"),$AP192,IF($AR192&lt;&gt;"Squad",$AR192,$AP192))))</f>
        <v/>
      </c>
    </row>
    <row r="193" ht="18" customHeight="1" s="866">
      <c r="A193" s="1155" t="n">
        <v>99999101684</v>
      </c>
      <c r="B193" s="1156" t="inlineStr">
        <is>
          <t>Ashley Mueller</t>
        </is>
      </c>
      <c r="C193" s="1156" t="inlineStr">
        <is>
          <t>Lead - Service Assurance</t>
        </is>
      </c>
      <c r="D193" s="1156" t="inlineStr">
        <is>
          <t>Mick Collins</t>
        </is>
      </c>
      <c r="E193" s="1156" t="inlineStr">
        <is>
          <t>Cyber Architecture Lead</t>
        </is>
      </c>
      <c r="F193" s="1156" t="inlineStr">
        <is>
          <t>Cyber, Risk &amp; Operations</t>
        </is>
      </c>
      <c r="G193" s="1158" t="inlineStr">
        <is>
          <t>Service Op &amp; Assurance</t>
        </is>
      </c>
      <c r="H193" s="1156" t="inlineStr">
        <is>
          <t xml:space="preserve">Service Performance &amp; Assurance </t>
        </is>
      </c>
      <c r="I193" s="1156" t="inlineStr">
        <is>
          <t>COE - Cyber, Risk &amp; Operations</t>
        </is>
      </c>
      <c r="J193" s="1156" t="inlineStr">
        <is>
          <t>NA</t>
        </is>
      </c>
      <c r="K193" s="1156" t="inlineStr">
        <is>
          <t>NA</t>
        </is>
      </c>
      <c r="L193" s="1156" t="n"/>
      <c r="M193" s="1159" t="inlineStr">
        <is>
          <t>NZ</t>
        </is>
      </c>
      <c r="N193" s="1160" t="inlineStr">
        <is>
          <t>CIC</t>
        </is>
      </c>
      <c r="O193" s="1161" t="n">
        <v>1</v>
      </c>
      <c r="P193" s="1160" t="n"/>
      <c r="Q193" s="1161" t="inlineStr">
        <is>
          <t>Permanent - Full Time</t>
        </is>
      </c>
      <c r="R193" s="1162" t="n"/>
      <c r="S193" s="1162" t="n"/>
      <c r="T193" s="1163" t="n">
        <v>165310</v>
      </c>
      <c r="U193" s="1164" t="n">
        <v>152085.2</v>
      </c>
      <c r="V193" s="1165" t="n">
        <v>0.15</v>
      </c>
      <c r="W193" s="1161" t="n"/>
      <c r="X193" s="1166" t="n">
        <v>0.05</v>
      </c>
      <c r="Y193" s="1907" t="n">
        <v>2910</v>
      </c>
      <c r="Z193" s="1166" t="n">
        <v>0.03</v>
      </c>
      <c r="AA193" s="1168">
        <f>IF(TRIM($B193)="","",IF(N($AU193)&gt;0,$AU193,IF(N($S193)&gt;0,$S193*Lists!$AG$15*(1+N($Z193)),N($U193)*(1+N($V193)+N($W193)+N($X193)+N($Z193))+N($Y193))))</f>
        <v>189974.796</v>
      </c>
      <c r="AB193" s="1202" t="n"/>
      <c r="AC193" s="1202" t="n"/>
      <c r="AJ193" s="865" t="str">
        <f>IF(TRIM($B193)="","",IF(IFERROR(INDEX(Lists!$AO$2:$AO$11,MATCH(ROW(),Lists!$AN$2:$AN$11,0)),"")&lt;&gt;"",IFERROR(INDEX(Lists!$AO$2:$AO$11,MATCH(ROW(),Lists!$AN$2:$AN$11,0)),""),IFERROR(INDEX(Lists!$U:$U,MATCH(TRIM($I193),Lists!$T:$T,0)),TRIM($I193))))</f>
        <v>COE Cyber</v>
      </c>
      <c r="AK193" s="865" t="str">
        <f>IF(ISNUMBER(SEARCH("vacant",$B193)),"Vacant","Filled")</f>
        <v>Filled</v>
      </c>
      <c r="AL193" s="865" t="str">
        <f>IF($M193="NZ","NZ","AU")</f>
        <v>NZ</v>
      </c>
      <c r="AM193" s="865">
        <f>COUNTIF($AJ$2:$AJ193,$AJ193)</f>
        <v>1</v>
      </c>
      <c r="AN193" s="865" t="str">
        <f>$AJ193&amp;"|"&amp;$AM193</f>
        <v>COE Cyber|1</v>
      </c>
      <c r="AP193" s="865" t="str">
        <f>IF(TRIM($B193)="","",IF($AQ193=1,"Leadership",IFERROR(INDEX(Lists!$X:$X,MATCH(TRIM($K193),Lists!$W:$W,0)),IF(OR(TRIM($K193)="",LOWER(TRIM($K193))="na"),IF(TRIM($G193)="","Unassigned",TRIM($G193)),TRIM($K193)))))</f>
        <v>Service Op &amp; Assurance</v>
      </c>
      <c r="AQ193" s="865" t="b">
        <f>IF(TRIM($B193)="","",--OR(TRIM($K193)="Leadership",TRIM($J193)="Leadership"))</f>
        <v>0</v>
      </c>
      <c r="AR193" s="1136" t="str">
        <f>IF(TRIM($B193)="","",IF(IFERROR(INDEX(Lists!$AQ$2:$AQ$11,MATCH(ROW(),Lists!$AN$2:$AN$11,0)),"")&lt;&gt;"",IFERROR(INDEX(Lists!$AQ$2:$AQ$11,MATCH(ROW(),Lists!$AN$2:$AN$11,0)),""),IF(ISNUMBER(SEARCH("head of ",$C193)),"Head of Technology",IF(ISNUMBER(SEARCH("TDD BP",$C193)),"Business Partner",IF(OR(ISNUMBER(SEARCH("domain architect",$C193)),ISNUMBER(SEARCH("enterprise architect",$C193))),"Domain Architect",IF(ISNUMBER(SEARCH("delivery man",$C193)),"Delivery Manager",IF(OR(ISNUMBER(SEARCH("technology manager",$C193)),ISNUMBER(SEARCH("technology manger",$C193)),ISNUMBER(SEARCH("tech manager",$C193))),"Technology Manager","Squad")))))))</f>
        <v>Squad</v>
      </c>
      <c r="AS193" s="1136" t="str">
        <f>IF(TRIM($B193)="","",IFERROR(INDEX(Lists!$AA:$AA,MATCH($AP193,Lists!$Z:$Z,0)),$AP193))</f>
        <v>Service Op &amp; Assurance</v>
      </c>
      <c r="AT193" s="1136" t="str">
        <f>IF(TRIM($B193)="","",IF(IFERROR(INDEX(Lists!$AP$2:$AP$11,MATCH(ROW(),Lists!$AN$2:$AN$11,0)),"")&lt;&gt;"",IFERROR(INDEX(Lists!$AP$2:$AP$11,MATCH(ROW(),Lists!$AN$2:$AN$11,0)),""),IF(OR(LEFT($AJ193,3)="COE",$AJ193="EGI"),$AP193,IF($AR193&lt;&gt;"Squad",$AR193,$AP193))))</f>
        <v>Service Op &amp; Assurance</v>
      </c>
    </row>
    <row r="194" ht="18" customHeight="1" s="866">
      <c r="A194" s="1155" t="n">
        <v>108013</v>
      </c>
      <c r="B194" s="1156" t="inlineStr">
        <is>
          <t>Belinda Hoskens</t>
        </is>
      </c>
      <c r="C194" s="1156" t="inlineStr">
        <is>
          <t>Technology Support Engineer</t>
        </is>
      </c>
      <c r="D194" s="1156" t="inlineStr">
        <is>
          <t>Mark Pearson</t>
        </is>
      </c>
      <c r="E194" s="1156" t="inlineStr">
        <is>
          <t xml:space="preserve">Lead Technology Support </t>
        </is>
      </c>
      <c r="F194" s="1156" t="inlineStr">
        <is>
          <t>Cyber, Risk &amp; Operations</t>
        </is>
      </c>
      <c r="G194" s="1158" t="inlineStr">
        <is>
          <t>Service Op &amp; Assurance</t>
        </is>
      </c>
      <c r="H194" s="1156" t="inlineStr">
        <is>
          <t xml:space="preserve">Technology Support </t>
        </is>
      </c>
      <c r="I194" s="1156" t="inlineStr">
        <is>
          <t>COE - Cyber, Risk &amp; Operations</t>
        </is>
      </c>
      <c r="J194" s="1156" t="inlineStr">
        <is>
          <t>NA</t>
        </is>
      </c>
      <c r="K194" s="1156" t="inlineStr">
        <is>
          <t>NA</t>
        </is>
      </c>
      <c r="L194" s="1156" t="n"/>
      <c r="M194" s="1159" t="inlineStr">
        <is>
          <t>Australia</t>
        </is>
      </c>
      <c r="N194" s="1160" t="inlineStr">
        <is>
          <t>CIA</t>
        </is>
      </c>
      <c r="O194" s="1160" t="n">
        <v>1</v>
      </c>
      <c r="P194" s="1160" t="n"/>
      <c r="Q194" s="1160" t="inlineStr">
        <is>
          <t>Permanent - Full Time</t>
        </is>
      </c>
      <c r="R194" s="1162" t="n"/>
      <c r="S194" s="1162" t="n"/>
      <c r="T194" s="1163" t="n">
        <v>123300</v>
      </c>
      <c r="U194" s="1164" t="n">
        <v>123300</v>
      </c>
      <c r="V194" s="1166" t="n">
        <v>0.1</v>
      </c>
      <c r="W194" s="1170" t="n">
        <v>0.055</v>
      </c>
      <c r="X194" s="1170" t="n">
        <v>0.12</v>
      </c>
      <c r="Y194" s="1171" t="n"/>
      <c r="Z194" s="1170" t="n">
        <v>0.04</v>
      </c>
      <c r="AA194" s="1168">
        <f>IF(TRIM($B194)="","",IF(N($AU194)&gt;0,$AU194,IF(N($S194)&gt;0,$S194*Lists!$AG$15*(1+N($Z194)),N($U194)*(1+N($V194)+N($W194)+N($X194)+N($Z194))+N($Y194))))</f>
        <v>162139.5</v>
      </c>
      <c r="AB194" s="1202" t="n"/>
      <c r="AC194" s="1202" t="n"/>
      <c r="AJ194" s="865" t="str">
        <f>IF(TRIM($B194)="","",IF(IFERROR(INDEX(Lists!$AO$2:$AO$11,MATCH(ROW(),Lists!$AN$2:$AN$11,0)),"")&lt;&gt;"",IFERROR(INDEX(Lists!$AO$2:$AO$11,MATCH(ROW(),Lists!$AN$2:$AN$11,0)),""),IFERROR(INDEX(Lists!$U:$U,MATCH(TRIM($I194),Lists!$T:$T,0)),TRIM($I194))))</f>
        <v>COE Cyber</v>
      </c>
      <c r="AK194" s="865" t="str">
        <f>IF(ISNUMBER(SEARCH("vacant",$B194)),"Vacant","Filled")</f>
        <v>Filled</v>
      </c>
      <c r="AL194" s="865" t="str">
        <f>IF($M194="NZ","NZ","AU")</f>
        <v>AU</v>
      </c>
      <c r="AM194" s="865">
        <f>COUNTIF($AJ$2:$AJ194,$AJ194)</f>
        <v>2</v>
      </c>
      <c r="AN194" s="865" t="str">
        <f>$AJ194&amp;"|"&amp;$AM194</f>
        <v>COE Cyber|2</v>
      </c>
      <c r="AP194" s="865" t="str">
        <f>IF(TRIM($B194)="","",IF($AQ194=1,"Leadership",IFERROR(INDEX(Lists!$X:$X,MATCH(TRIM($K194),Lists!$W:$W,0)),IF(OR(TRIM($K194)="",LOWER(TRIM($K194))="na"),IF(TRIM($G194)="","Unassigned",TRIM($G194)),TRIM($K194)))))</f>
        <v>Service Op &amp; Assurance</v>
      </c>
      <c r="AQ194" s="865" t="b">
        <f>IF(TRIM($B194)="","",--OR(TRIM($K194)="Leadership",TRIM($J194)="Leadership"))</f>
        <v>0</v>
      </c>
      <c r="AR194" s="1136" t="str">
        <f>IF(TRIM($B194)="","",IF(IFERROR(INDEX(Lists!$AQ$2:$AQ$11,MATCH(ROW(),Lists!$AN$2:$AN$11,0)),"")&lt;&gt;"",IFERROR(INDEX(Lists!$AQ$2:$AQ$11,MATCH(ROW(),Lists!$AN$2:$AN$11,0)),""),IF(ISNUMBER(SEARCH("head of ",$C194)),"Head of Technology",IF(ISNUMBER(SEARCH("TDD BP",$C194)),"Business Partner",IF(OR(ISNUMBER(SEARCH("domain architect",$C194)),ISNUMBER(SEARCH("enterprise architect",$C194))),"Domain Architect",IF(ISNUMBER(SEARCH("delivery man",$C194)),"Delivery Manager",IF(OR(ISNUMBER(SEARCH("technology manager",$C194)),ISNUMBER(SEARCH("technology manger",$C194)),ISNUMBER(SEARCH("tech manager",$C194))),"Technology Manager","Squad")))))))</f>
        <v>Squad</v>
      </c>
      <c r="AS194" s="1136" t="str">
        <f>IF(TRIM($B194)="","",IFERROR(INDEX(Lists!$AA:$AA,MATCH($AP194,Lists!$Z:$Z,0)),$AP194))</f>
        <v>Service Op &amp; Assurance</v>
      </c>
      <c r="AT194" s="1136" t="str">
        <f>IF(TRIM($B194)="","",IF(IFERROR(INDEX(Lists!$AP$2:$AP$11,MATCH(ROW(),Lists!$AN$2:$AN$11,0)),"")&lt;&gt;"",IFERROR(INDEX(Lists!$AP$2:$AP$11,MATCH(ROW(),Lists!$AN$2:$AN$11,0)),""),IF(OR(LEFT($AJ194,3)="COE",$AJ194="EGI"),$AP194,IF($AR194&lt;&gt;"Squad",$AR194,$AP194))))</f>
        <v>Service Op &amp; Assurance</v>
      </c>
    </row>
    <row r="195" ht="18" customHeight="1" s="866">
      <c r="A195" s="1155" t="n">
        <v>98823</v>
      </c>
      <c r="B195" s="1156" t="inlineStr">
        <is>
          <t>Brian Gates</t>
        </is>
      </c>
      <c r="C195" s="1156" t="inlineStr">
        <is>
          <t>Manager Risk &amp; Resilience</t>
        </is>
      </c>
      <c r="D195" s="1156" t="inlineStr">
        <is>
          <t>Frances Bouzo</t>
        </is>
      </c>
      <c r="E195" s="1156" t="inlineStr">
        <is>
          <t xml:space="preserve">CISO </t>
        </is>
      </c>
      <c r="F195" s="1156" t="inlineStr">
        <is>
          <t>Cyber, Risk &amp; Operations</t>
        </is>
      </c>
      <c r="G195" s="1158" t="inlineStr">
        <is>
          <t>Cyber Risk</t>
        </is>
      </c>
      <c r="H195" s="1156" t="inlineStr">
        <is>
          <t xml:space="preserve">Risk &amp; Resilience </t>
        </is>
      </c>
      <c r="I195" s="1156" t="inlineStr">
        <is>
          <t>COE - Cyber, Risk &amp; Operations</t>
        </is>
      </c>
      <c r="J195" s="1156" t="inlineStr">
        <is>
          <t>NA</t>
        </is>
      </c>
      <c r="K195" s="1156" t="inlineStr">
        <is>
          <t>NA</t>
        </is>
      </c>
      <c r="L195" s="1156" t="n"/>
      <c r="M195" s="1159" t="inlineStr">
        <is>
          <t>Australia</t>
        </is>
      </c>
      <c r="N195" s="1160" t="inlineStr">
        <is>
          <t>CSB</t>
        </is>
      </c>
      <c r="O195" s="1160" t="n">
        <v>1</v>
      </c>
      <c r="P195" s="1160" t="n"/>
      <c r="Q195" s="1160" t="inlineStr">
        <is>
          <t>Permanent - Full Time</t>
        </is>
      </c>
      <c r="R195" s="1162" t="n"/>
      <c r="S195" s="1162" t="n"/>
      <c r="T195" s="1163" t="n">
        <v>211840</v>
      </c>
      <c r="U195" s="1164" t="n">
        <v>211840</v>
      </c>
      <c r="V195" s="1166" t="n">
        <v>0.14</v>
      </c>
      <c r="W195" s="1170" t="n">
        <v>0.055</v>
      </c>
      <c r="X195" s="1170" t="n">
        <v>0.12</v>
      </c>
      <c r="Y195" s="1171" t="n"/>
      <c r="Z195" s="1170" t="n">
        <v>0.04</v>
      </c>
      <c r="AA195" s="1168">
        <f>IF(TRIM($B195)="","",IF(N($AU195)&gt;0,$AU195,IF(N($S195)&gt;0,$S195*Lists!$AG$15*(1+N($Z195)),N($U195)*(1+N($V195)+N($W195)+N($X195)+N($Z195))+N($Y195))))</f>
        <v>287043.2</v>
      </c>
      <c r="AB195" s="1202" t="n"/>
      <c r="AC195" s="1202" t="n"/>
      <c r="AJ195" s="865" t="str">
        <f>IF(TRIM($B195)="","",IF(IFERROR(INDEX(Lists!$AO$2:$AO$11,MATCH(ROW(),Lists!$AN$2:$AN$11,0)),"")&lt;&gt;"",IFERROR(INDEX(Lists!$AO$2:$AO$11,MATCH(ROW(),Lists!$AN$2:$AN$11,0)),""),IFERROR(INDEX(Lists!$U:$U,MATCH(TRIM($I195),Lists!$T:$T,0)),TRIM($I195))))</f>
        <v>COE Cyber</v>
      </c>
      <c r="AK195" s="865" t="str">
        <f>IF(ISNUMBER(SEARCH("vacant",$B195)),"Vacant","Filled")</f>
        <v>Filled</v>
      </c>
      <c r="AL195" s="865" t="str">
        <f>IF($M195="NZ","NZ","AU")</f>
        <v>AU</v>
      </c>
      <c r="AM195" s="865">
        <f>COUNTIF($AJ$2:$AJ195,$AJ195)</f>
        <v>3</v>
      </c>
      <c r="AN195" s="865" t="str">
        <f>$AJ195&amp;"|"&amp;$AM195</f>
        <v>COE Cyber|3</v>
      </c>
      <c r="AP195" s="865" t="str">
        <f>IF(TRIM($B195)="","",IF($AQ195=1,"Leadership",IFERROR(INDEX(Lists!$X:$X,MATCH(TRIM($K195),Lists!$W:$W,0)),IF(OR(TRIM($K195)="",LOWER(TRIM($K195))="na"),IF(TRIM($G195)="","Unassigned",TRIM($G195)),TRIM($K195)))))</f>
        <v>Cyber Risk</v>
      </c>
      <c r="AQ195" s="865" t="b">
        <f>IF(TRIM($B195)="","",--OR(TRIM($K195)="Leadership",TRIM($J195)="Leadership"))</f>
        <v>0</v>
      </c>
      <c r="AR195" s="1136" t="str">
        <f>IF(TRIM($B195)="","",IF(IFERROR(INDEX(Lists!$AQ$2:$AQ$11,MATCH(ROW(),Lists!$AN$2:$AN$11,0)),"")&lt;&gt;"",IFERROR(INDEX(Lists!$AQ$2:$AQ$11,MATCH(ROW(),Lists!$AN$2:$AN$11,0)),""),IF(ISNUMBER(SEARCH("head of ",$C195)),"Head of Technology",IF(ISNUMBER(SEARCH("TDD BP",$C195)),"Business Partner",IF(OR(ISNUMBER(SEARCH("domain architect",$C195)),ISNUMBER(SEARCH("enterprise architect",$C195))),"Domain Architect",IF(ISNUMBER(SEARCH("delivery man",$C195)),"Delivery Manager",IF(OR(ISNUMBER(SEARCH("technology manager",$C195)),ISNUMBER(SEARCH("technology manger",$C195)),ISNUMBER(SEARCH("tech manager",$C195))),"Technology Manager","Squad")))))))</f>
        <v>Squad</v>
      </c>
      <c r="AS195" s="1136" t="str">
        <f>IF(TRIM($B195)="","",IFERROR(INDEX(Lists!$AA:$AA,MATCH($AP195,Lists!$Z:$Z,0)),$AP195))</f>
        <v>Cyber Risk</v>
      </c>
      <c r="AT195" s="1136" t="str">
        <f>IF(TRIM($B195)="","",IF(IFERROR(INDEX(Lists!$AP$2:$AP$11,MATCH(ROW(),Lists!$AN$2:$AN$11,0)),"")&lt;&gt;"",IFERROR(INDEX(Lists!$AP$2:$AP$11,MATCH(ROW(),Lists!$AN$2:$AN$11,0)),""),IF(OR(LEFT($AJ195,3)="COE",$AJ195="EGI"),$AP195,IF($AR195&lt;&gt;"Squad",$AR195,$AP195))))</f>
        <v>Cyber Risk</v>
      </c>
    </row>
    <row r="196" ht="18" customHeight="1" s="866">
      <c r="A196" s="1155" t="n">
        <v>86962</v>
      </c>
      <c r="B196" s="1156" t="inlineStr">
        <is>
          <t>Cameron Watman</t>
        </is>
      </c>
      <c r="C196" s="1156" t="inlineStr">
        <is>
          <t>Engineer - IDAM</t>
        </is>
      </c>
      <c r="D196" s="1156" t="inlineStr">
        <is>
          <t>Joe Nahma</t>
        </is>
      </c>
      <c r="E196" s="1156" t="inlineStr">
        <is>
          <t xml:space="preserve">Head of Cyber Strategy &amp; Technology </t>
        </is>
      </c>
      <c r="F196" s="1156" t="inlineStr">
        <is>
          <t>Cyber, Risk &amp; Operations</t>
        </is>
      </c>
      <c r="G196" s="1158" t="inlineStr">
        <is>
          <t>Cyber Strat &amp; Tech</t>
        </is>
      </c>
      <c r="H196" s="1180" t="inlineStr">
        <is>
          <t xml:space="preserve">Identity &amp; Access Management </t>
        </is>
      </c>
      <c r="I196" s="1156" t="inlineStr">
        <is>
          <t>COE - Cyber, Risk &amp; Operations</t>
        </is>
      </c>
      <c r="J196" s="1156" t="inlineStr">
        <is>
          <t>NA</t>
        </is>
      </c>
      <c r="K196" s="1202" t="inlineStr">
        <is>
          <t>NA</t>
        </is>
      </c>
      <c r="L196" s="1156" t="n"/>
      <c r="M196" s="1159" t="inlineStr">
        <is>
          <t>Australia</t>
        </is>
      </c>
      <c r="N196" s="1162" t="inlineStr">
        <is>
          <t>CIA</t>
        </is>
      </c>
      <c r="O196" s="1162" t="n">
        <v>1</v>
      </c>
      <c r="P196" s="1162" t="n"/>
      <c r="Q196" s="1162" t="inlineStr">
        <is>
          <t>Permanent - Full Time</t>
        </is>
      </c>
      <c r="R196" s="1162" t="n"/>
      <c r="S196" s="1162" t="n"/>
      <c r="T196" s="1163" t="n">
        <v>131660</v>
      </c>
      <c r="U196" s="1164" t="n">
        <v>131660</v>
      </c>
      <c r="V196" s="1166" t="n">
        <v>0.1</v>
      </c>
      <c r="W196" s="1170" t="n">
        <v>0.055</v>
      </c>
      <c r="X196" s="1170" t="n">
        <v>0.12</v>
      </c>
      <c r="Y196" s="1171" t="n"/>
      <c r="Z196" s="1170" t="n">
        <v>0.04</v>
      </c>
      <c r="AA196" s="1168">
        <f>IF(TRIM($B196)="","",IF(N($AU196)&gt;0,$AU196,IF(N($S196)&gt;0,$S196*Lists!$AG$15*(1+N($Z196)),N($U196)*(1+N($V196)+N($W196)+N($X196)+N($Z196))+N($Y196))))</f>
        <v>173132.9</v>
      </c>
      <c r="AB196" s="1202" t="n"/>
      <c r="AC196" s="1202" t="n"/>
      <c r="AJ196" s="865" t="str">
        <f>IF(TRIM($B196)="","",IF(IFERROR(INDEX(Lists!$AO$2:$AO$11,MATCH(ROW(),Lists!$AN$2:$AN$11,0)),"")&lt;&gt;"",IFERROR(INDEX(Lists!$AO$2:$AO$11,MATCH(ROW(),Lists!$AN$2:$AN$11,0)),""),IFERROR(INDEX(Lists!$U:$U,MATCH(TRIM($I196),Lists!$T:$T,0)),TRIM($I196))))</f>
        <v>COE Cyber</v>
      </c>
      <c r="AK196" s="865" t="str">
        <f>IF(ISNUMBER(SEARCH("vacant",$B196)),"Vacant","Filled")</f>
        <v>Filled</v>
      </c>
      <c r="AL196" s="865" t="str">
        <f>IF($M196="NZ","NZ","AU")</f>
        <v>AU</v>
      </c>
      <c r="AM196" s="865">
        <f>COUNTIF($AJ$2:$AJ196,$AJ196)</f>
        <v>4</v>
      </c>
      <c r="AN196" s="865" t="str">
        <f>$AJ196&amp;"|"&amp;$AM196</f>
        <v>COE Cyber|4</v>
      </c>
      <c r="AP196" s="865" t="str">
        <f>IF(TRIM($B196)="","",IF($AQ196=1,"Leadership",IFERROR(INDEX(Lists!$X:$X,MATCH(TRIM($K196),Lists!$W:$W,0)),IF(OR(TRIM($K196)="",LOWER(TRIM($K196))="na"),IF(TRIM($G196)="","Unassigned",TRIM($G196)),TRIM($K196)))))</f>
        <v>Cyber Strat &amp; Tech</v>
      </c>
      <c r="AQ196" s="865" t="b">
        <f>IF(TRIM($B196)="","",--OR(TRIM($K196)="Leadership",TRIM($J196)="Leadership"))</f>
        <v>0</v>
      </c>
      <c r="AR196" s="1136" t="str">
        <f>IF(TRIM($B196)="","",IF(IFERROR(INDEX(Lists!$AQ$2:$AQ$11,MATCH(ROW(),Lists!$AN$2:$AN$11,0)),"")&lt;&gt;"",IFERROR(INDEX(Lists!$AQ$2:$AQ$11,MATCH(ROW(),Lists!$AN$2:$AN$11,0)),""),IF(ISNUMBER(SEARCH("head of ",$C196)),"Head of Technology",IF(ISNUMBER(SEARCH("TDD BP",$C196)),"Business Partner",IF(OR(ISNUMBER(SEARCH("domain architect",$C196)),ISNUMBER(SEARCH("enterprise architect",$C196))),"Domain Architect",IF(ISNUMBER(SEARCH("delivery man",$C196)),"Delivery Manager",IF(OR(ISNUMBER(SEARCH("technology manager",$C196)),ISNUMBER(SEARCH("technology manger",$C196)),ISNUMBER(SEARCH("tech manager",$C196))),"Technology Manager","Squad")))))))</f>
        <v>Squad</v>
      </c>
      <c r="AS196" s="1136" t="str">
        <f>IF(TRIM($B196)="","",IFERROR(INDEX(Lists!$AA:$AA,MATCH($AP196,Lists!$Z:$Z,0)),$AP196))</f>
        <v>Cyber Strat &amp; Tech</v>
      </c>
      <c r="AT196" s="1136" t="str">
        <f>IF(TRIM($B196)="","",IF(IFERROR(INDEX(Lists!$AP$2:$AP$11,MATCH(ROW(),Lists!$AN$2:$AN$11,0)),"")&lt;&gt;"",IFERROR(INDEX(Lists!$AP$2:$AP$11,MATCH(ROW(),Lists!$AN$2:$AN$11,0)),""),IF(OR(LEFT($AJ196,3)="COE",$AJ196="EGI"),$AP196,IF($AR196&lt;&gt;"Squad",$AR196,$AP196))))</f>
        <v>Cyber Strat &amp; Tech</v>
      </c>
    </row>
    <row r="197" ht="18" customHeight="1" s="866">
      <c r="A197" s="1155" t="n">
        <v>106511</v>
      </c>
      <c r="B197" s="1156" t="inlineStr">
        <is>
          <t>Catherine Gire</t>
        </is>
      </c>
      <c r="C197" s="1156" t="inlineStr">
        <is>
          <t>Cyber Technical Business Analyst</t>
        </is>
      </c>
      <c r="D197" s="1156" t="inlineStr">
        <is>
          <t>Vivienne Vasak</t>
        </is>
      </c>
      <c r="E197" s="1156" t="inlineStr">
        <is>
          <t xml:space="preserve">Portfolio Manger Cyber Security </t>
        </is>
      </c>
      <c r="F197" s="1156" t="inlineStr">
        <is>
          <t>Cyber, Risk &amp; Operations</t>
        </is>
      </c>
      <c r="G197" s="1158" t="inlineStr">
        <is>
          <t>Cyber Strat &amp; Tech</t>
        </is>
      </c>
      <c r="H197" s="1156" t="inlineStr">
        <is>
          <t>Cyber Security Uplift Program</t>
        </is>
      </c>
      <c r="I197" s="1156" t="inlineStr">
        <is>
          <t>COE - Cyber, Risk &amp; Operations</t>
        </is>
      </c>
      <c r="J197" s="1156" t="inlineStr">
        <is>
          <t>NA</t>
        </is>
      </c>
      <c r="K197" s="1156" t="inlineStr">
        <is>
          <t>NA</t>
        </is>
      </c>
      <c r="L197" s="1156" t="n"/>
      <c r="M197" s="1159" t="inlineStr">
        <is>
          <t>Australia</t>
        </is>
      </c>
      <c r="N197" s="1160" t="inlineStr">
        <is>
          <t>CIB</t>
        </is>
      </c>
      <c r="O197" s="1160" t="n">
        <v>1</v>
      </c>
      <c r="P197" s="1160" t="n"/>
      <c r="Q197" s="1160" t="inlineStr">
        <is>
          <t>Permanent - Full Time</t>
        </is>
      </c>
      <c r="R197" s="1162" t="n"/>
      <c r="S197" s="1162" t="n"/>
      <c r="T197" s="1163" t="n">
        <v>170160</v>
      </c>
      <c r="U197" s="1164" t="n">
        <v>170160</v>
      </c>
      <c r="V197" s="1166" t="n">
        <v>0.12</v>
      </c>
      <c r="W197" s="1170" t="n">
        <v>0.055</v>
      </c>
      <c r="X197" s="1170" t="n">
        <v>0.12</v>
      </c>
      <c r="Y197" s="1171" t="n"/>
      <c r="Z197" s="1170" t="n">
        <v>0.04</v>
      </c>
      <c r="AA197" s="1168">
        <f>IF(TRIM($B197)="","",IF(N($AU197)&gt;0,$AU197,IF(N($S197)&gt;0,$S197*Lists!$AG$15*(1+N($Z197)),N($U197)*(1+N($V197)+N($W197)+N($X197)+N($Z197))+N($Y197))))</f>
        <v>227163.6</v>
      </c>
      <c r="AB197" s="1202" t="n"/>
      <c r="AC197" s="1202" t="n"/>
      <c r="AJ197" s="865" t="str">
        <f>IF(TRIM($B197)="","",IF(IFERROR(INDEX(Lists!$AO$2:$AO$11,MATCH(ROW(),Lists!$AN$2:$AN$11,0)),"")&lt;&gt;"",IFERROR(INDEX(Lists!$AO$2:$AO$11,MATCH(ROW(),Lists!$AN$2:$AN$11,0)),""),IFERROR(INDEX(Lists!$U:$U,MATCH(TRIM($I197),Lists!$T:$T,0)),TRIM($I197))))</f>
        <v>COE Cyber</v>
      </c>
      <c r="AK197" s="865" t="str">
        <f>IF(ISNUMBER(SEARCH("vacant",$B197)),"Vacant","Filled")</f>
        <v>Filled</v>
      </c>
      <c r="AL197" s="865" t="str">
        <f>IF($M197="NZ","NZ","AU")</f>
        <v>AU</v>
      </c>
      <c r="AM197" s="865">
        <f>COUNTIF($AJ$2:$AJ197,$AJ197)</f>
        <v>5</v>
      </c>
      <c r="AN197" s="865" t="str">
        <f>$AJ197&amp;"|"&amp;$AM197</f>
        <v>COE Cyber|5</v>
      </c>
      <c r="AP197" s="865" t="str">
        <f>IF(TRIM($B197)="","",IF($AQ197=1,"Leadership",IFERROR(INDEX(Lists!$X:$X,MATCH(TRIM($K197),Lists!$W:$W,0)),IF(OR(TRIM($K197)="",LOWER(TRIM($K197))="na"),IF(TRIM($G197)="","Unassigned",TRIM($G197)),TRIM($K197)))))</f>
        <v>Cyber Strat &amp; Tech</v>
      </c>
      <c r="AQ197" s="865" t="b">
        <f>IF(TRIM($B197)="","",--OR(TRIM($K197)="Leadership",TRIM($J197)="Leadership"))</f>
        <v>0</v>
      </c>
      <c r="AR197" s="1136" t="str">
        <f>IF(TRIM($B197)="","",IF(IFERROR(INDEX(Lists!$AQ$2:$AQ$11,MATCH(ROW(),Lists!$AN$2:$AN$11,0)),"")&lt;&gt;"",IFERROR(INDEX(Lists!$AQ$2:$AQ$11,MATCH(ROW(),Lists!$AN$2:$AN$11,0)),""),IF(ISNUMBER(SEARCH("head of ",$C197)),"Head of Technology",IF(ISNUMBER(SEARCH("TDD BP",$C197)),"Business Partner",IF(OR(ISNUMBER(SEARCH("domain architect",$C197)),ISNUMBER(SEARCH("enterprise architect",$C197))),"Domain Architect",IF(ISNUMBER(SEARCH("delivery man",$C197)),"Delivery Manager",IF(OR(ISNUMBER(SEARCH("technology manager",$C197)),ISNUMBER(SEARCH("technology manger",$C197)),ISNUMBER(SEARCH("tech manager",$C197))),"Technology Manager","Squad")))))))</f>
        <v>Squad</v>
      </c>
      <c r="AS197" s="1136" t="str">
        <f>IF(TRIM($B197)="","",IFERROR(INDEX(Lists!$AA:$AA,MATCH($AP197,Lists!$Z:$Z,0)),$AP197))</f>
        <v>Cyber Strat &amp; Tech</v>
      </c>
      <c r="AT197" s="1136" t="str">
        <f>IF(TRIM($B197)="","",IF(IFERROR(INDEX(Lists!$AP$2:$AP$11,MATCH(ROW(),Lists!$AN$2:$AN$11,0)),"")&lt;&gt;"",IFERROR(INDEX(Lists!$AP$2:$AP$11,MATCH(ROW(),Lists!$AN$2:$AN$11,0)),""),IF(OR(LEFT($AJ197,3)="COE",$AJ197="EGI"),$AP197,IF($AR197&lt;&gt;"Squad",$AR197,$AP197))))</f>
        <v>Cyber Strat &amp; Tech</v>
      </c>
    </row>
    <row r="198" ht="18" customHeight="1" s="866">
      <c r="A198" s="1155" t="n">
        <v>102385</v>
      </c>
      <c r="B198" s="1156" t="inlineStr">
        <is>
          <t>Chris Lyons</t>
        </is>
      </c>
      <c r="C198" s="1156" t="inlineStr">
        <is>
          <t>Cyber Security Architect</t>
        </is>
      </c>
      <c r="D198" s="1156" t="inlineStr">
        <is>
          <t>Kevin Sheerin</t>
        </is>
      </c>
      <c r="E198" s="1156" t="inlineStr">
        <is>
          <t xml:space="preserve">Head of Cyber Strategy &amp; Technology </t>
        </is>
      </c>
      <c r="F198" s="1156" t="inlineStr">
        <is>
          <t>Cyber, Risk &amp; Operations</t>
        </is>
      </c>
      <c r="G198" s="1158" t="inlineStr">
        <is>
          <t>Cyber Strat &amp; Tech</t>
        </is>
      </c>
      <c r="H198" s="1156" t="inlineStr">
        <is>
          <t>NA</t>
        </is>
      </c>
      <c r="I198" s="1156" t="inlineStr">
        <is>
          <t>COE - Cyber, Risk &amp; Operations</t>
        </is>
      </c>
      <c r="J198" s="1156" t="inlineStr">
        <is>
          <t>NA</t>
        </is>
      </c>
      <c r="K198" s="1156" t="inlineStr">
        <is>
          <t>NA</t>
        </is>
      </c>
      <c r="L198" s="1156" t="n"/>
      <c r="M198" s="1159" t="inlineStr">
        <is>
          <t>Australia</t>
        </is>
      </c>
      <c r="N198" s="1160" t="inlineStr">
        <is>
          <t>CIC</t>
        </is>
      </c>
      <c r="O198" s="1160" t="n">
        <v>1</v>
      </c>
      <c r="P198" s="1160" t="n"/>
      <c r="Q198" s="1160" t="inlineStr">
        <is>
          <t>Permanent - Full Time</t>
        </is>
      </c>
      <c r="R198" s="1162" t="n"/>
      <c r="S198" s="1162" t="n"/>
      <c r="T198" s="1163" t="n">
        <v>212250</v>
      </c>
      <c r="U198" s="1164" t="n">
        <v>212250</v>
      </c>
      <c r="V198" s="1166" t="n">
        <v>0.12</v>
      </c>
      <c r="W198" s="1170" t="n">
        <v>0.055</v>
      </c>
      <c r="X198" s="1170" t="n">
        <v>0.12</v>
      </c>
      <c r="Y198" s="1171" t="n"/>
      <c r="Z198" s="1170" t="n">
        <v>0.04</v>
      </c>
      <c r="AA198" s="1168">
        <f>IF(TRIM($B198)="","",IF(N($AU198)&gt;0,$AU198,IF(N($S198)&gt;0,$S198*Lists!$AG$15*(1+N($Z198)),N($U198)*(1+N($V198)+N($W198)+N($X198)+N($Z198))+N($Y198))))</f>
        <v>283353.75</v>
      </c>
      <c r="AB198" s="1202" t="n"/>
      <c r="AC198" s="1202" t="n"/>
      <c r="AJ198" s="865" t="str">
        <f>IF(TRIM($B198)="","",IF(IFERROR(INDEX(Lists!$AO$2:$AO$11,MATCH(ROW(),Lists!$AN$2:$AN$11,0)),"")&lt;&gt;"",IFERROR(INDEX(Lists!$AO$2:$AO$11,MATCH(ROW(),Lists!$AN$2:$AN$11,0)),""),IFERROR(INDEX(Lists!$U:$U,MATCH(TRIM($I198),Lists!$T:$T,0)),TRIM($I198))))</f>
        <v>COE Cyber</v>
      </c>
      <c r="AK198" s="865" t="str">
        <f>IF(ISNUMBER(SEARCH("vacant",$B198)),"Vacant","Filled")</f>
        <v>Filled</v>
      </c>
      <c r="AL198" s="865" t="str">
        <f>IF($M198="NZ","NZ","AU")</f>
        <v>AU</v>
      </c>
      <c r="AM198" s="865">
        <f>COUNTIF($AJ$2:$AJ198,$AJ198)</f>
        <v>6</v>
      </c>
      <c r="AN198" s="865" t="str">
        <f>$AJ198&amp;"|"&amp;$AM198</f>
        <v>COE Cyber|6</v>
      </c>
      <c r="AP198" s="865" t="str">
        <f>IF(TRIM($B198)="","",IF($AQ198=1,"Leadership",IFERROR(INDEX(Lists!$X:$X,MATCH(TRIM($K198),Lists!$W:$W,0)),IF(OR(TRIM($K198)="",LOWER(TRIM($K198))="na"),IF(TRIM($G198)="","Unassigned",TRIM($G198)),TRIM($K198)))))</f>
        <v>Cyber Strat &amp; Tech</v>
      </c>
      <c r="AQ198" s="865" t="b">
        <f>IF(TRIM($B198)="","",--OR(TRIM($K198)="Leadership",TRIM($J198)="Leadership"))</f>
        <v>0</v>
      </c>
      <c r="AR198" s="1136" t="str">
        <f>IF(TRIM($B198)="","",IF(IFERROR(INDEX(Lists!$AQ$2:$AQ$11,MATCH(ROW(),Lists!$AN$2:$AN$11,0)),"")&lt;&gt;"",IFERROR(INDEX(Lists!$AQ$2:$AQ$11,MATCH(ROW(),Lists!$AN$2:$AN$11,0)),""),IF(ISNUMBER(SEARCH("head of ",$C198)),"Head of Technology",IF(ISNUMBER(SEARCH("TDD BP",$C198)),"Business Partner",IF(OR(ISNUMBER(SEARCH("domain architect",$C198)),ISNUMBER(SEARCH("enterprise architect",$C198))),"Domain Architect",IF(ISNUMBER(SEARCH("delivery man",$C198)),"Delivery Manager",IF(OR(ISNUMBER(SEARCH("technology manager",$C198)),ISNUMBER(SEARCH("technology manger",$C198)),ISNUMBER(SEARCH("tech manager",$C198))),"Technology Manager","Squad")))))))</f>
        <v>Squad</v>
      </c>
      <c r="AS198" s="1136" t="str">
        <f>IF(TRIM($B198)="","",IFERROR(INDEX(Lists!$AA:$AA,MATCH($AP198,Lists!$Z:$Z,0)),$AP198))</f>
        <v>Cyber Strat &amp; Tech</v>
      </c>
      <c r="AT198" s="1136" t="str">
        <f>IF(TRIM($B198)="","",IF(IFERROR(INDEX(Lists!$AP$2:$AP$11,MATCH(ROW(),Lists!$AN$2:$AN$11,0)),"")&lt;&gt;"",IFERROR(INDEX(Lists!$AP$2:$AP$11,MATCH(ROW(),Lists!$AN$2:$AN$11,0)),""),IF(OR(LEFT($AJ198,3)="COE",$AJ198="EGI"),$AP198,IF($AR198&lt;&gt;"Squad",$AR198,$AP198))))</f>
        <v>Cyber Strat &amp; Tech</v>
      </c>
    </row>
    <row r="199" ht="18" customHeight="1" s="866">
      <c r="A199" s="1155" t="n">
        <v>84274</v>
      </c>
      <c r="B199" s="1156" t="inlineStr">
        <is>
          <t>Chris Rojas</t>
        </is>
      </c>
      <c r="C199" s="1156" t="inlineStr">
        <is>
          <t>Manager, Customer Support Operations</t>
        </is>
      </c>
      <c r="D199" s="1156" t="inlineStr">
        <is>
          <t>Rajini Onteddu Reddy</t>
        </is>
      </c>
      <c r="E199" s="1156" t="inlineStr">
        <is>
          <t xml:space="preserve">Manager Cyber Security Operations </t>
        </is>
      </c>
      <c r="F199" s="1156" t="inlineStr">
        <is>
          <t>Cyber, Risk &amp; Operations</t>
        </is>
      </c>
      <c r="G199" s="1158" t="inlineStr">
        <is>
          <t>Service Op &amp; Assurance</t>
        </is>
      </c>
      <c r="H199" s="1156" t="inlineStr">
        <is>
          <t>NA</t>
        </is>
      </c>
      <c r="I199" s="1156" t="inlineStr">
        <is>
          <t>COE - Cyber, Risk &amp; Operations</t>
        </is>
      </c>
      <c r="J199" s="1156" t="inlineStr">
        <is>
          <t>NA</t>
        </is>
      </c>
      <c r="K199" s="1156" t="inlineStr">
        <is>
          <t>NA</t>
        </is>
      </c>
      <c r="L199" s="1156" t="n"/>
      <c r="M199" s="1159" t="inlineStr">
        <is>
          <t>Australia</t>
        </is>
      </c>
      <c r="N199" s="1162" t="inlineStr">
        <is>
          <t>CIC</t>
        </is>
      </c>
      <c r="O199" s="1162" t="n">
        <v>1</v>
      </c>
      <c r="P199" s="1162" t="n"/>
      <c r="Q199" s="1162" t="inlineStr">
        <is>
          <t>Permanent - Full Time</t>
        </is>
      </c>
      <c r="R199" s="1162" t="n"/>
      <c r="S199" s="1162" t="n"/>
      <c r="T199" s="1163" t="n">
        <v>182250</v>
      </c>
      <c r="U199" s="1164" t="n">
        <v>182250</v>
      </c>
      <c r="V199" s="1166" t="n">
        <v>0.12</v>
      </c>
      <c r="W199" s="1170" t="n">
        <v>0.055</v>
      </c>
      <c r="X199" s="1170" t="n">
        <v>0.12</v>
      </c>
      <c r="Y199" s="1171" t="n"/>
      <c r="Z199" s="1170" t="n">
        <v>0.04</v>
      </c>
      <c r="AA199" s="1168">
        <f>IF(TRIM($B199)="","",IF(N($AU199)&gt;0,$AU199,IF(N($S199)&gt;0,$S199*Lists!$AG$15*(1+N($Z199)),N($U199)*(1+N($V199)+N($W199)+N($X199)+N($Z199))+N($Y199))))</f>
        <v>243303.75</v>
      </c>
      <c r="AB199" s="1202" t="n"/>
      <c r="AC199" s="1202" t="n"/>
      <c r="AJ199" s="865" t="str">
        <f>IF(TRIM($B199)="","",IF(IFERROR(INDEX(Lists!$AO$2:$AO$11,MATCH(ROW(),Lists!$AN$2:$AN$11,0)),"")&lt;&gt;"",IFERROR(INDEX(Lists!$AO$2:$AO$11,MATCH(ROW(),Lists!$AN$2:$AN$11,0)),""),IFERROR(INDEX(Lists!$U:$U,MATCH(TRIM($I199),Lists!$T:$T,0)),TRIM($I199))))</f>
        <v>COE Cyber</v>
      </c>
      <c r="AK199" s="865" t="str">
        <f>IF(ISNUMBER(SEARCH("vacant",$B199)),"Vacant","Filled")</f>
        <v>Filled</v>
      </c>
      <c r="AL199" s="865" t="str">
        <f>IF($M199="NZ","NZ","AU")</f>
        <v>AU</v>
      </c>
      <c r="AM199" s="865">
        <f>COUNTIF($AJ$2:$AJ199,$AJ199)</f>
        <v>7</v>
      </c>
      <c r="AN199" s="865" t="str">
        <f>$AJ199&amp;"|"&amp;$AM199</f>
        <v>COE Cyber|7</v>
      </c>
      <c r="AP199" s="865" t="str">
        <f>IF(TRIM($B199)="","",IF($AQ199=1,"Leadership",IFERROR(INDEX(Lists!$X:$X,MATCH(TRIM($K199),Lists!$W:$W,0)),IF(OR(TRIM($K199)="",LOWER(TRIM($K199))="na"),IF(TRIM($G199)="","Unassigned",TRIM($G199)),TRIM($K199)))))</f>
        <v>Service Op &amp; Assurance</v>
      </c>
      <c r="AQ199" s="865" t="b">
        <f>IF(TRIM($B199)="","",--OR(TRIM($K199)="Leadership",TRIM($J199)="Leadership"))</f>
        <v>0</v>
      </c>
      <c r="AR199" s="1136" t="str">
        <f>IF(TRIM($B199)="","",IF(IFERROR(INDEX(Lists!$AQ$2:$AQ$11,MATCH(ROW(),Lists!$AN$2:$AN$11,0)),"")&lt;&gt;"",IFERROR(INDEX(Lists!$AQ$2:$AQ$11,MATCH(ROW(),Lists!$AN$2:$AN$11,0)),""),IF(ISNUMBER(SEARCH("head of ",$C199)),"Head of Technology",IF(ISNUMBER(SEARCH("TDD BP",$C199)),"Business Partner",IF(OR(ISNUMBER(SEARCH("domain architect",$C199)),ISNUMBER(SEARCH("enterprise architect",$C199))),"Domain Architect",IF(ISNUMBER(SEARCH("delivery man",$C199)),"Delivery Manager",IF(OR(ISNUMBER(SEARCH("technology manager",$C199)),ISNUMBER(SEARCH("technology manger",$C199)),ISNUMBER(SEARCH("tech manager",$C199))),"Technology Manager","Squad")))))))</f>
        <v>Squad</v>
      </c>
      <c r="AS199" s="1136" t="str">
        <f>IF(TRIM($B199)="","",IFERROR(INDEX(Lists!$AA:$AA,MATCH($AP199,Lists!$Z:$Z,0)),$AP199))</f>
        <v>Service Op &amp; Assurance</v>
      </c>
      <c r="AT199" s="1136" t="str">
        <f>IF(TRIM($B199)="","",IF(IFERROR(INDEX(Lists!$AP$2:$AP$11,MATCH(ROW(),Lists!$AN$2:$AN$11,0)),"")&lt;&gt;"",IFERROR(INDEX(Lists!$AP$2:$AP$11,MATCH(ROW(),Lists!$AN$2:$AN$11,0)),""),IF(OR(LEFT($AJ199,3)="COE",$AJ199="EGI"),$AP199,IF($AR199&lt;&gt;"Squad",$AR199,$AP199))))</f>
        <v>Service Op &amp; Assurance</v>
      </c>
    </row>
    <row r="200" ht="18" customHeight="1" s="866">
      <c r="A200" s="1155" t="n">
        <v>98924</v>
      </c>
      <c r="B200" s="1156" t="inlineStr">
        <is>
          <t>Dan Balsamo</t>
        </is>
      </c>
      <c r="C200" s="1156" t="inlineStr">
        <is>
          <t>Senior Cyber Project Manager</t>
        </is>
      </c>
      <c r="D200" s="1156" t="inlineStr">
        <is>
          <t>Vivienne Vasak</t>
        </is>
      </c>
      <c r="E200" s="1156" t="inlineStr">
        <is>
          <t xml:space="preserve">Head of Cyber Strategy &amp; Technology </t>
        </is>
      </c>
      <c r="F200" s="1156" t="inlineStr">
        <is>
          <t>Cyber, Risk &amp; Operations</t>
        </is>
      </c>
      <c r="G200" s="1158" t="inlineStr">
        <is>
          <t>Cyber Strat &amp; Tech</t>
        </is>
      </c>
      <c r="H200" s="1156" t="inlineStr">
        <is>
          <t>NA</t>
        </is>
      </c>
      <c r="I200" s="1156" t="inlineStr">
        <is>
          <t>COE - Cyber, Risk &amp; Operations</t>
        </is>
      </c>
      <c r="J200" s="1156" t="inlineStr">
        <is>
          <t>NA</t>
        </is>
      </c>
      <c r="K200" s="1156" t="inlineStr">
        <is>
          <t>NA</t>
        </is>
      </c>
      <c r="L200" s="1156" t="n"/>
      <c r="M200" s="1159" t="inlineStr">
        <is>
          <t>Australia</t>
        </is>
      </c>
      <c r="N200" s="1160" t="inlineStr">
        <is>
          <t>CIC</t>
        </is>
      </c>
      <c r="O200" s="1160" t="n">
        <v>1</v>
      </c>
      <c r="P200" s="1160" t="n"/>
      <c r="Q200" s="1160" t="inlineStr">
        <is>
          <t>Permanent - Full Time</t>
        </is>
      </c>
      <c r="R200" s="1162" t="n"/>
      <c r="S200" s="1162" t="n"/>
      <c r="T200" s="1163" t="n">
        <v>193690</v>
      </c>
      <c r="U200" s="1164" t="n">
        <v>193690</v>
      </c>
      <c r="V200" s="1166" t="n">
        <v>0.12</v>
      </c>
      <c r="W200" s="1170" t="n">
        <v>0.055</v>
      </c>
      <c r="X200" s="1170" t="n">
        <v>0.12</v>
      </c>
      <c r="Y200" s="1171" t="n"/>
      <c r="Z200" s="1170" t="n">
        <v>0.04</v>
      </c>
      <c r="AA200" s="1168">
        <f>IF(TRIM($B200)="","",IF(N($AU200)&gt;0,$AU200,IF(N($S200)&gt;0,$S200*Lists!$AG$15*(1+N($Z200)),N($U200)*(1+N($V200)+N($W200)+N($X200)+N($Z200))+N($Y200))))</f>
        <v>258576.15</v>
      </c>
      <c r="AB200" s="1202" t="n"/>
      <c r="AC200" s="1202" t="n"/>
      <c r="AJ200" s="865" t="str">
        <f>IF(TRIM($B200)="","",IF(IFERROR(INDEX(Lists!$AO$2:$AO$11,MATCH(ROW(),Lists!$AN$2:$AN$11,0)),"")&lt;&gt;"",IFERROR(INDEX(Lists!$AO$2:$AO$11,MATCH(ROW(),Lists!$AN$2:$AN$11,0)),""),IFERROR(INDEX(Lists!$U:$U,MATCH(TRIM($I200),Lists!$T:$T,0)),TRIM($I200))))</f>
        <v>COE Cyber</v>
      </c>
      <c r="AK200" s="865" t="str">
        <f>IF(ISNUMBER(SEARCH("vacant",$B200)),"Vacant","Filled")</f>
        <v>Filled</v>
      </c>
      <c r="AL200" s="865" t="str">
        <f>IF($M200="NZ","NZ","AU")</f>
        <v>AU</v>
      </c>
      <c r="AM200" s="865">
        <f>COUNTIF($AJ$2:$AJ200,$AJ200)</f>
        <v>8</v>
      </c>
      <c r="AN200" s="865" t="str">
        <f>$AJ200&amp;"|"&amp;$AM200</f>
        <v>COE Cyber|8</v>
      </c>
      <c r="AP200" s="865" t="str">
        <f>IF(TRIM($B200)="","",IF($AQ200=1,"Leadership",IFERROR(INDEX(Lists!$X:$X,MATCH(TRIM($K200),Lists!$W:$W,0)),IF(OR(TRIM($K200)="",LOWER(TRIM($K200))="na"),IF(TRIM($G200)="","Unassigned",TRIM($G200)),TRIM($K200)))))</f>
        <v>Cyber Strat &amp; Tech</v>
      </c>
      <c r="AQ200" s="865" t="b">
        <f>IF(TRIM($B200)="","",--OR(TRIM($K200)="Leadership",TRIM($J200)="Leadership"))</f>
        <v>0</v>
      </c>
      <c r="AR200" s="1136" t="str">
        <f>IF(TRIM($B200)="","",IF(IFERROR(INDEX(Lists!$AQ$2:$AQ$11,MATCH(ROW(),Lists!$AN$2:$AN$11,0)),"")&lt;&gt;"",IFERROR(INDEX(Lists!$AQ$2:$AQ$11,MATCH(ROW(),Lists!$AN$2:$AN$11,0)),""),IF(ISNUMBER(SEARCH("head of ",$C200)),"Head of Technology",IF(ISNUMBER(SEARCH("TDD BP",$C200)),"Business Partner",IF(OR(ISNUMBER(SEARCH("domain architect",$C200)),ISNUMBER(SEARCH("enterprise architect",$C200))),"Domain Architect",IF(ISNUMBER(SEARCH("delivery man",$C200)),"Delivery Manager",IF(OR(ISNUMBER(SEARCH("technology manager",$C200)),ISNUMBER(SEARCH("technology manger",$C200)),ISNUMBER(SEARCH("tech manager",$C200))),"Technology Manager","Squad")))))))</f>
        <v>Squad</v>
      </c>
      <c r="AS200" s="1136" t="str">
        <f>IF(TRIM($B200)="","",IFERROR(INDEX(Lists!$AA:$AA,MATCH($AP200,Lists!$Z:$Z,0)),$AP200))</f>
        <v>Cyber Strat &amp; Tech</v>
      </c>
      <c r="AT200" s="1136" t="str">
        <f>IF(TRIM($B200)="","",IF(IFERROR(INDEX(Lists!$AP$2:$AP$11,MATCH(ROW(),Lists!$AN$2:$AN$11,0)),"")&lt;&gt;"",IFERROR(INDEX(Lists!$AP$2:$AP$11,MATCH(ROW(),Lists!$AN$2:$AN$11,0)),""),IF(OR(LEFT($AJ200,3)="COE",$AJ200="EGI"),$AP200,IF($AR200&lt;&gt;"Squad",$AR200,$AP200))))</f>
        <v>Cyber Strat &amp; Tech</v>
      </c>
    </row>
    <row r="201" ht="18" customHeight="1" s="866">
      <c r="A201" s="1155" t="n">
        <v>110204</v>
      </c>
      <c r="B201" s="1156" t="inlineStr">
        <is>
          <t>Daniel Jolley</t>
        </is>
      </c>
      <c r="C201" s="1156" t="inlineStr">
        <is>
          <t>Tech Support Technician</t>
        </is>
      </c>
      <c r="D201" s="1156" t="inlineStr">
        <is>
          <t>Mark Pearson</t>
        </is>
      </c>
      <c r="E201" s="1156" t="inlineStr">
        <is>
          <t xml:space="preserve">Lead Technology Support </t>
        </is>
      </c>
      <c r="F201" s="1156" t="inlineStr">
        <is>
          <t>Cyber, Risk &amp; Operations</t>
        </is>
      </c>
      <c r="G201" s="1158" t="inlineStr">
        <is>
          <t>Service Op &amp; Assurance</t>
        </is>
      </c>
      <c r="H201" s="1156" t="inlineStr">
        <is>
          <t>NA</t>
        </is>
      </c>
      <c r="I201" s="1156" t="inlineStr">
        <is>
          <t>COE - Cyber, Risk &amp; Operations</t>
        </is>
      </c>
      <c r="J201" s="1156" t="inlineStr">
        <is>
          <t>NA</t>
        </is>
      </c>
      <c r="K201" s="1156" t="inlineStr">
        <is>
          <t>NA</t>
        </is>
      </c>
      <c r="L201" s="1156" t="n"/>
      <c r="M201" s="1159" t="inlineStr">
        <is>
          <t>Australia</t>
        </is>
      </c>
      <c r="N201" s="1160" t="inlineStr">
        <is>
          <t>CDC</t>
        </is>
      </c>
      <c r="O201" s="1160" t="n">
        <v>1</v>
      </c>
      <c r="P201" s="1160" t="n"/>
      <c r="Q201" s="1160" t="inlineStr">
        <is>
          <t>Permanent - Full Time</t>
        </is>
      </c>
      <c r="R201" s="1162" t="n"/>
      <c r="S201" s="1162" t="n"/>
      <c r="T201" s="1163" t="n">
        <v>88100</v>
      </c>
      <c r="U201" s="1164" t="n">
        <v>88100</v>
      </c>
      <c r="V201" s="1166" t="n">
        <v>0.1</v>
      </c>
      <c r="W201" s="1170" t="n">
        <v>0.055</v>
      </c>
      <c r="X201" s="1170" t="n">
        <v>0.12</v>
      </c>
      <c r="Y201" s="1171" t="n"/>
      <c r="Z201" s="1170" t="n">
        <v>0.04</v>
      </c>
      <c r="AA201" s="1168">
        <f>IF(TRIM($B201)="","",IF(N($AU201)&gt;0,$AU201,IF(N($S201)&gt;0,$S201*Lists!$AG$15*(1+N($Z201)),N($U201)*(1+N($V201)+N($W201)+N($X201)+N($Z201))+N($Y201))))</f>
        <v>115851.5</v>
      </c>
      <c r="AB201" s="1202" t="n"/>
      <c r="AC201" s="1202" t="n"/>
      <c r="AJ201" s="865" t="str">
        <f>IF(TRIM($B201)="","",IF(IFERROR(INDEX(Lists!$AO$2:$AO$11,MATCH(ROW(),Lists!$AN$2:$AN$11,0)),"")&lt;&gt;"",IFERROR(INDEX(Lists!$AO$2:$AO$11,MATCH(ROW(),Lists!$AN$2:$AN$11,0)),""),IFERROR(INDEX(Lists!$U:$U,MATCH(TRIM($I201),Lists!$T:$T,0)),TRIM($I201))))</f>
        <v>COE Cyber</v>
      </c>
      <c r="AK201" s="865" t="str">
        <f>IF(ISNUMBER(SEARCH("vacant",$B201)),"Vacant","Filled")</f>
        <v>Filled</v>
      </c>
      <c r="AL201" s="865" t="str">
        <f>IF($M201="NZ","NZ","AU")</f>
        <v>AU</v>
      </c>
      <c r="AM201" s="865">
        <f>COUNTIF($AJ$2:$AJ201,$AJ201)</f>
        <v>9</v>
      </c>
      <c r="AN201" s="865" t="str">
        <f>$AJ201&amp;"|"&amp;$AM201</f>
        <v>COE Cyber|9</v>
      </c>
      <c r="AP201" s="865" t="str">
        <f>IF(TRIM($B201)="","",IF($AQ201=1,"Leadership",IFERROR(INDEX(Lists!$X:$X,MATCH(TRIM($K201),Lists!$W:$W,0)),IF(OR(TRIM($K201)="",LOWER(TRIM($K201))="na"),IF(TRIM($G201)="","Unassigned",TRIM($G201)),TRIM($K201)))))</f>
        <v>Service Op &amp; Assurance</v>
      </c>
      <c r="AQ201" s="865" t="b">
        <f>IF(TRIM($B201)="","",--OR(TRIM($K201)="Leadership",TRIM($J201)="Leadership"))</f>
        <v>0</v>
      </c>
      <c r="AR201" s="1136" t="str">
        <f>IF(TRIM($B201)="","",IF(IFERROR(INDEX(Lists!$AQ$2:$AQ$11,MATCH(ROW(),Lists!$AN$2:$AN$11,0)),"")&lt;&gt;"",IFERROR(INDEX(Lists!$AQ$2:$AQ$11,MATCH(ROW(),Lists!$AN$2:$AN$11,0)),""),IF(ISNUMBER(SEARCH("head of ",$C201)),"Head of Technology",IF(ISNUMBER(SEARCH("TDD BP",$C201)),"Business Partner",IF(OR(ISNUMBER(SEARCH("domain architect",$C201)),ISNUMBER(SEARCH("enterprise architect",$C201))),"Domain Architect",IF(ISNUMBER(SEARCH("delivery man",$C201)),"Delivery Manager",IF(OR(ISNUMBER(SEARCH("technology manager",$C201)),ISNUMBER(SEARCH("technology manger",$C201)),ISNUMBER(SEARCH("tech manager",$C201))),"Technology Manager","Squad")))))))</f>
        <v>Squad</v>
      </c>
      <c r="AS201" s="1136" t="str">
        <f>IF(TRIM($B201)="","",IFERROR(INDEX(Lists!$AA:$AA,MATCH($AP201,Lists!$Z:$Z,0)),$AP201))</f>
        <v>Service Op &amp; Assurance</v>
      </c>
      <c r="AT201" s="1136" t="str">
        <f>IF(TRIM($B201)="","",IF(IFERROR(INDEX(Lists!$AP$2:$AP$11,MATCH(ROW(),Lists!$AN$2:$AN$11,0)),"")&lt;&gt;"",IFERROR(INDEX(Lists!$AP$2:$AP$11,MATCH(ROW(),Lists!$AN$2:$AN$11,0)),""),IF(OR(LEFT($AJ201,3)="COE",$AJ201="EGI"),$AP201,IF($AR201&lt;&gt;"Squad",$AR201,$AP201))))</f>
        <v>Service Op &amp; Assurance</v>
      </c>
    </row>
    <row r="202" ht="18" customHeight="1" s="866">
      <c r="A202" s="1155" t="n">
        <v>6307</v>
      </c>
      <c r="B202" s="1156" t="inlineStr">
        <is>
          <t>Darren Koller</t>
        </is>
      </c>
      <c r="C202" s="1156" t="inlineStr">
        <is>
          <t>Manager, Service Management &amp; Major Incident Mgmt Lead</t>
        </is>
      </c>
      <c r="D202" s="1156" t="inlineStr">
        <is>
          <t>Rajini Onteddu Reddy</t>
        </is>
      </c>
      <c r="E202" s="1156" t="inlineStr">
        <is>
          <t>Head of Service Operatoins &amp; Assurance</t>
        </is>
      </c>
      <c r="F202" s="1156" t="inlineStr">
        <is>
          <t>Cyber, Risk &amp; Operations</t>
        </is>
      </c>
      <c r="G202" s="1158" t="inlineStr">
        <is>
          <t>Service Op &amp; Assurance</t>
        </is>
      </c>
      <c r="H202" s="1156" t="inlineStr">
        <is>
          <t>NA</t>
        </is>
      </c>
      <c r="I202" s="1156" t="inlineStr">
        <is>
          <t>COE - Cyber, Risk &amp; Operations</t>
        </is>
      </c>
      <c r="J202" s="1156" t="inlineStr">
        <is>
          <t>NA</t>
        </is>
      </c>
      <c r="K202" s="1156" t="inlineStr">
        <is>
          <t>NA</t>
        </is>
      </c>
      <c r="L202" s="1156" t="n"/>
      <c r="M202" s="1159" t="inlineStr">
        <is>
          <t>Australia</t>
        </is>
      </c>
      <c r="N202" s="1162" t="inlineStr">
        <is>
          <t>CIC</t>
        </is>
      </c>
      <c r="O202" s="1162" t="n">
        <v>1</v>
      </c>
      <c r="P202" s="1162" t="n"/>
      <c r="Q202" s="1162" t="inlineStr">
        <is>
          <t>Permanent - Full Time</t>
        </is>
      </c>
      <c r="R202" s="1162" t="n"/>
      <c r="S202" s="1162" t="n"/>
      <c r="T202" s="1163" t="n">
        <v>205950</v>
      </c>
      <c r="U202" s="1164" t="n">
        <v>205950</v>
      </c>
      <c r="V202" s="1166" t="n">
        <v>0.12</v>
      </c>
      <c r="W202" s="1170" t="n">
        <v>0.055</v>
      </c>
      <c r="X202" s="1170" t="n">
        <v>0.12</v>
      </c>
      <c r="Y202" s="1171" t="n"/>
      <c r="Z202" s="1170" t="n">
        <v>0.04</v>
      </c>
      <c r="AA202" s="1168">
        <f>IF(TRIM($B202)="","",IF(N($AU202)&gt;0,$AU202,IF(N($S202)&gt;0,$S202*Lists!$AG$15*(1+N($Z202)),N($U202)*(1+N($V202)+N($W202)+N($X202)+N($Z202))+N($Y202))))</f>
        <v>274943.25</v>
      </c>
      <c r="AB202" s="1202" t="n"/>
      <c r="AC202" s="1202" t="n"/>
      <c r="AJ202" s="865" t="str">
        <f>IF(TRIM($B202)="","",IF(IFERROR(INDEX(Lists!$AO$2:$AO$11,MATCH(ROW(),Lists!$AN$2:$AN$11,0)),"")&lt;&gt;"",IFERROR(INDEX(Lists!$AO$2:$AO$11,MATCH(ROW(),Lists!$AN$2:$AN$11,0)),""),IFERROR(INDEX(Lists!$U:$U,MATCH(TRIM($I202),Lists!$T:$T,0)),TRIM($I202))))</f>
        <v>COE Cyber</v>
      </c>
      <c r="AK202" s="865" t="str">
        <f>IF(ISNUMBER(SEARCH("vacant",$B202)),"Vacant","Filled")</f>
        <v>Filled</v>
      </c>
      <c r="AL202" s="865" t="str">
        <f>IF($M202="NZ","NZ","AU")</f>
        <v>AU</v>
      </c>
      <c r="AM202" s="865">
        <f>COUNTIF($AJ$2:$AJ202,$AJ202)</f>
        <v>10</v>
      </c>
      <c r="AN202" s="865" t="str">
        <f>$AJ202&amp;"|"&amp;$AM202</f>
        <v>COE Cyber|10</v>
      </c>
      <c r="AP202" s="865" t="str">
        <f>IF(TRIM($B202)="","",IF($AQ202=1,"Leadership",IFERROR(INDEX(Lists!$X:$X,MATCH(TRIM($K202),Lists!$W:$W,0)),IF(OR(TRIM($K202)="",LOWER(TRIM($K202))="na"),IF(TRIM($G202)="","Unassigned",TRIM($G202)),TRIM($K202)))))</f>
        <v>Service Op &amp; Assurance</v>
      </c>
      <c r="AQ202" s="865" t="b">
        <f>IF(TRIM($B202)="","",--OR(TRIM($K202)="Leadership",TRIM($J202)="Leadership"))</f>
        <v>0</v>
      </c>
      <c r="AR202" s="1136" t="str">
        <f>IF(TRIM($B202)="","",IF(IFERROR(INDEX(Lists!$AQ$2:$AQ$11,MATCH(ROW(),Lists!$AN$2:$AN$11,0)),"")&lt;&gt;"",IFERROR(INDEX(Lists!$AQ$2:$AQ$11,MATCH(ROW(),Lists!$AN$2:$AN$11,0)),""),IF(ISNUMBER(SEARCH("head of ",$C202)),"Head of Technology",IF(ISNUMBER(SEARCH("TDD BP",$C202)),"Business Partner",IF(OR(ISNUMBER(SEARCH("domain architect",$C202)),ISNUMBER(SEARCH("enterprise architect",$C202))),"Domain Architect",IF(ISNUMBER(SEARCH("delivery man",$C202)),"Delivery Manager",IF(OR(ISNUMBER(SEARCH("technology manager",$C202)),ISNUMBER(SEARCH("technology manger",$C202)),ISNUMBER(SEARCH("tech manager",$C202))),"Technology Manager","Squad")))))))</f>
        <v>Squad</v>
      </c>
      <c r="AS202" s="1136" t="str">
        <f>IF(TRIM($B202)="","",IFERROR(INDEX(Lists!$AA:$AA,MATCH($AP202,Lists!$Z:$Z,0)),$AP202))</f>
        <v>Service Op &amp; Assurance</v>
      </c>
      <c r="AT202" s="1136" t="str">
        <f>IF(TRIM($B202)="","",IF(IFERROR(INDEX(Lists!$AP$2:$AP$11,MATCH(ROW(),Lists!$AN$2:$AN$11,0)),"")&lt;&gt;"",IFERROR(INDEX(Lists!$AP$2:$AP$11,MATCH(ROW(),Lists!$AN$2:$AN$11,0)),""),IF(OR(LEFT($AJ202,3)="COE",$AJ202="EGI"),$AP202,IF($AR202&lt;&gt;"Squad",$AR202,$AP202))))</f>
        <v>Service Op &amp; Assurance</v>
      </c>
    </row>
    <row r="203" ht="18" customHeight="1" s="866">
      <c r="A203" s="1155" t="n">
        <v>99707</v>
      </c>
      <c r="B203" s="1156" t="inlineStr">
        <is>
          <t>Darshan Suvama</t>
        </is>
      </c>
      <c r="C203" s="1156" t="inlineStr">
        <is>
          <t>Cyber Offensive Security Lead</t>
        </is>
      </c>
      <c r="D203" s="1156" t="inlineStr">
        <is>
          <t>Kevin Sheerin</t>
        </is>
      </c>
      <c r="E203" s="1156" t="inlineStr">
        <is>
          <t>Cyber Architecture Lead</t>
        </is>
      </c>
      <c r="F203" s="1156" t="inlineStr">
        <is>
          <t>Cyber, Risk &amp; Operations</t>
        </is>
      </c>
      <c r="G203" s="1158" t="inlineStr">
        <is>
          <t>Cyber Strat &amp; Tech</t>
        </is>
      </c>
      <c r="H203" s="1156" t="inlineStr">
        <is>
          <t>NA</t>
        </is>
      </c>
      <c r="I203" s="1156" t="inlineStr">
        <is>
          <t>COE - Cyber, Risk &amp; Operations</t>
        </is>
      </c>
      <c r="J203" s="1156" t="inlineStr">
        <is>
          <t>NA</t>
        </is>
      </c>
      <c r="K203" s="1156" t="inlineStr">
        <is>
          <t>NA</t>
        </is>
      </c>
      <c r="L203" s="1156" t="n"/>
      <c r="M203" s="1159" t="inlineStr">
        <is>
          <t>Australia</t>
        </is>
      </c>
      <c r="N203" s="1160" t="inlineStr">
        <is>
          <t>CIC</t>
        </is>
      </c>
      <c r="O203" s="1160" t="n">
        <v>1</v>
      </c>
      <c r="P203" s="1160" t="n"/>
      <c r="Q203" s="1160" t="inlineStr">
        <is>
          <t>Permanent - Full Time</t>
        </is>
      </c>
      <c r="R203" s="1162" t="n"/>
      <c r="S203" s="1162" t="n"/>
      <c r="T203" s="1163" t="n">
        <v>213740</v>
      </c>
      <c r="U203" s="1164" t="n">
        <v>213740</v>
      </c>
      <c r="V203" s="1166" t="n">
        <v>0.12</v>
      </c>
      <c r="W203" s="1170" t="n">
        <v>0.055</v>
      </c>
      <c r="X203" s="1170" t="n">
        <v>0.12</v>
      </c>
      <c r="Y203" s="1171" t="n"/>
      <c r="Z203" s="1170" t="n">
        <v>0.04</v>
      </c>
      <c r="AA203" s="1168">
        <f>IF(TRIM($B203)="","",IF(N($AU203)&gt;0,$AU203,IF(N($S203)&gt;0,$S203*Lists!$AG$15*(1+N($Z203)),N($U203)*(1+N($V203)+N($W203)+N($X203)+N($Z203))+N($Y203))))</f>
        <v>285342.9</v>
      </c>
      <c r="AB203" s="1202" t="n"/>
      <c r="AC203" s="1202" t="n"/>
      <c r="AJ203" s="865" t="str">
        <f>IF(TRIM($B203)="","",IF(IFERROR(INDEX(Lists!$AO$2:$AO$11,MATCH(ROW(),Lists!$AN$2:$AN$11,0)),"")&lt;&gt;"",IFERROR(INDEX(Lists!$AO$2:$AO$11,MATCH(ROW(),Lists!$AN$2:$AN$11,0)),""),IFERROR(INDEX(Lists!$U:$U,MATCH(TRIM($I203),Lists!$T:$T,0)),TRIM($I203))))</f>
        <v>COE Cyber</v>
      </c>
      <c r="AK203" s="865" t="str">
        <f>IF(ISNUMBER(SEARCH("vacant",$B203)),"Vacant","Filled")</f>
        <v>Filled</v>
      </c>
      <c r="AL203" s="865" t="str">
        <f>IF($M203="NZ","NZ","AU")</f>
        <v>AU</v>
      </c>
      <c r="AM203" s="865">
        <f>COUNTIF($AJ$2:$AJ203,$AJ203)</f>
        <v>11</v>
      </c>
      <c r="AN203" s="865" t="str">
        <f>$AJ203&amp;"|"&amp;$AM203</f>
        <v>COE Cyber|11</v>
      </c>
      <c r="AP203" s="865" t="str">
        <f>IF(TRIM($B203)="","",IF($AQ203=1,"Leadership",IFERROR(INDEX(Lists!$X:$X,MATCH(TRIM($K203),Lists!$W:$W,0)),IF(OR(TRIM($K203)="",LOWER(TRIM($K203))="na"),IF(TRIM($G203)="","Unassigned",TRIM($G203)),TRIM($K203)))))</f>
        <v>Cyber Strat &amp; Tech</v>
      </c>
      <c r="AQ203" s="865" t="b">
        <f>IF(TRIM($B203)="","",--OR(TRIM($K203)="Leadership",TRIM($J203)="Leadership"))</f>
        <v>0</v>
      </c>
      <c r="AR203" s="1136" t="str">
        <f>IF(TRIM($B203)="","",IF(IFERROR(INDEX(Lists!$AQ$2:$AQ$11,MATCH(ROW(),Lists!$AN$2:$AN$11,0)),"")&lt;&gt;"",IFERROR(INDEX(Lists!$AQ$2:$AQ$11,MATCH(ROW(),Lists!$AN$2:$AN$11,0)),""),IF(ISNUMBER(SEARCH("head of ",$C203)),"Head of Technology",IF(ISNUMBER(SEARCH("TDD BP",$C203)),"Business Partner",IF(OR(ISNUMBER(SEARCH("domain architect",$C203)),ISNUMBER(SEARCH("enterprise architect",$C203))),"Domain Architect",IF(ISNUMBER(SEARCH("delivery man",$C203)),"Delivery Manager",IF(OR(ISNUMBER(SEARCH("technology manager",$C203)),ISNUMBER(SEARCH("technology manger",$C203)),ISNUMBER(SEARCH("tech manager",$C203))),"Technology Manager","Squad")))))))</f>
        <v>Squad</v>
      </c>
      <c r="AS203" s="1136" t="str">
        <f>IF(TRIM($B203)="","",IFERROR(INDEX(Lists!$AA:$AA,MATCH($AP203,Lists!$Z:$Z,0)),$AP203))</f>
        <v>Cyber Strat &amp; Tech</v>
      </c>
      <c r="AT203" s="1136" t="str">
        <f>IF(TRIM($B203)="","",IF(IFERROR(INDEX(Lists!$AP$2:$AP$11,MATCH(ROW(),Lists!$AN$2:$AN$11,0)),"")&lt;&gt;"",IFERROR(INDEX(Lists!$AP$2:$AP$11,MATCH(ROW(),Lists!$AN$2:$AN$11,0)),""),IF(OR(LEFT($AJ203,3)="COE",$AJ203="EGI"),$AP203,IF($AR203&lt;&gt;"Squad",$AR203,$AP203))))</f>
        <v>Cyber Strat &amp; Tech</v>
      </c>
    </row>
    <row r="204" ht="18" customHeight="1" s="866">
      <c r="A204" s="1155" t="n">
        <v>101700</v>
      </c>
      <c r="B204" s="1156" t="inlineStr">
        <is>
          <t>Diya Thomas</t>
        </is>
      </c>
      <c r="C204" s="1156" t="inlineStr">
        <is>
          <t>Manager Cyber Security GRC</t>
        </is>
      </c>
      <c r="D204" s="1156" t="inlineStr">
        <is>
          <t>Frances Bouzo</t>
        </is>
      </c>
      <c r="E204" s="1156" t="inlineStr">
        <is>
          <t xml:space="preserve">Manager Cyber Security Operations </t>
        </is>
      </c>
      <c r="F204" s="1156" t="inlineStr">
        <is>
          <t>Cyber, Risk &amp; Operations</t>
        </is>
      </c>
      <c r="G204" s="1158" t="inlineStr">
        <is>
          <t>Cyber GRC</t>
        </is>
      </c>
      <c r="H204" s="1156" t="inlineStr">
        <is>
          <t>NA</t>
        </is>
      </c>
      <c r="I204" s="1156" t="inlineStr">
        <is>
          <t>COE - Cyber, Risk &amp; Operations</t>
        </is>
      </c>
      <c r="J204" s="1156" t="inlineStr">
        <is>
          <t>NA</t>
        </is>
      </c>
      <c r="K204" s="1156" t="inlineStr">
        <is>
          <t>NA</t>
        </is>
      </c>
      <c r="L204" s="1156" t="n"/>
      <c r="M204" s="1159" t="inlineStr">
        <is>
          <t>Australia</t>
        </is>
      </c>
      <c r="N204" s="1160" t="inlineStr">
        <is>
          <t>CSB</t>
        </is>
      </c>
      <c r="O204" s="1160" t="n">
        <v>1</v>
      </c>
      <c r="P204" s="1160" t="n"/>
      <c r="Q204" s="1160" t="inlineStr">
        <is>
          <t>Permanent - Full Time</t>
        </is>
      </c>
      <c r="R204" s="1162" t="n"/>
      <c r="S204" s="1162" t="n"/>
      <c r="T204" s="1163" t="n">
        <v>211840</v>
      </c>
      <c r="U204" s="1164" t="n">
        <v>211840</v>
      </c>
      <c r="V204" s="1166" t="n">
        <v>0.14</v>
      </c>
      <c r="W204" s="1170" t="n">
        <v>0.055</v>
      </c>
      <c r="X204" s="1170" t="n">
        <v>0.12</v>
      </c>
      <c r="Y204" s="1171" t="n"/>
      <c r="Z204" s="1170" t="n">
        <v>0.04</v>
      </c>
      <c r="AA204" s="1168">
        <f>IF(TRIM($B204)="","",IF(N($AU204)&gt;0,$AU204,IF(N($S204)&gt;0,$S204*Lists!$AG$15*(1+N($Z204)),N($U204)*(1+N($V204)+N($W204)+N($X204)+N($Z204))+N($Y204))))</f>
        <v>287043.2</v>
      </c>
      <c r="AB204" s="1202" t="n"/>
      <c r="AC204" s="1202" t="n"/>
      <c r="AJ204" s="865" t="str">
        <f>IF(TRIM($B204)="","",IF(IFERROR(INDEX(Lists!$AO$2:$AO$11,MATCH(ROW(),Lists!$AN$2:$AN$11,0)),"")&lt;&gt;"",IFERROR(INDEX(Lists!$AO$2:$AO$11,MATCH(ROW(),Lists!$AN$2:$AN$11,0)),""),IFERROR(INDEX(Lists!$U:$U,MATCH(TRIM($I204),Lists!$T:$T,0)),TRIM($I204))))</f>
        <v>COE Cyber</v>
      </c>
      <c r="AK204" s="865" t="str">
        <f>IF(ISNUMBER(SEARCH("vacant",$B204)),"Vacant","Filled")</f>
        <v>Filled</v>
      </c>
      <c r="AL204" s="865" t="str">
        <f>IF($M204="NZ","NZ","AU")</f>
        <v>AU</v>
      </c>
      <c r="AM204" s="865">
        <f>COUNTIF($AJ$2:$AJ204,$AJ204)</f>
        <v>12</v>
      </c>
      <c r="AN204" s="865" t="str">
        <f>$AJ204&amp;"|"&amp;$AM204</f>
        <v>COE Cyber|12</v>
      </c>
      <c r="AP204" s="865" t="str">
        <f>IF(TRIM($B204)="","",IF($AQ204=1,"Leadership",IFERROR(INDEX(Lists!$X:$X,MATCH(TRIM($K204),Lists!$W:$W,0)),IF(OR(TRIM($K204)="",LOWER(TRIM($K204))="na"),IF(TRIM($G204)="","Unassigned",TRIM($G204)),TRIM($K204)))))</f>
        <v>Cyber GRC</v>
      </c>
      <c r="AQ204" s="865" t="b">
        <f>IF(TRIM($B204)="","",--OR(TRIM($K204)="Leadership",TRIM($J204)="Leadership"))</f>
        <v>0</v>
      </c>
      <c r="AR204" s="1136" t="str">
        <f>IF(TRIM($B204)="","",IF(IFERROR(INDEX(Lists!$AQ$2:$AQ$11,MATCH(ROW(),Lists!$AN$2:$AN$11,0)),"")&lt;&gt;"",IFERROR(INDEX(Lists!$AQ$2:$AQ$11,MATCH(ROW(),Lists!$AN$2:$AN$11,0)),""),IF(ISNUMBER(SEARCH("head of ",$C204)),"Head of Technology",IF(ISNUMBER(SEARCH("TDD BP",$C204)),"Business Partner",IF(OR(ISNUMBER(SEARCH("domain architect",$C204)),ISNUMBER(SEARCH("enterprise architect",$C204))),"Domain Architect",IF(ISNUMBER(SEARCH("delivery man",$C204)),"Delivery Manager",IF(OR(ISNUMBER(SEARCH("technology manager",$C204)),ISNUMBER(SEARCH("technology manger",$C204)),ISNUMBER(SEARCH("tech manager",$C204))),"Technology Manager","Squad")))))))</f>
        <v>Squad</v>
      </c>
      <c r="AS204" s="1136" t="str">
        <f>IF(TRIM($B204)="","",IFERROR(INDEX(Lists!$AA:$AA,MATCH($AP204,Lists!$Z:$Z,0)),$AP204))</f>
        <v>Cyber GRC</v>
      </c>
      <c r="AT204" s="1136" t="str">
        <f>IF(TRIM($B204)="","",IF(IFERROR(INDEX(Lists!$AP$2:$AP$11,MATCH(ROW(),Lists!$AN$2:$AN$11,0)),"")&lt;&gt;"",IFERROR(INDEX(Lists!$AP$2:$AP$11,MATCH(ROW(),Lists!$AN$2:$AN$11,0)),""),IF(OR(LEFT($AJ204,3)="COE",$AJ204="EGI"),$AP204,IF($AR204&lt;&gt;"Squad",$AR204,$AP204))))</f>
        <v>Cyber GRC</v>
      </c>
    </row>
    <row r="205" ht="18" customHeight="1" s="866">
      <c r="A205" s="1155" t="n">
        <v>99999102157</v>
      </c>
      <c r="B205" s="1156" t="inlineStr">
        <is>
          <t>Ethan Lamhert (FT)</t>
        </is>
      </c>
      <c r="C205" s="1156" t="inlineStr">
        <is>
          <t>Tech Support Technician</t>
        </is>
      </c>
      <c r="D205" s="1156" t="inlineStr">
        <is>
          <t>Mark Pearson</t>
        </is>
      </c>
      <c r="E205" s="1156" t="inlineStr">
        <is>
          <t xml:space="preserve">Lead Technology Support </t>
        </is>
      </c>
      <c r="F205" s="1156" t="inlineStr">
        <is>
          <t>Cyber, Risk &amp; Operations</t>
        </is>
      </c>
      <c r="G205" s="1158" t="inlineStr">
        <is>
          <t>Service Op &amp; Assurance</t>
        </is>
      </c>
      <c r="H205" s="1156" t="inlineStr">
        <is>
          <t>NA</t>
        </is>
      </c>
      <c r="I205" s="1156" t="inlineStr">
        <is>
          <t>COE - Cyber, Risk &amp; Operations</t>
        </is>
      </c>
      <c r="J205" s="1156" t="inlineStr">
        <is>
          <t>NA</t>
        </is>
      </c>
      <c r="K205" s="1156" t="inlineStr">
        <is>
          <t>NA</t>
        </is>
      </c>
      <c r="L205" s="1156" t="n"/>
      <c r="M205" s="1159" t="inlineStr">
        <is>
          <t>NZ</t>
        </is>
      </c>
      <c r="N205" s="1160" t="inlineStr">
        <is>
          <t>CDB</t>
        </is>
      </c>
      <c r="O205" s="1161" t="n">
        <v>1</v>
      </c>
      <c r="P205" s="1160" t="n"/>
      <c r="Q205" s="1161" t="inlineStr">
        <is>
          <t>Temporary - Full Time</t>
        </is>
      </c>
      <c r="R205" s="1162" t="n"/>
      <c r="S205" s="1162" t="n"/>
      <c r="T205" s="1163" t="n">
        <v>80000</v>
      </c>
      <c r="U205" s="1164" t="n">
        <v>73600</v>
      </c>
      <c r="V205" s="1165" t="n">
        <v>0.1</v>
      </c>
      <c r="W205" s="1161" t="n"/>
      <c r="X205" s="1166" t="n">
        <v>0.05</v>
      </c>
      <c r="Y205" s="1907" t="n">
        <v>2910</v>
      </c>
      <c r="Z205" s="1166" t="n">
        <v>0.03</v>
      </c>
      <c r="AA205" s="1168">
        <f>IF(TRIM($B205)="","",IF(N($AU205)&gt;0,$AU205,IF(N($S205)&gt;0,$S205*Lists!$AG$15*(1+N($Z205)),N($U205)*(1+N($V205)+N($W205)+N($X205)+N($Z205))+N($Y205))))</f>
        <v>89758</v>
      </c>
      <c r="AB205" s="1202" t="n"/>
      <c r="AC205" s="1202" t="n"/>
      <c r="AJ205" s="865" t="str">
        <f>IF(TRIM($B205)="","",IF(IFERROR(INDEX(Lists!$AO$2:$AO$11,MATCH(ROW(),Lists!$AN$2:$AN$11,0)),"")&lt;&gt;"",IFERROR(INDEX(Lists!$AO$2:$AO$11,MATCH(ROW(),Lists!$AN$2:$AN$11,0)),""),IFERROR(INDEX(Lists!$U:$U,MATCH(TRIM($I205),Lists!$T:$T,0)),TRIM($I205))))</f>
        <v>COE Cyber</v>
      </c>
      <c r="AK205" s="865" t="str">
        <f>IF(ISNUMBER(SEARCH("vacant",$B205)),"Vacant","Filled")</f>
        <v>Filled</v>
      </c>
      <c r="AL205" s="865" t="str">
        <f>IF($M205="NZ","NZ","AU")</f>
        <v>NZ</v>
      </c>
      <c r="AM205" s="865">
        <f>COUNTIF($AJ$2:$AJ205,$AJ205)</f>
        <v>13</v>
      </c>
      <c r="AN205" s="865" t="str">
        <f>$AJ205&amp;"|"&amp;$AM205</f>
        <v>COE Cyber|13</v>
      </c>
      <c r="AP205" s="865" t="str">
        <f>IF(TRIM($B205)="","",IF($AQ205=1,"Leadership",IFERROR(INDEX(Lists!$X:$X,MATCH(TRIM($K205),Lists!$W:$W,0)),IF(OR(TRIM($K205)="",LOWER(TRIM($K205))="na"),IF(TRIM($G205)="","Unassigned",TRIM($G205)),TRIM($K205)))))</f>
        <v>Service Op &amp; Assurance</v>
      </c>
      <c r="AQ205" s="865" t="b">
        <f>IF(TRIM($B205)="","",--OR(TRIM($K205)="Leadership",TRIM($J205)="Leadership"))</f>
        <v>0</v>
      </c>
      <c r="AR205" s="1136" t="str">
        <f>IF(TRIM($B205)="","",IF(IFERROR(INDEX(Lists!$AQ$2:$AQ$11,MATCH(ROW(),Lists!$AN$2:$AN$11,0)),"")&lt;&gt;"",IFERROR(INDEX(Lists!$AQ$2:$AQ$11,MATCH(ROW(),Lists!$AN$2:$AN$11,0)),""),IF(ISNUMBER(SEARCH("head of ",$C205)),"Head of Technology",IF(ISNUMBER(SEARCH("TDD BP",$C205)),"Business Partner",IF(OR(ISNUMBER(SEARCH("domain architect",$C205)),ISNUMBER(SEARCH("enterprise architect",$C205))),"Domain Architect",IF(ISNUMBER(SEARCH("delivery man",$C205)),"Delivery Manager",IF(OR(ISNUMBER(SEARCH("technology manager",$C205)),ISNUMBER(SEARCH("technology manger",$C205)),ISNUMBER(SEARCH("tech manager",$C205))),"Technology Manager","Squad")))))))</f>
        <v>Squad</v>
      </c>
      <c r="AS205" s="1136" t="str">
        <f>IF(TRIM($B205)="","",IFERROR(INDEX(Lists!$AA:$AA,MATCH($AP205,Lists!$Z:$Z,0)),$AP205))</f>
        <v>Service Op &amp; Assurance</v>
      </c>
      <c r="AT205" s="1136" t="str">
        <f>IF(TRIM($B205)="","",IF(IFERROR(INDEX(Lists!$AP$2:$AP$11,MATCH(ROW(),Lists!$AN$2:$AN$11,0)),"")&lt;&gt;"",IFERROR(INDEX(Lists!$AP$2:$AP$11,MATCH(ROW(),Lists!$AN$2:$AN$11,0)),""),IF(OR(LEFT($AJ205,3)="COE",$AJ205="EGI"),$AP205,IF($AR205&lt;&gt;"Squad",$AR205,$AP205))))</f>
        <v>Service Op &amp; Assurance</v>
      </c>
    </row>
    <row r="206" ht="18" customHeight="1" s="866">
      <c r="A206" s="1155" t="n">
        <v>87951</v>
      </c>
      <c r="B206" s="1156" t="inlineStr">
        <is>
          <t>Iwan Wibisono</t>
        </is>
      </c>
      <c r="C206" s="1156" t="inlineStr">
        <is>
          <t>Engineer - IDAM</t>
        </is>
      </c>
      <c r="D206" s="1156" t="inlineStr">
        <is>
          <t>Joe Nahma</t>
        </is>
      </c>
      <c r="E206" s="1156" t="inlineStr">
        <is>
          <t xml:space="preserve">Lead Service Desk </t>
        </is>
      </c>
      <c r="F206" s="1156" t="inlineStr">
        <is>
          <t>Cyber, Risk &amp; Operations</t>
        </is>
      </c>
      <c r="G206" s="1158" t="inlineStr">
        <is>
          <t>Cyber Strat &amp; Tech</t>
        </is>
      </c>
      <c r="H206" s="1156" t="inlineStr">
        <is>
          <t>NA</t>
        </is>
      </c>
      <c r="I206" s="1156" t="inlineStr">
        <is>
          <t>COE - Cyber, Risk &amp; Operations</t>
        </is>
      </c>
      <c r="J206" s="1156" t="inlineStr">
        <is>
          <t>NA</t>
        </is>
      </c>
      <c r="K206" s="1156" t="inlineStr">
        <is>
          <t>NA</t>
        </is>
      </c>
      <c r="L206" s="1156" t="n"/>
      <c r="M206" s="1159" t="inlineStr">
        <is>
          <t>Australia</t>
        </is>
      </c>
      <c r="N206" s="1162" t="inlineStr">
        <is>
          <t>CIB</t>
        </is>
      </c>
      <c r="O206" s="1162" t="n">
        <v>1</v>
      </c>
      <c r="P206" s="1162" t="n"/>
      <c r="Q206" s="1162" t="inlineStr">
        <is>
          <t>Permanent - Full Time</t>
        </is>
      </c>
      <c r="R206" s="1162" t="n"/>
      <c r="S206" s="1162" t="n"/>
      <c r="T206" s="1163" t="n">
        <v>161560</v>
      </c>
      <c r="U206" s="1164" t="n">
        <v>161560</v>
      </c>
      <c r="V206" s="1166" t="n">
        <v>0.12</v>
      </c>
      <c r="W206" s="1170" t="n">
        <v>0.055</v>
      </c>
      <c r="X206" s="1170" t="n">
        <v>0.12</v>
      </c>
      <c r="Y206" s="1171" t="n"/>
      <c r="Z206" s="1170" t="n">
        <v>0.04</v>
      </c>
      <c r="AA206" s="1168">
        <f>IF(TRIM($B206)="","",IF(N($AU206)&gt;0,$AU206,IF(N($S206)&gt;0,$S206*Lists!$AG$15*(1+N($Z206)),N($U206)*(1+N($V206)+N($W206)+N($X206)+N($Z206))+N($Y206))))</f>
        <v>215682.6</v>
      </c>
      <c r="AB206" s="1202" t="n"/>
      <c r="AC206" s="1202" t="n"/>
      <c r="AJ206" s="865" t="str">
        <f>IF(TRIM($B206)="","",IF(IFERROR(INDEX(Lists!$AO$2:$AO$11,MATCH(ROW(),Lists!$AN$2:$AN$11,0)),"")&lt;&gt;"",IFERROR(INDEX(Lists!$AO$2:$AO$11,MATCH(ROW(),Lists!$AN$2:$AN$11,0)),""),IFERROR(INDEX(Lists!$U:$U,MATCH(TRIM($I206),Lists!$T:$T,0)),TRIM($I206))))</f>
        <v>COE Cyber</v>
      </c>
      <c r="AK206" s="865" t="str">
        <f>IF(ISNUMBER(SEARCH("vacant",$B206)),"Vacant","Filled")</f>
        <v>Filled</v>
      </c>
      <c r="AL206" s="865" t="str">
        <f>IF($M206="NZ","NZ","AU")</f>
        <v>AU</v>
      </c>
      <c r="AM206" s="865">
        <f>COUNTIF($AJ$2:$AJ206,$AJ206)</f>
        <v>14</v>
      </c>
      <c r="AN206" s="865" t="str">
        <f>$AJ206&amp;"|"&amp;$AM206</f>
        <v>COE Cyber|14</v>
      </c>
      <c r="AP206" s="865" t="str">
        <f>IF(TRIM($B206)="","",IF($AQ206=1,"Leadership",IFERROR(INDEX(Lists!$X:$X,MATCH(TRIM($K206),Lists!$W:$W,0)),IF(OR(TRIM($K206)="",LOWER(TRIM($K206))="na"),IF(TRIM($G206)="","Unassigned",TRIM($G206)),TRIM($K206)))))</f>
        <v>Cyber Strat &amp; Tech</v>
      </c>
      <c r="AQ206" s="865" t="b">
        <f>IF(TRIM($B206)="","",--OR(TRIM($K206)="Leadership",TRIM($J206)="Leadership"))</f>
        <v>0</v>
      </c>
      <c r="AR206" s="1136" t="str">
        <f>IF(TRIM($B206)="","",IF(IFERROR(INDEX(Lists!$AQ$2:$AQ$11,MATCH(ROW(),Lists!$AN$2:$AN$11,0)),"")&lt;&gt;"",IFERROR(INDEX(Lists!$AQ$2:$AQ$11,MATCH(ROW(),Lists!$AN$2:$AN$11,0)),""),IF(ISNUMBER(SEARCH("head of ",$C206)),"Head of Technology",IF(ISNUMBER(SEARCH("TDD BP",$C206)),"Business Partner",IF(OR(ISNUMBER(SEARCH("domain architect",$C206)),ISNUMBER(SEARCH("enterprise architect",$C206))),"Domain Architect",IF(ISNUMBER(SEARCH("delivery man",$C206)),"Delivery Manager",IF(OR(ISNUMBER(SEARCH("technology manager",$C206)),ISNUMBER(SEARCH("technology manger",$C206)),ISNUMBER(SEARCH("tech manager",$C206))),"Technology Manager","Squad")))))))</f>
        <v>Squad</v>
      </c>
      <c r="AS206" s="1136" t="str">
        <f>IF(TRIM($B206)="","",IFERROR(INDEX(Lists!$AA:$AA,MATCH($AP206,Lists!$Z:$Z,0)),$AP206))</f>
        <v>Cyber Strat &amp; Tech</v>
      </c>
      <c r="AT206" s="1136" t="str">
        <f>IF(TRIM($B206)="","",IF(IFERROR(INDEX(Lists!$AP$2:$AP$11,MATCH(ROW(),Lists!$AN$2:$AN$11,0)),"")&lt;&gt;"",IFERROR(INDEX(Lists!$AP$2:$AP$11,MATCH(ROW(),Lists!$AN$2:$AN$11,0)),""),IF(OR(LEFT($AJ206,3)="COE",$AJ206="EGI"),$AP206,IF($AR206&lt;&gt;"Squad",$AR206,$AP206))))</f>
        <v>Cyber Strat &amp; Tech</v>
      </c>
    </row>
    <row r="207" ht="18" customHeight="1" s="866">
      <c r="A207" s="1155" t="n">
        <v>113382</v>
      </c>
      <c r="B207" s="1156" t="inlineStr">
        <is>
          <t>Jack Jenkins</t>
        </is>
      </c>
      <c r="C207" s="1156" t="inlineStr">
        <is>
          <t>Asset Analyst</t>
        </is>
      </c>
      <c r="D207" s="1156" t="inlineStr">
        <is>
          <t>Vacant</t>
        </is>
      </c>
      <c r="E207" s="1156" t="inlineStr">
        <is>
          <t>Lead - Asset &amp; Configuration (Vacant)</t>
        </is>
      </c>
      <c r="F207" s="1156" t="inlineStr">
        <is>
          <t>Cyber, Risk &amp; Operations</t>
        </is>
      </c>
      <c r="G207" s="1158" t="inlineStr">
        <is>
          <t>Service Op &amp; Assurance</t>
        </is>
      </c>
      <c r="H207" s="1156" t="inlineStr">
        <is>
          <t>NA</t>
        </is>
      </c>
      <c r="I207" s="1156" t="inlineStr">
        <is>
          <t>COE - Cyber, Risk &amp; Operations</t>
        </is>
      </c>
      <c r="J207" s="1156" t="inlineStr">
        <is>
          <t>NA</t>
        </is>
      </c>
      <c r="K207" s="1156" t="inlineStr">
        <is>
          <t>NA</t>
        </is>
      </c>
      <c r="L207" s="1156" t="n"/>
      <c r="M207" s="1159" t="inlineStr">
        <is>
          <t>Australia</t>
        </is>
      </c>
      <c r="N207" s="1160" t="inlineStr">
        <is>
          <t>CIA</t>
        </is>
      </c>
      <c r="O207" s="1160" t="n">
        <v>1</v>
      </c>
      <c r="P207" s="1160" t="n"/>
      <c r="Q207" s="1160" t="inlineStr">
        <is>
          <t>Permanent - Full Time</t>
        </is>
      </c>
      <c r="R207" s="1162" t="n"/>
      <c r="S207" s="1162" t="n"/>
      <c r="T207" s="1163" t="n">
        <v>105710</v>
      </c>
      <c r="U207" s="1164" t="n">
        <v>105710</v>
      </c>
      <c r="V207" s="1166" t="n">
        <v>0.1</v>
      </c>
      <c r="W207" s="1170" t="n">
        <v>0.055</v>
      </c>
      <c r="X207" s="1170" t="n">
        <v>0.12</v>
      </c>
      <c r="Y207" s="1171" t="n"/>
      <c r="Z207" s="1170" t="n">
        <v>0.04</v>
      </c>
      <c r="AA207" s="1168">
        <f>IF(TRIM($B207)="","",IF(N($AU207)&gt;0,$AU207,IF(N($S207)&gt;0,$S207*Lists!$AG$15*(1+N($Z207)),N($U207)*(1+N($V207)+N($W207)+N($X207)+N($Z207))+N($Y207))))</f>
        <v>139008.65</v>
      </c>
      <c r="AB207" s="1202" t="n"/>
      <c r="AC207" s="1202" t="n"/>
      <c r="AJ207" s="865" t="str">
        <f>IF(TRIM($B207)="","",IF(IFERROR(INDEX(Lists!$AO$2:$AO$11,MATCH(ROW(),Lists!$AN$2:$AN$11,0)),"")&lt;&gt;"",IFERROR(INDEX(Lists!$AO$2:$AO$11,MATCH(ROW(),Lists!$AN$2:$AN$11,0)),""),IFERROR(INDEX(Lists!$U:$U,MATCH(TRIM($I207),Lists!$T:$T,0)),TRIM($I207))))</f>
        <v>COE Cyber</v>
      </c>
      <c r="AK207" s="865" t="str">
        <f>IF(ISNUMBER(SEARCH("vacant",$B207)),"Vacant","Filled")</f>
        <v>Filled</v>
      </c>
      <c r="AL207" s="865" t="str">
        <f>IF($M207="NZ","NZ","AU")</f>
        <v>AU</v>
      </c>
      <c r="AM207" s="865">
        <f>COUNTIF($AJ$2:$AJ207,$AJ207)</f>
        <v>15</v>
      </c>
      <c r="AN207" s="865" t="str">
        <f>$AJ207&amp;"|"&amp;$AM207</f>
        <v>COE Cyber|15</v>
      </c>
      <c r="AP207" s="865" t="str">
        <f>IF(TRIM($B207)="","",IF($AQ207=1,"Leadership",IFERROR(INDEX(Lists!$X:$X,MATCH(TRIM($K207),Lists!$W:$W,0)),IF(OR(TRIM($K207)="",LOWER(TRIM($K207))="na"),IF(TRIM($G207)="","Unassigned",TRIM($G207)),TRIM($K207)))))</f>
        <v>Service Op &amp; Assurance</v>
      </c>
      <c r="AQ207" s="865" t="b">
        <f>IF(TRIM($B207)="","",--OR(TRIM($K207)="Leadership",TRIM($J207)="Leadership"))</f>
        <v>0</v>
      </c>
      <c r="AR207" s="1136" t="str">
        <f>IF(TRIM($B207)="","",IF(IFERROR(INDEX(Lists!$AQ$2:$AQ$11,MATCH(ROW(),Lists!$AN$2:$AN$11,0)),"")&lt;&gt;"",IFERROR(INDEX(Lists!$AQ$2:$AQ$11,MATCH(ROW(),Lists!$AN$2:$AN$11,0)),""),IF(ISNUMBER(SEARCH("head of ",$C207)),"Head of Technology",IF(ISNUMBER(SEARCH("TDD BP",$C207)),"Business Partner",IF(OR(ISNUMBER(SEARCH("domain architect",$C207)),ISNUMBER(SEARCH("enterprise architect",$C207))),"Domain Architect",IF(ISNUMBER(SEARCH("delivery man",$C207)),"Delivery Manager",IF(OR(ISNUMBER(SEARCH("technology manager",$C207)),ISNUMBER(SEARCH("technology manger",$C207)),ISNUMBER(SEARCH("tech manager",$C207))),"Technology Manager","Squad")))))))</f>
        <v>Squad</v>
      </c>
      <c r="AS207" s="1136" t="str">
        <f>IF(TRIM($B207)="","",IFERROR(INDEX(Lists!$AA:$AA,MATCH($AP207,Lists!$Z:$Z,0)),$AP207))</f>
        <v>Service Op &amp; Assurance</v>
      </c>
      <c r="AT207" s="1136" t="str">
        <f>IF(TRIM($B207)="","",IF(IFERROR(INDEX(Lists!$AP$2:$AP$11,MATCH(ROW(),Lists!$AN$2:$AN$11,0)),"")&lt;&gt;"",IFERROR(INDEX(Lists!$AP$2:$AP$11,MATCH(ROW(),Lists!$AN$2:$AN$11,0)),""),IF(OR(LEFT($AJ207,3)="COE",$AJ207="EGI"),$AP207,IF($AR207&lt;&gt;"Squad",$AR207,$AP207))))</f>
        <v>Service Op &amp; Assurance</v>
      </c>
    </row>
    <row r="208" ht="18" customHeight="1" s="866">
      <c r="A208" s="1155" t="n">
        <v>100825</v>
      </c>
      <c r="B208" s="1156" t="inlineStr">
        <is>
          <t>James Byrne</t>
        </is>
      </c>
      <c r="C208" s="1156" t="inlineStr">
        <is>
          <t>Head of Cyber Strategy &amp; Technology</t>
        </is>
      </c>
      <c r="D208" s="1156" t="inlineStr">
        <is>
          <t>Frances Bouzo</t>
        </is>
      </c>
      <c r="E208" s="1156" t="inlineStr">
        <is>
          <t xml:space="preserve">Manager Customer Support Operations </t>
        </is>
      </c>
      <c r="F208" s="1156" t="inlineStr">
        <is>
          <t>Cyber, Risk &amp; Operations</t>
        </is>
      </c>
      <c r="G208" s="1158" t="inlineStr">
        <is>
          <t>Cyber Strat &amp; Tech</t>
        </is>
      </c>
      <c r="H208" s="1156" t="inlineStr">
        <is>
          <t>NA</t>
        </is>
      </c>
      <c r="I208" s="1156" t="inlineStr">
        <is>
          <t>COE - Cyber, Risk &amp; Operations</t>
        </is>
      </c>
      <c r="J208" s="1156" t="inlineStr">
        <is>
          <t>NA</t>
        </is>
      </c>
      <c r="K208" s="1156" t="inlineStr">
        <is>
          <t>NA</t>
        </is>
      </c>
      <c r="L208" s="1156" t="n"/>
      <c r="M208" s="1159" t="inlineStr">
        <is>
          <t>Australia</t>
        </is>
      </c>
      <c r="N208" s="1160" t="inlineStr">
        <is>
          <t>CSC</t>
        </is>
      </c>
      <c r="O208" s="1160" t="n">
        <v>1</v>
      </c>
      <c r="P208" s="1160" t="n"/>
      <c r="Q208" s="1160" t="inlineStr">
        <is>
          <t>Permanent - Full Time</t>
        </is>
      </c>
      <c r="R208" s="1162" t="n"/>
      <c r="S208" s="1162" t="n"/>
      <c r="T208" s="1163" t="n">
        <v>270380</v>
      </c>
      <c r="U208" s="1164" t="n">
        <v>270380</v>
      </c>
      <c r="V208" s="1166" t="n">
        <v>0.2</v>
      </c>
      <c r="W208" s="1233" t="n">
        <v>0.055</v>
      </c>
      <c r="X208" s="1233" t="n">
        <v>0.12</v>
      </c>
      <c r="Y208" s="1234" t="n"/>
      <c r="Z208" s="1233" t="n">
        <v>0.04</v>
      </c>
      <c r="AA208" s="1168">
        <f>IF(TRIM($B208)="","",IF(N($AU208)&gt;0,$AU208,IF(N($S208)&gt;0,$S208*Lists!$AG$15*(1+N($Z208)),N($U208)*(1+N($V208)+N($W208)+N($X208)+N($Z208))+N($Y208))))</f>
        <v>382587.7</v>
      </c>
      <c r="AB208" s="1202" t="n"/>
      <c r="AC208" s="1202" t="n"/>
      <c r="AJ208" s="865" t="str">
        <f>IF(TRIM($B208)="","",IF(IFERROR(INDEX(Lists!$AO$2:$AO$11,MATCH(ROW(),Lists!$AN$2:$AN$11,0)),"")&lt;&gt;"",IFERROR(INDEX(Lists!$AO$2:$AO$11,MATCH(ROW(),Lists!$AN$2:$AN$11,0)),""),IFERROR(INDEX(Lists!$U:$U,MATCH(TRIM($I208),Lists!$T:$T,0)),TRIM($I208))))</f>
        <v>COE Cyber</v>
      </c>
      <c r="AK208" s="865" t="str">
        <f>IF(ISNUMBER(SEARCH("vacant",$B208)),"Vacant","Filled")</f>
        <v>Filled</v>
      </c>
      <c r="AL208" s="865" t="str">
        <f>IF($M208="NZ","NZ","AU")</f>
        <v>AU</v>
      </c>
      <c r="AM208" s="865">
        <f>COUNTIF($AJ$2:$AJ208,$AJ208)</f>
        <v>16</v>
      </c>
      <c r="AN208" s="865" t="str">
        <f>$AJ208&amp;"|"&amp;$AM208</f>
        <v>COE Cyber|16</v>
      </c>
      <c r="AP208" s="865" t="str">
        <f>IF(TRIM($B208)="","",IF($AQ208=1,"Leadership",IFERROR(INDEX(Lists!$X:$X,MATCH(TRIM($K208),Lists!$W:$W,0)),IF(OR(TRIM($K208)="",LOWER(TRIM($K208))="na"),IF(TRIM($G208)="","Unassigned",TRIM($G208)),TRIM($K208)))))</f>
        <v>Cyber Strat &amp; Tech</v>
      </c>
      <c r="AQ208" s="865" t="b">
        <f>IF(TRIM($B208)="","",--OR(TRIM($K208)="Leadership",TRIM($J208)="Leadership"))</f>
        <v>0</v>
      </c>
      <c r="AR208" s="1136" t="str">
        <f>IF(TRIM($B208)="","",IF(IFERROR(INDEX(Lists!$AQ$2:$AQ$11,MATCH(ROW(),Lists!$AN$2:$AN$11,0)),"")&lt;&gt;"",IFERROR(INDEX(Lists!$AQ$2:$AQ$11,MATCH(ROW(),Lists!$AN$2:$AN$11,0)),""),IF(ISNUMBER(SEARCH("head of ",$C208)),"Head of Technology",IF(ISNUMBER(SEARCH("TDD BP",$C208)),"Business Partner",IF(OR(ISNUMBER(SEARCH("domain architect",$C208)),ISNUMBER(SEARCH("enterprise architect",$C208))),"Domain Architect",IF(ISNUMBER(SEARCH("delivery man",$C208)),"Delivery Manager",IF(OR(ISNUMBER(SEARCH("technology manager",$C208)),ISNUMBER(SEARCH("technology manger",$C208)),ISNUMBER(SEARCH("tech manager",$C208))),"Technology Manager","Squad")))))))</f>
        <v>Head of Technology</v>
      </c>
      <c r="AS208" s="1136" t="str">
        <f>IF(TRIM($B208)="","",IFERROR(INDEX(Lists!$AA:$AA,MATCH($AP208,Lists!$Z:$Z,0)),$AP208))</f>
        <v>Cyber Strat &amp; Tech</v>
      </c>
      <c r="AT208" s="1136" t="str">
        <f>IF(TRIM($B208)="","",IF(IFERROR(INDEX(Lists!$AP$2:$AP$11,MATCH(ROW(),Lists!$AN$2:$AN$11,0)),"")&lt;&gt;"",IFERROR(INDEX(Lists!$AP$2:$AP$11,MATCH(ROW(),Lists!$AN$2:$AN$11,0)),""),IF(OR(LEFT($AJ208,3)="COE",$AJ208="EGI"),$AP208,IF($AR208&lt;&gt;"Squad",$AR208,$AP208))))</f>
        <v>Cyber Strat &amp; Tech</v>
      </c>
    </row>
    <row r="209" ht="18" customHeight="1" s="866">
      <c r="A209" s="1155" t="n">
        <v>108727</v>
      </c>
      <c r="B209" s="1156" t="inlineStr">
        <is>
          <t>Jas Mann</t>
        </is>
      </c>
      <c r="C209" s="1156" t="inlineStr">
        <is>
          <t>Technology Support Engineer</t>
        </is>
      </c>
      <c r="D209" s="1156" t="inlineStr">
        <is>
          <t>Mark Pearson</t>
        </is>
      </c>
      <c r="E209" s="1156" t="inlineStr">
        <is>
          <t xml:space="preserve">Lead Technology Support </t>
        </is>
      </c>
      <c r="F209" s="1156" t="inlineStr">
        <is>
          <t>Cyber, Risk &amp; Operations</t>
        </is>
      </c>
      <c r="G209" s="1158" t="inlineStr">
        <is>
          <t>Service Op &amp; Assurance</t>
        </is>
      </c>
      <c r="H209" s="1156" t="inlineStr">
        <is>
          <t>NA</t>
        </is>
      </c>
      <c r="I209" s="1156" t="inlineStr">
        <is>
          <t>COE - Cyber, Risk &amp; Operations</t>
        </is>
      </c>
      <c r="J209" s="1156" t="inlineStr">
        <is>
          <t>NA</t>
        </is>
      </c>
      <c r="K209" s="1156" t="inlineStr">
        <is>
          <t>NA</t>
        </is>
      </c>
      <c r="L209" s="1156" t="n"/>
      <c r="M209" s="1159" t="inlineStr">
        <is>
          <t>Australia</t>
        </is>
      </c>
      <c r="N209" s="1160" t="inlineStr">
        <is>
          <t>CIA</t>
        </is>
      </c>
      <c r="O209" s="1160" t="n">
        <v>1</v>
      </c>
      <c r="P209" s="1160" t="n"/>
      <c r="Q209" s="1160" t="inlineStr">
        <is>
          <t>Permanent - Full Time</t>
        </is>
      </c>
      <c r="R209" s="1162" t="n"/>
      <c r="S209" s="1162" t="n"/>
      <c r="T209" s="1163" t="n">
        <v>111700</v>
      </c>
      <c r="U209" s="1164" t="n">
        <v>111700</v>
      </c>
      <c r="V209" s="1166" t="n">
        <v>0.1</v>
      </c>
      <c r="W209" s="1170" t="n">
        <v>0.055</v>
      </c>
      <c r="X209" s="1170" t="n">
        <v>0.12</v>
      </c>
      <c r="Y209" s="1171" t="n"/>
      <c r="Z209" s="1170" t="n">
        <v>0.04</v>
      </c>
      <c r="AA209" s="1168">
        <f>IF(TRIM($B209)="","",IF(N($AU209)&gt;0,$AU209,IF(N($S209)&gt;0,$S209*Lists!$AG$15*(1+N($Z209)),N($U209)*(1+N($V209)+N($W209)+N($X209)+N($Z209))+N($Y209))))</f>
        <v>146885.5</v>
      </c>
      <c r="AB209" s="1202" t="n"/>
      <c r="AC209" s="1202" t="n"/>
      <c r="AJ209" s="865" t="str">
        <f>IF(TRIM($B209)="","",IF(IFERROR(INDEX(Lists!$AO$2:$AO$11,MATCH(ROW(),Lists!$AN$2:$AN$11,0)),"")&lt;&gt;"",IFERROR(INDEX(Lists!$AO$2:$AO$11,MATCH(ROW(),Lists!$AN$2:$AN$11,0)),""),IFERROR(INDEX(Lists!$U:$U,MATCH(TRIM($I209),Lists!$T:$T,0)),TRIM($I209))))</f>
        <v>COE Cyber</v>
      </c>
      <c r="AK209" s="865" t="str">
        <f>IF(ISNUMBER(SEARCH("vacant",$B209)),"Vacant","Filled")</f>
        <v>Filled</v>
      </c>
      <c r="AL209" s="865" t="str">
        <f>IF($M209="NZ","NZ","AU")</f>
        <v>AU</v>
      </c>
      <c r="AM209" s="865">
        <f>COUNTIF($AJ$2:$AJ209,$AJ209)</f>
        <v>17</v>
      </c>
      <c r="AN209" s="865" t="str">
        <f>$AJ209&amp;"|"&amp;$AM209</f>
        <v>COE Cyber|17</v>
      </c>
      <c r="AP209" s="865" t="str">
        <f>IF(TRIM($B209)="","",IF($AQ209=1,"Leadership",IFERROR(INDEX(Lists!$X:$X,MATCH(TRIM($K209),Lists!$W:$W,0)),IF(OR(TRIM($K209)="",LOWER(TRIM($K209))="na"),IF(TRIM($G209)="","Unassigned",TRIM($G209)),TRIM($K209)))))</f>
        <v>Service Op &amp; Assurance</v>
      </c>
      <c r="AQ209" s="865" t="b">
        <f>IF(TRIM($B209)="","",--OR(TRIM($K209)="Leadership",TRIM($J209)="Leadership"))</f>
        <v>0</v>
      </c>
      <c r="AR209" s="1136" t="str">
        <f>IF(TRIM($B209)="","",IF(IFERROR(INDEX(Lists!$AQ$2:$AQ$11,MATCH(ROW(),Lists!$AN$2:$AN$11,0)),"")&lt;&gt;"",IFERROR(INDEX(Lists!$AQ$2:$AQ$11,MATCH(ROW(),Lists!$AN$2:$AN$11,0)),""),IF(ISNUMBER(SEARCH("head of ",$C209)),"Head of Technology",IF(ISNUMBER(SEARCH("TDD BP",$C209)),"Business Partner",IF(OR(ISNUMBER(SEARCH("domain architect",$C209)),ISNUMBER(SEARCH("enterprise architect",$C209))),"Domain Architect",IF(ISNUMBER(SEARCH("delivery man",$C209)),"Delivery Manager",IF(OR(ISNUMBER(SEARCH("technology manager",$C209)),ISNUMBER(SEARCH("technology manger",$C209)),ISNUMBER(SEARCH("tech manager",$C209))),"Technology Manager","Squad")))))))</f>
        <v>Squad</v>
      </c>
      <c r="AS209" s="1136" t="str">
        <f>IF(TRIM($B209)="","",IFERROR(INDEX(Lists!$AA:$AA,MATCH($AP209,Lists!$Z:$Z,0)),$AP209))</f>
        <v>Service Op &amp; Assurance</v>
      </c>
      <c r="AT209" s="1136" t="str">
        <f>IF(TRIM($B209)="","",IF(IFERROR(INDEX(Lists!$AP$2:$AP$11,MATCH(ROW(),Lists!$AN$2:$AN$11,0)),"")&lt;&gt;"",IFERROR(INDEX(Lists!$AP$2:$AP$11,MATCH(ROW(),Lists!$AN$2:$AN$11,0)),""),IF(OR(LEFT($AJ209,3)="COE",$AJ209="EGI"),$AP209,IF($AR209&lt;&gt;"Squad",$AR209,$AP209))))</f>
        <v>Service Op &amp; Assurance</v>
      </c>
    </row>
    <row r="210" ht="18" customHeight="1" s="866">
      <c r="A210" s="1155" t="n">
        <v>108809</v>
      </c>
      <c r="B210" s="1156" t="inlineStr">
        <is>
          <t>Joe Nahma</t>
        </is>
      </c>
      <c r="C210" s="1156" t="inlineStr">
        <is>
          <t>Manager Identity &amp; Access Management</t>
        </is>
      </c>
      <c r="D210" s="1156" t="inlineStr">
        <is>
          <t>James Byrne</t>
        </is>
      </c>
      <c r="E210" s="1156" t="inlineStr">
        <is>
          <t>Manager Cyber Security GRC</t>
        </is>
      </c>
      <c r="F210" s="1156" t="inlineStr">
        <is>
          <t>Cyber, Risk &amp; Operations</t>
        </is>
      </c>
      <c r="G210" s="1158" t="inlineStr">
        <is>
          <t>Cyber Strat &amp; Tech</t>
        </is>
      </c>
      <c r="H210" s="1156" t="inlineStr">
        <is>
          <t>NA</t>
        </is>
      </c>
      <c r="I210" s="1156" t="inlineStr">
        <is>
          <t>COE - Cyber, Risk &amp; Operations</t>
        </is>
      </c>
      <c r="J210" s="1156" t="inlineStr">
        <is>
          <t>NA</t>
        </is>
      </c>
      <c r="K210" s="1156" t="inlineStr">
        <is>
          <t>NA</t>
        </is>
      </c>
      <c r="L210" s="1156" t="n"/>
      <c r="M210" s="1159" t="inlineStr">
        <is>
          <t>Australia</t>
        </is>
      </c>
      <c r="N210" s="1160" t="inlineStr">
        <is>
          <t>CIC</t>
        </is>
      </c>
      <c r="O210" s="1160" t="n">
        <v>1</v>
      </c>
      <c r="P210" s="1160" t="n"/>
      <c r="Q210" s="1160" t="inlineStr">
        <is>
          <t>Permanent - Full Time</t>
        </is>
      </c>
      <c r="R210" s="1162" t="n"/>
      <c r="S210" s="1162" t="n"/>
      <c r="T210" s="1163" t="n">
        <v>193790</v>
      </c>
      <c r="U210" s="1164" t="n">
        <v>193790</v>
      </c>
      <c r="V210" s="1166" t="n">
        <v>0.12</v>
      </c>
      <c r="W210" s="1170" t="n">
        <v>0.055</v>
      </c>
      <c r="X210" s="1170" t="n">
        <v>0.12</v>
      </c>
      <c r="Y210" s="1171" t="n"/>
      <c r="Z210" s="1170" t="n">
        <v>0.04</v>
      </c>
      <c r="AA210" s="1168">
        <f>IF(TRIM($B210)="","",IF(N($AU210)&gt;0,$AU210,IF(N($S210)&gt;0,$S210*Lists!$AG$15*(1+N($Z210)),N($U210)*(1+N($V210)+N($W210)+N($X210)+N($Z210))+N($Y210))))</f>
        <v>258709.65</v>
      </c>
      <c r="AB210" s="1202" t="n"/>
      <c r="AC210" s="1202" t="n"/>
      <c r="AJ210" s="865" t="str">
        <f>IF(TRIM($B210)="","",IF(IFERROR(INDEX(Lists!$AO$2:$AO$11,MATCH(ROW(),Lists!$AN$2:$AN$11,0)),"")&lt;&gt;"",IFERROR(INDEX(Lists!$AO$2:$AO$11,MATCH(ROW(),Lists!$AN$2:$AN$11,0)),""),IFERROR(INDEX(Lists!$U:$U,MATCH(TRIM($I210),Lists!$T:$T,0)),TRIM($I210))))</f>
        <v>COE Cyber</v>
      </c>
      <c r="AK210" s="865" t="str">
        <f>IF(ISNUMBER(SEARCH("vacant",$B210)),"Vacant","Filled")</f>
        <v>Filled</v>
      </c>
      <c r="AL210" s="865" t="str">
        <f>IF($M210="NZ","NZ","AU")</f>
        <v>AU</v>
      </c>
      <c r="AM210" s="865">
        <f>COUNTIF($AJ$2:$AJ210,$AJ210)</f>
        <v>18</v>
      </c>
      <c r="AN210" s="865" t="str">
        <f>$AJ210&amp;"|"&amp;$AM210</f>
        <v>COE Cyber|18</v>
      </c>
      <c r="AP210" s="865" t="str">
        <f>IF(TRIM($B210)="","",IF($AQ210=1,"Leadership",IFERROR(INDEX(Lists!$X:$X,MATCH(TRIM($K210),Lists!$W:$W,0)),IF(OR(TRIM($K210)="",LOWER(TRIM($K210))="na"),IF(TRIM($G210)="","Unassigned",TRIM($G210)),TRIM($K210)))))</f>
        <v>Cyber Strat &amp; Tech</v>
      </c>
      <c r="AQ210" s="865" t="b">
        <f>IF(TRIM($B210)="","",--OR(TRIM($K210)="Leadership",TRIM($J210)="Leadership"))</f>
        <v>0</v>
      </c>
      <c r="AR210" s="1136" t="str">
        <f>IF(TRIM($B210)="","",IF(IFERROR(INDEX(Lists!$AQ$2:$AQ$11,MATCH(ROW(),Lists!$AN$2:$AN$11,0)),"")&lt;&gt;"",IFERROR(INDEX(Lists!$AQ$2:$AQ$11,MATCH(ROW(),Lists!$AN$2:$AN$11,0)),""),IF(ISNUMBER(SEARCH("head of ",$C210)),"Head of Technology",IF(ISNUMBER(SEARCH("TDD BP",$C210)),"Business Partner",IF(OR(ISNUMBER(SEARCH("domain architect",$C210)),ISNUMBER(SEARCH("enterprise architect",$C210))),"Domain Architect",IF(ISNUMBER(SEARCH("delivery man",$C210)),"Delivery Manager",IF(OR(ISNUMBER(SEARCH("technology manager",$C210)),ISNUMBER(SEARCH("technology manger",$C210)),ISNUMBER(SEARCH("tech manager",$C210))),"Technology Manager","Squad")))))))</f>
        <v>Squad</v>
      </c>
      <c r="AS210" s="1136" t="str">
        <f>IF(TRIM($B210)="","",IFERROR(INDEX(Lists!$AA:$AA,MATCH($AP210,Lists!$Z:$Z,0)),$AP210))</f>
        <v>Cyber Strat &amp; Tech</v>
      </c>
      <c r="AT210" s="1136" t="str">
        <f>IF(TRIM($B210)="","",IF(IFERROR(INDEX(Lists!$AP$2:$AP$11,MATCH(ROW(),Lists!$AN$2:$AN$11,0)),"")&lt;&gt;"",IFERROR(INDEX(Lists!$AP$2:$AP$11,MATCH(ROW(),Lists!$AN$2:$AN$11,0)),""),IF(OR(LEFT($AJ210,3)="COE",$AJ210="EGI"),$AP210,IF($AR210&lt;&gt;"Squad",$AR210,$AP210))))</f>
        <v>Cyber Strat &amp; Tech</v>
      </c>
    </row>
    <row r="211" ht="18" customHeight="1" s="866">
      <c r="A211" s="1155" t="n">
        <v>114354</v>
      </c>
      <c r="B211" s="1156" t="inlineStr">
        <is>
          <t>Kaaviya Salai Manimudian</t>
        </is>
      </c>
      <c r="C211" s="1156" t="inlineStr">
        <is>
          <t>Graduate</t>
        </is>
      </c>
      <c r="D211" s="1156" t="inlineStr">
        <is>
          <t>Lynda Niewidok</t>
        </is>
      </c>
      <c r="E211" s="1156" t="inlineStr">
        <is>
          <t xml:space="preserve">Manager Customer Support Operations </t>
        </is>
      </c>
      <c r="F211" s="1156" t="inlineStr">
        <is>
          <t>Cyber, Risk &amp; Operations</t>
        </is>
      </c>
      <c r="G211" s="1158" t="inlineStr">
        <is>
          <t>Service Op &amp; Assurance</t>
        </is>
      </c>
      <c r="H211" s="1156" t="inlineStr">
        <is>
          <t>NA</t>
        </is>
      </c>
      <c r="I211" s="1156" t="inlineStr">
        <is>
          <t>COE - Cyber, Risk &amp; Operations</t>
        </is>
      </c>
      <c r="J211" s="1202" t="inlineStr">
        <is>
          <t>NA</t>
        </is>
      </c>
      <c r="K211" s="1156" t="inlineStr">
        <is>
          <t>NA</t>
        </is>
      </c>
      <c r="L211" s="1156" t="n"/>
      <c r="M211" s="1159" t="inlineStr">
        <is>
          <t>Australia</t>
        </is>
      </c>
      <c r="N211" s="1160" t="inlineStr">
        <is>
          <t>CDB</t>
        </is>
      </c>
      <c r="O211" s="1160" t="n">
        <v>1</v>
      </c>
      <c r="P211" s="1160" t="n"/>
      <c r="Q211" s="1160" t="inlineStr">
        <is>
          <t>Permanent - Full Time</t>
        </is>
      </c>
      <c r="R211" s="1162" t="n"/>
      <c r="S211" s="1162" t="n"/>
      <c r="T211" s="1163" t="n">
        <v>85000</v>
      </c>
      <c r="U211" s="1164" t="n">
        <v>85000</v>
      </c>
      <c r="V211" s="1166" t="n">
        <v>0.08</v>
      </c>
      <c r="W211" s="1170" t="n">
        <v>0.055</v>
      </c>
      <c r="X211" s="1170" t="n">
        <v>0.12</v>
      </c>
      <c r="Y211" s="1171" t="n"/>
      <c r="Z211" s="1170" t="n">
        <v>0.04</v>
      </c>
      <c r="AA211" s="1168">
        <f>IF(TRIM($B211)="","",IF(N($AU211)&gt;0,$AU211,IF(N($S211)&gt;0,$S211*Lists!$AG$15*(1+N($Z211)),N($U211)*(1+N($V211)+N($W211)+N($X211)+N($Z211))+N($Y211))))</f>
        <v>110075</v>
      </c>
      <c r="AB211" s="1202" t="n"/>
      <c r="AC211" s="1202" t="n"/>
      <c r="AJ211" s="865" t="str">
        <f>IF(TRIM($B211)="","",IF(IFERROR(INDEX(Lists!$AO$2:$AO$11,MATCH(ROW(),Lists!$AN$2:$AN$11,0)),"")&lt;&gt;"",IFERROR(INDEX(Lists!$AO$2:$AO$11,MATCH(ROW(),Lists!$AN$2:$AN$11,0)),""),IFERROR(INDEX(Lists!$U:$U,MATCH(TRIM($I211),Lists!$T:$T,0)),TRIM($I211))))</f>
        <v>COE Cyber</v>
      </c>
      <c r="AK211" s="865" t="str">
        <f>IF(ISNUMBER(SEARCH("vacant",$B211)),"Vacant","Filled")</f>
        <v>Filled</v>
      </c>
      <c r="AL211" s="865" t="str">
        <f>IF($M211="NZ","NZ","AU")</f>
        <v>AU</v>
      </c>
      <c r="AM211" s="865">
        <f>COUNTIF($AJ$2:$AJ211,$AJ211)</f>
        <v>19</v>
      </c>
      <c r="AN211" s="865" t="str">
        <f>$AJ211&amp;"|"&amp;$AM211</f>
        <v>COE Cyber|19</v>
      </c>
      <c r="AP211" s="865" t="str">
        <f>IF(TRIM($B211)="","",IF($AQ211=1,"Leadership",IFERROR(INDEX(Lists!$X:$X,MATCH(TRIM($K211),Lists!$W:$W,0)),IF(OR(TRIM($K211)="",LOWER(TRIM($K211))="na"),IF(TRIM($G211)="","Unassigned",TRIM($G211)),TRIM($K211)))))</f>
        <v>Service Op &amp; Assurance</v>
      </c>
      <c r="AQ211" s="865" t="b">
        <f>IF(TRIM($B211)="","",--OR(TRIM($K211)="Leadership",TRIM($J211)="Leadership"))</f>
        <v>0</v>
      </c>
      <c r="AR211" s="1136" t="str">
        <f>IF(TRIM($B211)="","",IF(IFERROR(INDEX(Lists!$AQ$2:$AQ$11,MATCH(ROW(),Lists!$AN$2:$AN$11,0)),"")&lt;&gt;"",IFERROR(INDEX(Lists!$AQ$2:$AQ$11,MATCH(ROW(),Lists!$AN$2:$AN$11,0)),""),IF(ISNUMBER(SEARCH("head of ",$C211)),"Head of Technology",IF(ISNUMBER(SEARCH("TDD BP",$C211)),"Business Partner",IF(OR(ISNUMBER(SEARCH("domain architect",$C211)),ISNUMBER(SEARCH("enterprise architect",$C211))),"Domain Architect",IF(ISNUMBER(SEARCH("delivery man",$C211)),"Delivery Manager",IF(OR(ISNUMBER(SEARCH("technology manager",$C211)),ISNUMBER(SEARCH("technology manger",$C211)),ISNUMBER(SEARCH("tech manager",$C211))),"Technology Manager","Squad")))))))</f>
        <v>Squad</v>
      </c>
      <c r="AS211" s="1136" t="str">
        <f>IF(TRIM($B211)="","",IFERROR(INDEX(Lists!$AA:$AA,MATCH($AP211,Lists!$Z:$Z,0)),$AP211))</f>
        <v>Service Op &amp; Assurance</v>
      </c>
      <c r="AT211" s="1136" t="str">
        <f>IF(TRIM($B211)="","",IF(IFERROR(INDEX(Lists!$AP$2:$AP$11,MATCH(ROW(),Lists!$AN$2:$AN$11,0)),"")&lt;&gt;"",IFERROR(INDEX(Lists!$AP$2:$AP$11,MATCH(ROW(),Lists!$AN$2:$AN$11,0)),""),IF(OR(LEFT($AJ211,3)="COE",$AJ211="EGI"),$AP211,IF($AR211&lt;&gt;"Squad",$AR211,$AP211))))</f>
        <v>Service Op &amp; Assurance</v>
      </c>
    </row>
    <row r="212" ht="18" customHeight="1" s="866">
      <c r="A212" s="1155" t="n">
        <v>97592</v>
      </c>
      <c r="B212" s="1156" t="inlineStr">
        <is>
          <t>Kevin Sheerin</t>
        </is>
      </c>
      <c r="C212" s="1156" t="inlineStr">
        <is>
          <t>Cyber Architecture Lead</t>
        </is>
      </c>
      <c r="D212" s="1156" t="inlineStr">
        <is>
          <t>James Byrne</t>
        </is>
      </c>
      <c r="E212" s="1156" t="n"/>
      <c r="F212" s="1156" t="inlineStr">
        <is>
          <t>Cyber, Risk &amp; Operations</t>
        </is>
      </c>
      <c r="G212" s="1158" t="inlineStr">
        <is>
          <t>Cyber Strat &amp; Tech</t>
        </is>
      </c>
      <c r="H212" s="1156" t="inlineStr">
        <is>
          <t>NA</t>
        </is>
      </c>
      <c r="I212" s="1156" t="inlineStr">
        <is>
          <t>COE - Cyber, Risk &amp; Operations</t>
        </is>
      </c>
      <c r="J212" s="1156" t="inlineStr">
        <is>
          <t>NA</t>
        </is>
      </c>
      <c r="K212" s="1156" t="inlineStr">
        <is>
          <t>NA</t>
        </is>
      </c>
      <c r="L212" s="1156" t="n"/>
      <c r="M212" s="1159" t="inlineStr">
        <is>
          <t>Australia</t>
        </is>
      </c>
      <c r="N212" s="1160" t="inlineStr">
        <is>
          <t>CIC</t>
        </is>
      </c>
      <c r="O212" s="1160" t="n">
        <v>1</v>
      </c>
      <c r="P212" s="1160" t="n"/>
      <c r="Q212" s="1160" t="inlineStr">
        <is>
          <t>Permanent - Full Time</t>
        </is>
      </c>
      <c r="R212" s="1162" t="n"/>
      <c r="S212" s="1162" t="n"/>
      <c r="T212" s="1163" t="n">
        <v>213470</v>
      </c>
      <c r="U212" s="1164" t="n">
        <v>213470</v>
      </c>
      <c r="V212" s="1166" t="n">
        <v>0.12</v>
      </c>
      <c r="W212" s="1170" t="n">
        <v>0.055</v>
      </c>
      <c r="X212" s="1170" t="n">
        <v>0.12</v>
      </c>
      <c r="Y212" s="1171" t="n"/>
      <c r="Z212" s="1170" t="n">
        <v>0.04</v>
      </c>
      <c r="AA212" s="1168">
        <f>IF(TRIM($B212)="","",IF(N($AU212)&gt;0,$AU212,IF(N($S212)&gt;0,$S212*Lists!$AG$15*(1+N($Z212)),N($U212)*(1+N($V212)+N($W212)+N($X212)+N($Z212))+N($Y212))))</f>
        <v>284982.45</v>
      </c>
      <c r="AB212" s="1202" t="n"/>
      <c r="AC212" s="1202" t="n"/>
      <c r="AJ212" s="865" t="str">
        <f>IF(TRIM($B212)="","",IF(IFERROR(INDEX(Lists!$AO$2:$AO$11,MATCH(ROW(),Lists!$AN$2:$AN$11,0)),"")&lt;&gt;"",IFERROR(INDEX(Lists!$AO$2:$AO$11,MATCH(ROW(),Lists!$AN$2:$AN$11,0)),""),IFERROR(INDEX(Lists!$U:$U,MATCH(TRIM($I212),Lists!$T:$T,0)),TRIM($I212))))</f>
        <v>COE Cyber</v>
      </c>
      <c r="AK212" s="865" t="str">
        <f>IF(ISNUMBER(SEARCH("vacant",$B212)),"Vacant","Filled")</f>
        <v>Filled</v>
      </c>
      <c r="AL212" s="865" t="str">
        <f>IF($M212="NZ","NZ","AU")</f>
        <v>AU</v>
      </c>
      <c r="AM212" s="865">
        <f>COUNTIF($AJ$2:$AJ212,$AJ212)</f>
        <v>20</v>
      </c>
      <c r="AN212" s="865" t="str">
        <f>$AJ212&amp;"|"&amp;$AM212</f>
        <v>COE Cyber|20</v>
      </c>
      <c r="AP212" s="865" t="str">
        <f>IF(TRIM($B212)="","",IF($AQ212=1,"Leadership",IFERROR(INDEX(Lists!$X:$X,MATCH(TRIM($K212),Lists!$W:$W,0)),IF(OR(TRIM($K212)="",LOWER(TRIM($K212))="na"),IF(TRIM($G212)="","Unassigned",TRIM($G212)),TRIM($K212)))))</f>
        <v>Cyber Strat &amp; Tech</v>
      </c>
      <c r="AQ212" s="865" t="b">
        <f>IF(TRIM($B212)="","",--OR(TRIM($K212)="Leadership",TRIM($J212)="Leadership"))</f>
        <v>0</v>
      </c>
      <c r="AR212" s="1136" t="str">
        <f>IF(TRIM($B212)="","",IF(IFERROR(INDEX(Lists!$AQ$2:$AQ$11,MATCH(ROW(),Lists!$AN$2:$AN$11,0)),"")&lt;&gt;"",IFERROR(INDEX(Lists!$AQ$2:$AQ$11,MATCH(ROW(),Lists!$AN$2:$AN$11,0)),""),IF(ISNUMBER(SEARCH("head of ",$C212)),"Head of Technology",IF(ISNUMBER(SEARCH("TDD BP",$C212)),"Business Partner",IF(OR(ISNUMBER(SEARCH("domain architect",$C212)),ISNUMBER(SEARCH("enterprise architect",$C212))),"Domain Architect",IF(ISNUMBER(SEARCH("delivery man",$C212)),"Delivery Manager",IF(OR(ISNUMBER(SEARCH("technology manager",$C212)),ISNUMBER(SEARCH("technology manger",$C212)),ISNUMBER(SEARCH("tech manager",$C212))),"Technology Manager","Squad")))))))</f>
        <v>Squad</v>
      </c>
      <c r="AS212" s="1136" t="str">
        <f>IF(TRIM($B212)="","",IFERROR(INDEX(Lists!$AA:$AA,MATCH($AP212,Lists!$Z:$Z,0)),$AP212))</f>
        <v>Cyber Strat &amp; Tech</v>
      </c>
      <c r="AT212" s="1136" t="str">
        <f>IF(TRIM($B212)="","",IF(IFERROR(INDEX(Lists!$AP$2:$AP$11,MATCH(ROW(),Lists!$AN$2:$AN$11,0)),"")&lt;&gt;"",IFERROR(INDEX(Lists!$AP$2:$AP$11,MATCH(ROW(),Lists!$AN$2:$AN$11,0)),""),IF(OR(LEFT($AJ212,3)="COE",$AJ212="EGI"),$AP212,IF($AR212&lt;&gt;"Squad",$AR212,$AP212))))</f>
        <v>Cyber Strat &amp; Tech</v>
      </c>
    </row>
    <row r="213" ht="18" customHeight="1" s="866">
      <c r="A213" s="1155" t="n">
        <v>99999101673</v>
      </c>
      <c r="B213" s="1156" t="inlineStr">
        <is>
          <t>Lisa Ng</t>
        </is>
      </c>
      <c r="C213" s="1156" t="inlineStr">
        <is>
          <t>Cyber Security Analyst</t>
        </is>
      </c>
      <c r="D213" s="1156" t="inlineStr">
        <is>
          <t>Steven Atcheson</t>
        </is>
      </c>
      <c r="E213" s="1156" t="n"/>
      <c r="F213" s="1156" t="inlineStr">
        <is>
          <t>Cyber, Risk &amp; Operations</t>
        </is>
      </c>
      <c r="G213" s="1158" t="inlineStr">
        <is>
          <t>Cyber Sec Ops</t>
        </is>
      </c>
      <c r="H213" s="1156" t="inlineStr">
        <is>
          <t>NA</t>
        </is>
      </c>
      <c r="I213" s="1156" t="inlineStr">
        <is>
          <t>COE - Cyber, Risk &amp; Operations</t>
        </is>
      </c>
      <c r="J213" s="1156" t="inlineStr">
        <is>
          <t>NA</t>
        </is>
      </c>
      <c r="K213" s="1156" t="inlineStr">
        <is>
          <t>NA</t>
        </is>
      </c>
      <c r="L213" s="1156" t="n"/>
      <c r="M213" s="1159" t="inlineStr">
        <is>
          <t>NZ</t>
        </is>
      </c>
      <c r="N213" s="1160" t="inlineStr">
        <is>
          <t>CIA</t>
        </is>
      </c>
      <c r="O213" s="1161" t="n">
        <v>0.8</v>
      </c>
      <c r="P213" s="1160" t="n"/>
      <c r="Q213" s="1161" t="inlineStr">
        <is>
          <t>Permanent - Part Time</t>
        </is>
      </c>
      <c r="R213" s="1162" t="n"/>
      <c r="S213" s="1162" t="n"/>
      <c r="T213" s="1163" t="n">
        <v>128040</v>
      </c>
      <c r="U213" s="1164" t="n">
        <v>117796.8</v>
      </c>
      <c r="V213" s="1165" t="n">
        <v>0.15</v>
      </c>
      <c r="W213" s="1162" t="n"/>
      <c r="X213" s="1166" t="n">
        <v>0.05</v>
      </c>
      <c r="Y213" s="1907" t="n">
        <v>2910</v>
      </c>
      <c r="Z213" s="1166" t="n">
        <v>0.03</v>
      </c>
      <c r="AA213" s="1168">
        <f>IF(TRIM($B213)="","",IF(N($AU213)&gt;0,$AU213,IF(N($S213)&gt;0,$S213*Lists!$AG$15*(1+N($Z213)),N($U213)*(1+N($V213)+N($W213)+N($X213)+N($Z213))+N($Y213))))</f>
        <v>147800.064</v>
      </c>
      <c r="AB213" s="1202" t="n"/>
      <c r="AC213" s="1202" t="n"/>
      <c r="AJ213" s="865" t="str">
        <f>IF(TRIM($B213)="","",IF(IFERROR(INDEX(Lists!$AO$2:$AO$11,MATCH(ROW(),Lists!$AN$2:$AN$11,0)),"")&lt;&gt;"",IFERROR(INDEX(Lists!$AO$2:$AO$11,MATCH(ROW(),Lists!$AN$2:$AN$11,0)),""),IFERROR(INDEX(Lists!$U:$U,MATCH(TRIM($I213),Lists!$T:$T,0)),TRIM($I213))))</f>
        <v>COE Cyber</v>
      </c>
      <c r="AK213" s="865" t="str">
        <f>IF(ISNUMBER(SEARCH("vacant",$B213)),"Vacant","Filled")</f>
        <v>Filled</v>
      </c>
      <c r="AL213" s="865" t="str">
        <f>IF($M213="NZ","NZ","AU")</f>
        <v>NZ</v>
      </c>
      <c r="AM213" s="865">
        <f>COUNTIF($AJ$2:$AJ213,$AJ213)</f>
        <v>21</v>
      </c>
      <c r="AN213" s="865" t="str">
        <f>$AJ213&amp;"|"&amp;$AM213</f>
        <v>COE Cyber|21</v>
      </c>
      <c r="AP213" s="865" t="str">
        <f>IF(TRIM($B213)="","",IF($AQ213=1,"Leadership",IFERROR(INDEX(Lists!$X:$X,MATCH(TRIM($K213),Lists!$W:$W,0)),IF(OR(TRIM($K213)="",LOWER(TRIM($K213))="na"),IF(TRIM($G213)="","Unassigned",TRIM($G213)),TRIM($K213)))))</f>
        <v>Cyber Sec Ops</v>
      </c>
      <c r="AQ213" s="865" t="b">
        <f>IF(TRIM($B213)="","",--OR(TRIM($K213)="Leadership",TRIM($J213)="Leadership"))</f>
        <v>0</v>
      </c>
      <c r="AR213" s="1136" t="str">
        <f>IF(TRIM($B213)="","",IF(IFERROR(INDEX(Lists!$AQ$2:$AQ$11,MATCH(ROW(),Lists!$AN$2:$AN$11,0)),"")&lt;&gt;"",IFERROR(INDEX(Lists!$AQ$2:$AQ$11,MATCH(ROW(),Lists!$AN$2:$AN$11,0)),""),IF(ISNUMBER(SEARCH("head of ",$C213)),"Head of Technology",IF(ISNUMBER(SEARCH("TDD BP",$C213)),"Business Partner",IF(OR(ISNUMBER(SEARCH("domain architect",$C213)),ISNUMBER(SEARCH("enterprise architect",$C213))),"Domain Architect",IF(ISNUMBER(SEARCH("delivery man",$C213)),"Delivery Manager",IF(OR(ISNUMBER(SEARCH("technology manager",$C213)),ISNUMBER(SEARCH("technology manger",$C213)),ISNUMBER(SEARCH("tech manager",$C213))),"Technology Manager","Squad")))))))</f>
        <v>Squad</v>
      </c>
      <c r="AS213" s="1136" t="str">
        <f>IF(TRIM($B213)="","",IFERROR(INDEX(Lists!$AA:$AA,MATCH($AP213,Lists!$Z:$Z,0)),$AP213))</f>
        <v>Cyber Sec Ops</v>
      </c>
      <c r="AT213" s="1136" t="str">
        <f>IF(TRIM($B213)="","",IF(IFERROR(INDEX(Lists!$AP$2:$AP$11,MATCH(ROW(),Lists!$AN$2:$AN$11,0)),"")&lt;&gt;"",IFERROR(INDEX(Lists!$AP$2:$AP$11,MATCH(ROW(),Lists!$AN$2:$AN$11,0)),""),IF(OR(LEFT($AJ213,3)="COE",$AJ213="EGI"),$AP213,IF($AR213&lt;&gt;"Squad",$AR213,$AP213))))</f>
        <v>Cyber Sec Ops</v>
      </c>
    </row>
    <row r="214" ht="18" customHeight="1" s="866">
      <c r="A214" s="1155" t="n">
        <v>96830</v>
      </c>
      <c r="B214" s="1156" t="inlineStr">
        <is>
          <t>Lynda Niewidok</t>
        </is>
      </c>
      <c r="C214" s="1156" t="inlineStr">
        <is>
          <t>Lead - Service Desk</t>
        </is>
      </c>
      <c r="D214" s="1156" t="inlineStr">
        <is>
          <t>Chris Rojas</t>
        </is>
      </c>
      <c r="E214" s="1156" t="inlineStr">
        <is>
          <t xml:space="preserve">CISO </t>
        </is>
      </c>
      <c r="F214" s="1156" t="inlineStr">
        <is>
          <t>Cyber, Risk &amp; Operations</t>
        </is>
      </c>
      <c r="G214" s="1158" t="inlineStr">
        <is>
          <t>Service Op &amp; Assurance</t>
        </is>
      </c>
      <c r="H214" s="1156" t="inlineStr">
        <is>
          <t>NA</t>
        </is>
      </c>
      <c r="I214" s="1156" t="inlineStr">
        <is>
          <t>COE - Cyber, Risk &amp; Operations</t>
        </is>
      </c>
      <c r="J214" s="1156" t="inlineStr">
        <is>
          <t>NA</t>
        </is>
      </c>
      <c r="K214" s="1156" t="inlineStr">
        <is>
          <t>NA</t>
        </is>
      </c>
      <c r="L214" s="1156" t="n"/>
      <c r="M214" s="1159" t="inlineStr">
        <is>
          <t>Australia</t>
        </is>
      </c>
      <c r="N214" s="1160" t="inlineStr">
        <is>
          <t>CIB</t>
        </is>
      </c>
      <c r="O214" s="1160" t="n">
        <v>1</v>
      </c>
      <c r="P214" s="1160" t="n"/>
      <c r="Q214" s="1160" t="inlineStr">
        <is>
          <t>Permanent - Full Time</t>
        </is>
      </c>
      <c r="R214" s="1162" t="n"/>
      <c r="S214" s="1162" t="n"/>
      <c r="T214" s="1163" t="n">
        <v>152800</v>
      </c>
      <c r="U214" s="1164" t="n">
        <v>152800</v>
      </c>
      <c r="V214" s="1166" t="n">
        <v>0.12</v>
      </c>
      <c r="W214" s="1170" t="n">
        <v>0.055</v>
      </c>
      <c r="X214" s="1170" t="n">
        <v>0.12</v>
      </c>
      <c r="Y214" s="1171" t="n"/>
      <c r="Z214" s="1170" t="n">
        <v>0.04</v>
      </c>
      <c r="AA214" s="1168">
        <f>IF(TRIM($B214)="","",IF(N($AU214)&gt;0,$AU214,IF(N($S214)&gt;0,$S214*Lists!$AG$15*(1+N($Z214)),N($U214)*(1+N($V214)+N($W214)+N($X214)+N($Z214))+N($Y214))))</f>
        <v>203988</v>
      </c>
      <c r="AB214" s="1202" t="n"/>
      <c r="AC214" s="1202" t="n"/>
      <c r="AJ214" s="865" t="str">
        <f>IF(TRIM($B214)="","",IF(IFERROR(INDEX(Lists!$AO$2:$AO$11,MATCH(ROW(),Lists!$AN$2:$AN$11,0)),"")&lt;&gt;"",IFERROR(INDEX(Lists!$AO$2:$AO$11,MATCH(ROW(),Lists!$AN$2:$AN$11,0)),""),IFERROR(INDEX(Lists!$U:$U,MATCH(TRIM($I214),Lists!$T:$T,0)),TRIM($I214))))</f>
        <v>COE Cyber</v>
      </c>
      <c r="AK214" s="865" t="str">
        <f>IF(ISNUMBER(SEARCH("vacant",$B214)),"Vacant","Filled")</f>
        <v>Filled</v>
      </c>
      <c r="AL214" s="865" t="str">
        <f>IF($M214="NZ","NZ","AU")</f>
        <v>AU</v>
      </c>
      <c r="AM214" s="865">
        <f>COUNTIF($AJ$2:$AJ214,$AJ214)</f>
        <v>22</v>
      </c>
      <c r="AN214" s="865" t="str">
        <f>$AJ214&amp;"|"&amp;$AM214</f>
        <v>COE Cyber|22</v>
      </c>
      <c r="AP214" s="865" t="str">
        <f>IF(TRIM($B214)="","",IF($AQ214=1,"Leadership",IFERROR(INDEX(Lists!$X:$X,MATCH(TRIM($K214),Lists!$W:$W,0)),IF(OR(TRIM($K214)="",LOWER(TRIM($K214))="na"),IF(TRIM($G214)="","Unassigned",TRIM($G214)),TRIM($K214)))))</f>
        <v>Service Op &amp; Assurance</v>
      </c>
      <c r="AQ214" s="865" t="b">
        <f>IF(TRIM($B214)="","",--OR(TRIM($K214)="Leadership",TRIM($J214)="Leadership"))</f>
        <v>0</v>
      </c>
      <c r="AR214" s="1136" t="str">
        <f>IF(TRIM($B214)="","",IF(IFERROR(INDEX(Lists!$AQ$2:$AQ$11,MATCH(ROW(),Lists!$AN$2:$AN$11,0)),"")&lt;&gt;"",IFERROR(INDEX(Lists!$AQ$2:$AQ$11,MATCH(ROW(),Lists!$AN$2:$AN$11,0)),""),IF(ISNUMBER(SEARCH("head of ",$C214)),"Head of Technology",IF(ISNUMBER(SEARCH("TDD BP",$C214)),"Business Partner",IF(OR(ISNUMBER(SEARCH("domain architect",$C214)),ISNUMBER(SEARCH("enterprise architect",$C214))),"Domain Architect",IF(ISNUMBER(SEARCH("delivery man",$C214)),"Delivery Manager",IF(OR(ISNUMBER(SEARCH("technology manager",$C214)),ISNUMBER(SEARCH("technology manger",$C214)),ISNUMBER(SEARCH("tech manager",$C214))),"Technology Manager","Squad")))))))</f>
        <v>Squad</v>
      </c>
      <c r="AS214" s="1136" t="str">
        <f>IF(TRIM($B214)="","",IFERROR(INDEX(Lists!$AA:$AA,MATCH($AP214,Lists!$Z:$Z,0)),$AP214))</f>
        <v>Service Op &amp; Assurance</v>
      </c>
      <c r="AT214" s="1136" t="str">
        <f>IF(TRIM($B214)="","",IF(IFERROR(INDEX(Lists!$AP$2:$AP$11,MATCH(ROW(),Lists!$AN$2:$AN$11,0)),"")&lt;&gt;"",IFERROR(INDEX(Lists!$AP$2:$AP$11,MATCH(ROW(),Lists!$AN$2:$AN$11,0)),""),IF(OR(LEFT($AJ214,3)="COE",$AJ214="EGI"),$AP214,IF($AR214&lt;&gt;"Squad",$AR214,$AP214))))</f>
        <v>Service Op &amp; Assurance</v>
      </c>
    </row>
    <row r="215" ht="18" customHeight="1" s="866">
      <c r="A215" s="1155" t="n">
        <v>92681</v>
      </c>
      <c r="B215" s="1156" t="inlineStr">
        <is>
          <t>Mark Pearson</t>
        </is>
      </c>
      <c r="C215" s="1156" t="inlineStr">
        <is>
          <t>Lead - Technology Support</t>
        </is>
      </c>
      <c r="D215" s="1156" t="inlineStr">
        <is>
          <t>Chris Rojas</t>
        </is>
      </c>
      <c r="E215" s="1156" t="inlineStr">
        <is>
          <t xml:space="preserve">Manager Service Management &amp; Major Incident Management Lead </t>
        </is>
      </c>
      <c r="F215" s="1156" t="inlineStr">
        <is>
          <t>Cyber, Risk &amp; Operations</t>
        </is>
      </c>
      <c r="G215" s="1158" t="inlineStr">
        <is>
          <t>Service Op &amp; Assurance</t>
        </is>
      </c>
      <c r="H215" s="1156" t="inlineStr">
        <is>
          <t>NA</t>
        </is>
      </c>
      <c r="I215" s="1156" t="inlineStr">
        <is>
          <t>COE - Cyber, Risk &amp; Operations</t>
        </is>
      </c>
      <c r="J215" s="1156" t="inlineStr">
        <is>
          <t>NA</t>
        </is>
      </c>
      <c r="K215" s="1156" t="inlineStr">
        <is>
          <t>NA</t>
        </is>
      </c>
      <c r="L215" s="1156" t="n"/>
      <c r="M215" s="1159" t="inlineStr">
        <is>
          <t>Australia</t>
        </is>
      </c>
      <c r="N215" s="1160" t="inlineStr">
        <is>
          <t>CIB</t>
        </is>
      </c>
      <c r="O215" s="1160" t="n">
        <v>1</v>
      </c>
      <c r="P215" s="1160" t="n"/>
      <c r="Q215" s="1160" t="inlineStr">
        <is>
          <t>Permanent - Full Time</t>
        </is>
      </c>
      <c r="R215" s="1162" t="n"/>
      <c r="S215" s="1162" t="n"/>
      <c r="T215" s="1163" t="n">
        <v>152690</v>
      </c>
      <c r="U215" s="1164" t="n">
        <v>152690</v>
      </c>
      <c r="V215" s="1166" t="n">
        <v>0.12</v>
      </c>
      <c r="W215" s="1170" t="n">
        <v>0.055</v>
      </c>
      <c r="X215" s="1170" t="n">
        <v>0.12</v>
      </c>
      <c r="Y215" s="1171" t="n"/>
      <c r="Z215" s="1170" t="n">
        <v>0.04</v>
      </c>
      <c r="AA215" s="1168">
        <f>IF(TRIM($B215)="","",IF(N($AU215)&gt;0,$AU215,IF(N($S215)&gt;0,$S215*Lists!$AG$15*(1+N($Z215)),N($U215)*(1+N($V215)+N($W215)+N($X215)+N($Z215))+N($Y215))))</f>
        <v>203841.15</v>
      </c>
      <c r="AB215" s="1202" t="n"/>
      <c r="AC215" s="1202" t="n"/>
      <c r="AJ215" s="865" t="str">
        <f>IF(TRIM($B215)="","",IF(IFERROR(INDEX(Lists!$AO$2:$AO$11,MATCH(ROW(),Lists!$AN$2:$AN$11,0)),"")&lt;&gt;"",IFERROR(INDEX(Lists!$AO$2:$AO$11,MATCH(ROW(),Lists!$AN$2:$AN$11,0)),""),IFERROR(INDEX(Lists!$U:$U,MATCH(TRIM($I215),Lists!$T:$T,0)),TRIM($I215))))</f>
        <v>COE Cyber</v>
      </c>
      <c r="AK215" s="865" t="str">
        <f>IF(ISNUMBER(SEARCH("vacant",$B215)),"Vacant","Filled")</f>
        <v>Filled</v>
      </c>
      <c r="AL215" s="865" t="str">
        <f>IF($M215="NZ","NZ","AU")</f>
        <v>AU</v>
      </c>
      <c r="AM215" s="865">
        <f>COUNTIF($AJ$2:$AJ215,$AJ215)</f>
        <v>23</v>
      </c>
      <c r="AN215" s="865" t="str">
        <f>$AJ215&amp;"|"&amp;$AM215</f>
        <v>COE Cyber|23</v>
      </c>
      <c r="AP215" s="865" t="str">
        <f>IF(TRIM($B215)="","",IF($AQ215=1,"Leadership",IFERROR(INDEX(Lists!$X:$X,MATCH(TRIM($K215),Lists!$W:$W,0)),IF(OR(TRIM($K215)="",LOWER(TRIM($K215))="na"),IF(TRIM($G215)="","Unassigned",TRIM($G215)),TRIM($K215)))))</f>
        <v>Service Op &amp; Assurance</v>
      </c>
      <c r="AQ215" s="865" t="b">
        <f>IF(TRIM($B215)="","",--OR(TRIM($K215)="Leadership",TRIM($J215)="Leadership"))</f>
        <v>0</v>
      </c>
      <c r="AR215" s="1136" t="str">
        <f>IF(TRIM($B215)="","",IF(IFERROR(INDEX(Lists!$AQ$2:$AQ$11,MATCH(ROW(),Lists!$AN$2:$AN$11,0)),"")&lt;&gt;"",IFERROR(INDEX(Lists!$AQ$2:$AQ$11,MATCH(ROW(),Lists!$AN$2:$AN$11,0)),""),IF(ISNUMBER(SEARCH("head of ",$C215)),"Head of Technology",IF(ISNUMBER(SEARCH("TDD BP",$C215)),"Business Partner",IF(OR(ISNUMBER(SEARCH("domain architect",$C215)),ISNUMBER(SEARCH("enterprise architect",$C215))),"Domain Architect",IF(ISNUMBER(SEARCH("delivery man",$C215)),"Delivery Manager",IF(OR(ISNUMBER(SEARCH("technology manager",$C215)),ISNUMBER(SEARCH("technology manger",$C215)),ISNUMBER(SEARCH("tech manager",$C215))),"Technology Manager","Squad")))))))</f>
        <v>Squad</v>
      </c>
      <c r="AS215" s="1136" t="str">
        <f>IF(TRIM($B215)="","",IFERROR(INDEX(Lists!$AA:$AA,MATCH($AP215,Lists!$Z:$Z,0)),$AP215))</f>
        <v>Service Op &amp; Assurance</v>
      </c>
      <c r="AT215" s="1136" t="str">
        <f>IF(TRIM($B215)="","",IF(IFERROR(INDEX(Lists!$AP$2:$AP$11,MATCH(ROW(),Lists!$AN$2:$AN$11,0)),"")&lt;&gt;"",IFERROR(INDEX(Lists!$AP$2:$AP$11,MATCH(ROW(),Lists!$AN$2:$AN$11,0)),""),IF(OR(LEFT($AJ215,3)="COE",$AJ215="EGI"),$AP215,IF($AR215&lt;&gt;"Squad",$AR215,$AP215))))</f>
        <v>Service Op &amp; Assurance</v>
      </c>
    </row>
    <row r="216" ht="18" customHeight="1" s="866">
      <c r="A216" s="1155" t="n">
        <v>90096</v>
      </c>
      <c r="B216" s="1156" t="inlineStr">
        <is>
          <t>Mary-Grace Rivera</t>
        </is>
      </c>
      <c r="C216" s="1156" t="inlineStr">
        <is>
          <t>Lead, Service Management</t>
        </is>
      </c>
      <c r="D216" s="1158" t="inlineStr">
        <is>
          <t>Vacant</t>
        </is>
      </c>
      <c r="E216" s="1156" t="inlineStr">
        <is>
          <t>Darren Koller</t>
        </is>
      </c>
      <c r="F216" s="1156" t="inlineStr">
        <is>
          <t>Cyber, Risk &amp; Operations</t>
        </is>
      </c>
      <c r="G216" s="1158" t="inlineStr">
        <is>
          <t>Service Op &amp; Assurance</t>
        </is>
      </c>
      <c r="H216" s="1156" t="inlineStr">
        <is>
          <t>NA</t>
        </is>
      </c>
      <c r="I216" s="1156" t="inlineStr">
        <is>
          <t>COE - Cyber, Risk &amp; Operations</t>
        </is>
      </c>
      <c r="J216" s="1156" t="inlineStr">
        <is>
          <t>NA</t>
        </is>
      </c>
      <c r="K216" s="1156" t="inlineStr">
        <is>
          <t>NA</t>
        </is>
      </c>
      <c r="L216" s="1156" t="n"/>
      <c r="M216" s="1159" t="inlineStr">
        <is>
          <t>Australia</t>
        </is>
      </c>
      <c r="N216" s="1160" t="inlineStr">
        <is>
          <t>CIA</t>
        </is>
      </c>
      <c r="O216" s="1160" t="n">
        <v>1</v>
      </c>
      <c r="P216" s="1160" t="n"/>
      <c r="Q216" s="1160" t="inlineStr">
        <is>
          <t>Permanent - Full Time</t>
        </is>
      </c>
      <c r="R216" s="1162" t="n"/>
      <c r="S216" s="1162" t="n"/>
      <c r="T216" s="1163" t="n">
        <v>137620</v>
      </c>
      <c r="U216" s="1164" t="n">
        <v>137620</v>
      </c>
      <c r="V216" s="1166" t="n">
        <v>0.1</v>
      </c>
      <c r="W216" s="1170" t="n">
        <v>0.055</v>
      </c>
      <c r="X216" s="1170" t="n">
        <v>0.12</v>
      </c>
      <c r="Y216" s="1171" t="n"/>
      <c r="Z216" s="1170" t="n">
        <v>0.04</v>
      </c>
      <c r="AA216" s="1168">
        <f>IF(TRIM($B216)="","",IF(N($AU216)&gt;0,$AU216,IF(N($S216)&gt;0,$S216*Lists!$AG$15*(1+N($Z216)),N($U216)*(1+N($V216)+N($W216)+N($X216)+N($Z216))+N($Y216))))</f>
        <v>180970.3</v>
      </c>
      <c r="AB216" s="1202" t="n"/>
      <c r="AC216" s="1202" t="n"/>
      <c r="AJ216" s="865" t="str">
        <f>IF(TRIM($B216)="","",IF(IFERROR(INDEX(Lists!$AO$2:$AO$11,MATCH(ROW(),Lists!$AN$2:$AN$11,0)),"")&lt;&gt;"",IFERROR(INDEX(Lists!$AO$2:$AO$11,MATCH(ROW(),Lists!$AN$2:$AN$11,0)),""),IFERROR(INDEX(Lists!$U:$U,MATCH(TRIM($I216),Lists!$T:$T,0)),TRIM($I216))))</f>
        <v>COE Cyber</v>
      </c>
      <c r="AK216" s="865" t="str">
        <f>IF(ISNUMBER(SEARCH("vacant",$B216)),"Vacant","Filled")</f>
        <v>Filled</v>
      </c>
      <c r="AL216" s="865" t="str">
        <f>IF($M216="NZ","NZ","AU")</f>
        <v>AU</v>
      </c>
      <c r="AM216" s="865">
        <f>COUNTIF($AJ$2:$AJ216,$AJ216)</f>
        <v>24</v>
      </c>
      <c r="AN216" s="865" t="str">
        <f>$AJ216&amp;"|"&amp;$AM216</f>
        <v>COE Cyber|24</v>
      </c>
      <c r="AP216" s="865" t="str">
        <f>IF(TRIM($B216)="","",IF($AQ216=1,"Leadership",IFERROR(INDEX(Lists!$X:$X,MATCH(TRIM($K216),Lists!$W:$W,0)),IF(OR(TRIM($K216)="",LOWER(TRIM($K216))="na"),IF(TRIM($G216)="","Unassigned",TRIM($G216)),TRIM($K216)))))</f>
        <v>Service Op &amp; Assurance</v>
      </c>
      <c r="AQ216" s="865" t="b">
        <f>IF(TRIM($B216)="","",--OR(TRIM($K216)="Leadership",TRIM($J216)="Leadership"))</f>
        <v>0</v>
      </c>
      <c r="AR216" s="1136" t="str">
        <f>IF(TRIM($B216)="","",IF(IFERROR(INDEX(Lists!$AQ$2:$AQ$11,MATCH(ROW(),Lists!$AN$2:$AN$11,0)),"")&lt;&gt;"",IFERROR(INDEX(Lists!$AQ$2:$AQ$11,MATCH(ROW(),Lists!$AN$2:$AN$11,0)),""),IF(ISNUMBER(SEARCH("head of ",$C216)),"Head of Technology",IF(ISNUMBER(SEARCH("TDD BP",$C216)),"Business Partner",IF(OR(ISNUMBER(SEARCH("domain architect",$C216)),ISNUMBER(SEARCH("enterprise architect",$C216))),"Domain Architect",IF(ISNUMBER(SEARCH("delivery man",$C216)),"Delivery Manager",IF(OR(ISNUMBER(SEARCH("technology manager",$C216)),ISNUMBER(SEARCH("technology manger",$C216)),ISNUMBER(SEARCH("tech manager",$C216))),"Technology Manager","Squad")))))))</f>
        <v>Squad</v>
      </c>
      <c r="AS216" s="1136" t="str">
        <f>IF(TRIM($B216)="","",IFERROR(INDEX(Lists!$AA:$AA,MATCH($AP216,Lists!$Z:$Z,0)),$AP216))</f>
        <v>Service Op &amp; Assurance</v>
      </c>
      <c r="AT216" s="1136" t="str">
        <f>IF(TRIM($B216)="","",IF(IFERROR(INDEX(Lists!$AP$2:$AP$11,MATCH(ROW(),Lists!$AN$2:$AN$11,0)),"")&lt;&gt;"",IFERROR(INDEX(Lists!$AP$2:$AP$11,MATCH(ROW(),Lists!$AN$2:$AN$11,0)),""),IF(OR(LEFT($AJ216,3)="COE",$AJ216="EGI"),$AP216,IF($AR216&lt;&gt;"Squad",$AR216,$AP216))))</f>
        <v>Service Op &amp; Assurance</v>
      </c>
    </row>
    <row r="217" ht="18" customHeight="1" s="866">
      <c r="A217" s="1155" t="n">
        <v>113900</v>
      </c>
      <c r="B217" s="1156" t="inlineStr">
        <is>
          <t>Mick Collins</t>
        </is>
      </c>
      <c r="C217" s="1156" t="inlineStr">
        <is>
          <t>Manager, Service Performance &amp; Assurance</t>
        </is>
      </c>
      <c r="D217" s="1156" t="inlineStr">
        <is>
          <t>Rajini Onteddu Reddy</t>
        </is>
      </c>
      <c r="E217" s="1156" t="n"/>
      <c r="F217" s="1156" t="inlineStr">
        <is>
          <t>Cyber, Risk &amp; Operations</t>
        </is>
      </c>
      <c r="G217" s="1158" t="inlineStr">
        <is>
          <t>Service Op &amp; Assurance</t>
        </is>
      </c>
      <c r="H217" s="1156" t="inlineStr">
        <is>
          <t>NA</t>
        </is>
      </c>
      <c r="I217" s="1156" t="inlineStr">
        <is>
          <t>COE - Cyber, Risk &amp; Operations</t>
        </is>
      </c>
      <c r="J217" s="1156" t="inlineStr">
        <is>
          <t>NA</t>
        </is>
      </c>
      <c r="K217" s="1156" t="inlineStr">
        <is>
          <t>NA</t>
        </is>
      </c>
      <c r="L217" s="1156" t="n"/>
      <c r="M217" s="1159" t="inlineStr">
        <is>
          <t>Australia</t>
        </is>
      </c>
      <c r="N217" s="1160" t="inlineStr">
        <is>
          <t>CSB</t>
        </is>
      </c>
      <c r="O217" s="1160" t="n">
        <v>1</v>
      </c>
      <c r="P217" s="1160" t="n"/>
      <c r="Q217" s="1160" t="inlineStr">
        <is>
          <t>Permanent - Full Time</t>
        </is>
      </c>
      <c r="R217" s="1162" t="n"/>
      <c r="S217" s="1162" t="n"/>
      <c r="T217" s="1163" t="n">
        <v>200790</v>
      </c>
      <c r="U217" s="1164" t="n">
        <v>200790</v>
      </c>
      <c r="V217" s="1166" t="n">
        <v>0.14</v>
      </c>
      <c r="W217" s="1170" t="n">
        <v>0.055</v>
      </c>
      <c r="X217" s="1170" t="n">
        <v>0.12</v>
      </c>
      <c r="Y217" s="1171" t="n"/>
      <c r="Z217" s="1170" t="n">
        <v>0.04</v>
      </c>
      <c r="AA217" s="1168">
        <f>IF(TRIM($B217)="","",IF(N($AU217)&gt;0,$AU217,IF(N($S217)&gt;0,$S217*Lists!$AG$15*(1+N($Z217)),N($U217)*(1+N($V217)+N($W217)+N($X217)+N($Z217))+N($Y217))))</f>
        <v>272070.45</v>
      </c>
      <c r="AB217" s="1202" t="n"/>
      <c r="AC217" s="1202" t="n"/>
      <c r="AJ217" s="865" t="str">
        <f>IF(TRIM($B217)="","",IF(IFERROR(INDEX(Lists!$AO$2:$AO$11,MATCH(ROW(),Lists!$AN$2:$AN$11,0)),"")&lt;&gt;"",IFERROR(INDEX(Lists!$AO$2:$AO$11,MATCH(ROW(),Lists!$AN$2:$AN$11,0)),""),IFERROR(INDEX(Lists!$U:$U,MATCH(TRIM($I217),Lists!$T:$T,0)),TRIM($I217))))</f>
        <v>COE Cyber</v>
      </c>
      <c r="AK217" s="865" t="str">
        <f>IF(ISNUMBER(SEARCH("vacant",$B217)),"Vacant","Filled")</f>
        <v>Filled</v>
      </c>
      <c r="AL217" s="865" t="str">
        <f>IF($M217="NZ","NZ","AU")</f>
        <v>AU</v>
      </c>
      <c r="AM217" s="865">
        <f>COUNTIF($AJ$2:$AJ217,$AJ217)</f>
        <v>25</v>
      </c>
      <c r="AN217" s="865" t="str">
        <f>$AJ217&amp;"|"&amp;$AM217</f>
        <v>COE Cyber|25</v>
      </c>
      <c r="AP217" s="865" t="str">
        <f>IF(TRIM($B217)="","",IF($AQ217=1,"Leadership",IFERROR(INDEX(Lists!$X:$X,MATCH(TRIM($K217),Lists!$W:$W,0)),IF(OR(TRIM($K217)="",LOWER(TRIM($K217))="na"),IF(TRIM($G217)="","Unassigned",TRIM($G217)),TRIM($K217)))))</f>
        <v>Service Op &amp; Assurance</v>
      </c>
      <c r="AQ217" s="865" t="b">
        <f>IF(TRIM($B217)="","",--OR(TRIM($K217)="Leadership",TRIM($J217)="Leadership"))</f>
        <v>0</v>
      </c>
      <c r="AR217" s="1136" t="str">
        <f>IF(TRIM($B217)="","",IF(IFERROR(INDEX(Lists!$AQ$2:$AQ$11,MATCH(ROW(),Lists!$AN$2:$AN$11,0)),"")&lt;&gt;"",IFERROR(INDEX(Lists!$AQ$2:$AQ$11,MATCH(ROW(),Lists!$AN$2:$AN$11,0)),""),IF(ISNUMBER(SEARCH("head of ",$C217)),"Head of Technology",IF(ISNUMBER(SEARCH("TDD BP",$C217)),"Business Partner",IF(OR(ISNUMBER(SEARCH("domain architect",$C217)),ISNUMBER(SEARCH("enterprise architect",$C217))),"Domain Architect",IF(ISNUMBER(SEARCH("delivery man",$C217)),"Delivery Manager",IF(OR(ISNUMBER(SEARCH("technology manager",$C217)),ISNUMBER(SEARCH("technology manger",$C217)),ISNUMBER(SEARCH("tech manager",$C217))),"Technology Manager","Squad")))))))</f>
        <v>Squad</v>
      </c>
      <c r="AS217" s="1136" t="str">
        <f>IF(TRIM($B217)="","",IFERROR(INDEX(Lists!$AA:$AA,MATCH($AP217,Lists!$Z:$Z,0)),$AP217))</f>
        <v>Service Op &amp; Assurance</v>
      </c>
      <c r="AT217" s="1136" t="str">
        <f>IF(TRIM($B217)="","",IF(IFERROR(INDEX(Lists!$AP$2:$AP$11,MATCH(ROW(),Lists!$AN$2:$AN$11,0)),"")&lt;&gt;"",IFERROR(INDEX(Lists!$AP$2:$AP$11,MATCH(ROW(),Lists!$AN$2:$AN$11,0)),""),IF(OR(LEFT($AJ217,3)="COE",$AJ217="EGI"),$AP217,IF($AR217&lt;&gt;"Squad",$AR217,$AP217))))</f>
        <v>Service Op &amp; Assurance</v>
      </c>
    </row>
    <row r="218" ht="18" customHeight="1" s="866">
      <c r="A218" s="1155" t="n">
        <v>97425</v>
      </c>
      <c r="B218" s="1156" t="inlineStr">
        <is>
          <t>Nischal Bhusal</t>
        </is>
      </c>
      <c r="C218" s="1156" t="inlineStr">
        <is>
          <t>Cyber Security Analyst</t>
        </is>
      </c>
      <c r="D218" s="1156" t="inlineStr">
        <is>
          <t>Steven Atcheson</t>
        </is>
      </c>
      <c r="E218" s="1156" t="n"/>
      <c r="F218" s="1156" t="inlineStr">
        <is>
          <t>Cyber, Risk &amp; Operations</t>
        </is>
      </c>
      <c r="G218" s="1158" t="inlineStr">
        <is>
          <t>Cyber Sec Ops</t>
        </is>
      </c>
      <c r="H218" s="1202" t="inlineStr">
        <is>
          <t>NA</t>
        </is>
      </c>
      <c r="I218" s="1156" t="inlineStr">
        <is>
          <t>COE - Cyber, Risk &amp; Operations</t>
        </is>
      </c>
      <c r="J218" s="1156" t="inlineStr">
        <is>
          <t>NA</t>
        </is>
      </c>
      <c r="K218" s="1202" t="inlineStr">
        <is>
          <t>NA</t>
        </is>
      </c>
      <c r="L218" s="1156" t="n"/>
      <c r="M218" s="1159" t="inlineStr">
        <is>
          <t>Australia</t>
        </is>
      </c>
      <c r="N218" s="1160" t="inlineStr">
        <is>
          <t>CIB</t>
        </is>
      </c>
      <c r="O218" s="1160" t="n">
        <v>1</v>
      </c>
      <c r="P218" s="1160" t="n"/>
      <c r="Q218" s="1160" t="inlineStr">
        <is>
          <t>Permanent - Full Time</t>
        </is>
      </c>
      <c r="R218" s="1162" t="n"/>
      <c r="S218" s="1162" t="n"/>
      <c r="T218" s="1163" t="n">
        <v>161520</v>
      </c>
      <c r="U218" s="1164" t="n">
        <v>161520</v>
      </c>
      <c r="V218" s="1166" t="n">
        <v>0.12</v>
      </c>
      <c r="W218" s="1170" t="n">
        <v>0.055</v>
      </c>
      <c r="X218" s="1170" t="n">
        <v>0.12</v>
      </c>
      <c r="Y218" s="1171" t="n"/>
      <c r="Z218" s="1170" t="n">
        <v>0.04</v>
      </c>
      <c r="AA218" s="1168">
        <f>IF(TRIM($B218)="","",IF(N($AU218)&gt;0,$AU218,IF(N($S218)&gt;0,$S218*Lists!$AG$15*(1+N($Z218)),N($U218)*(1+N($V218)+N($W218)+N($X218)+N($Z218))+N($Y218))))</f>
        <v>215629.2</v>
      </c>
      <c r="AB218" s="1202" t="n"/>
      <c r="AC218" s="1202" t="n"/>
      <c r="AJ218" s="865" t="str">
        <f>IF(TRIM($B218)="","",IF(IFERROR(INDEX(Lists!$AO$2:$AO$11,MATCH(ROW(),Lists!$AN$2:$AN$11,0)),"")&lt;&gt;"",IFERROR(INDEX(Lists!$AO$2:$AO$11,MATCH(ROW(),Lists!$AN$2:$AN$11,0)),""),IFERROR(INDEX(Lists!$U:$U,MATCH(TRIM($I218),Lists!$T:$T,0)),TRIM($I218))))</f>
        <v>COE Cyber</v>
      </c>
      <c r="AK218" s="865" t="str">
        <f>IF(ISNUMBER(SEARCH("vacant",$B218)),"Vacant","Filled")</f>
        <v>Filled</v>
      </c>
      <c r="AL218" s="865" t="str">
        <f>IF($M218="NZ","NZ","AU")</f>
        <v>AU</v>
      </c>
      <c r="AM218" s="865">
        <f>COUNTIF($AJ$2:$AJ218,$AJ218)</f>
        <v>26</v>
      </c>
      <c r="AN218" s="865" t="str">
        <f>$AJ218&amp;"|"&amp;$AM218</f>
        <v>COE Cyber|26</v>
      </c>
      <c r="AP218" s="865" t="str">
        <f>IF(TRIM($B218)="","",IF($AQ218=1,"Leadership",IFERROR(INDEX(Lists!$X:$X,MATCH(TRIM($K218),Lists!$W:$W,0)),IF(OR(TRIM($K218)="",LOWER(TRIM($K218))="na"),IF(TRIM($G218)="","Unassigned",TRIM($G218)),TRIM($K218)))))</f>
        <v>Cyber Sec Ops</v>
      </c>
      <c r="AQ218" s="865" t="b">
        <f>IF(TRIM($B218)="","",--OR(TRIM($K218)="Leadership",TRIM($J218)="Leadership"))</f>
        <v>0</v>
      </c>
      <c r="AR218" s="1136" t="str">
        <f>IF(TRIM($B218)="","",IF(IFERROR(INDEX(Lists!$AQ$2:$AQ$11,MATCH(ROW(),Lists!$AN$2:$AN$11,0)),"")&lt;&gt;"",IFERROR(INDEX(Lists!$AQ$2:$AQ$11,MATCH(ROW(),Lists!$AN$2:$AN$11,0)),""),IF(ISNUMBER(SEARCH("head of ",$C218)),"Head of Technology",IF(ISNUMBER(SEARCH("TDD BP",$C218)),"Business Partner",IF(OR(ISNUMBER(SEARCH("domain architect",$C218)),ISNUMBER(SEARCH("enterprise architect",$C218))),"Domain Architect",IF(ISNUMBER(SEARCH("delivery man",$C218)),"Delivery Manager",IF(OR(ISNUMBER(SEARCH("technology manager",$C218)),ISNUMBER(SEARCH("technology manger",$C218)),ISNUMBER(SEARCH("tech manager",$C218))),"Technology Manager","Squad")))))))</f>
        <v>Squad</v>
      </c>
      <c r="AS218" s="1136" t="str">
        <f>IF(TRIM($B218)="","",IFERROR(INDEX(Lists!$AA:$AA,MATCH($AP218,Lists!$Z:$Z,0)),$AP218))</f>
        <v>Cyber Sec Ops</v>
      </c>
      <c r="AT218" s="1136" t="str">
        <f>IF(TRIM($B218)="","",IF(IFERROR(INDEX(Lists!$AP$2:$AP$11,MATCH(ROW(),Lists!$AN$2:$AN$11,0)),"")&lt;&gt;"",IFERROR(INDEX(Lists!$AP$2:$AP$11,MATCH(ROW(),Lists!$AN$2:$AN$11,0)),""),IF(OR(LEFT($AJ218,3)="COE",$AJ218="EGI"),$AP218,IF($AR218&lt;&gt;"Squad",$AR218,$AP218))))</f>
        <v>Cyber Sec Ops</v>
      </c>
    </row>
    <row r="219" ht="18" customHeight="1" s="866">
      <c r="A219" s="1155" t="n">
        <v>109491</v>
      </c>
      <c r="B219" s="1156" t="inlineStr">
        <is>
          <t>Pooja Kuperkar</t>
        </is>
      </c>
      <c r="C219" s="1156" t="inlineStr">
        <is>
          <t>Cyber GRC Analyst</t>
        </is>
      </c>
      <c r="D219" s="1156" t="inlineStr">
        <is>
          <t>Diya Thomas</t>
        </is>
      </c>
      <c r="E219" s="1156" t="n"/>
      <c r="F219" s="1156" t="inlineStr">
        <is>
          <t>Cyber, Risk &amp; Operations</t>
        </is>
      </c>
      <c r="G219" s="1158" t="inlineStr">
        <is>
          <t>Cyber GRC</t>
        </is>
      </c>
      <c r="H219" s="1156" t="inlineStr">
        <is>
          <t>NA</t>
        </is>
      </c>
      <c r="I219" s="1156" t="inlineStr">
        <is>
          <t>COE - Cyber, Risk &amp; Operations</t>
        </is>
      </c>
      <c r="J219" s="1156" t="inlineStr">
        <is>
          <t>NA</t>
        </is>
      </c>
      <c r="K219" s="1156" t="inlineStr">
        <is>
          <t>NA</t>
        </is>
      </c>
      <c r="L219" s="1156" t="n"/>
      <c r="M219" s="1159" t="inlineStr">
        <is>
          <t>Australia</t>
        </is>
      </c>
      <c r="N219" s="1160" t="inlineStr">
        <is>
          <t>CIB</t>
        </is>
      </c>
      <c r="O219" s="1160" t="n">
        <v>1</v>
      </c>
      <c r="P219" s="1160" t="n"/>
      <c r="Q219" s="1160" t="inlineStr">
        <is>
          <t>Permanent - Full Time</t>
        </is>
      </c>
      <c r="R219" s="1162" t="n"/>
      <c r="S219" s="1162" t="n"/>
      <c r="T219" s="1163" t="n">
        <v>152390</v>
      </c>
      <c r="U219" s="1164" t="n">
        <v>152390</v>
      </c>
      <c r="V219" s="1166" t="n">
        <v>0.12</v>
      </c>
      <c r="W219" s="1170" t="n">
        <v>0.055</v>
      </c>
      <c r="X219" s="1170" t="n">
        <v>0.12</v>
      </c>
      <c r="Y219" s="1171" t="n"/>
      <c r="Z219" s="1170" t="n">
        <v>0.04</v>
      </c>
      <c r="AA219" s="1168">
        <f>IF(TRIM($B219)="","",IF(N($AU219)&gt;0,$AU219,IF(N($S219)&gt;0,$S219*Lists!$AG$15*(1+N($Z219)),N($U219)*(1+N($V219)+N($W219)+N($X219)+N($Z219))+N($Y219))))</f>
        <v>203440.65</v>
      </c>
      <c r="AB219" s="1202" t="n"/>
      <c r="AC219" s="1202" t="n"/>
      <c r="AJ219" s="865" t="str">
        <f>IF(TRIM($B219)="","",IF(IFERROR(INDEX(Lists!$AO$2:$AO$11,MATCH(ROW(),Lists!$AN$2:$AN$11,0)),"")&lt;&gt;"",IFERROR(INDEX(Lists!$AO$2:$AO$11,MATCH(ROW(),Lists!$AN$2:$AN$11,0)),""),IFERROR(INDEX(Lists!$U:$U,MATCH(TRIM($I219),Lists!$T:$T,0)),TRIM($I219))))</f>
        <v>COE Cyber</v>
      </c>
      <c r="AK219" s="865" t="str">
        <f>IF(ISNUMBER(SEARCH("vacant",$B219)),"Vacant","Filled")</f>
        <v>Filled</v>
      </c>
      <c r="AL219" s="865" t="str">
        <f>IF($M219="NZ","NZ","AU")</f>
        <v>AU</v>
      </c>
      <c r="AM219" s="865">
        <f>COUNTIF($AJ$2:$AJ219,$AJ219)</f>
        <v>27</v>
      </c>
      <c r="AN219" s="865" t="str">
        <f>$AJ219&amp;"|"&amp;$AM219</f>
        <v>COE Cyber|27</v>
      </c>
      <c r="AP219" s="865" t="str">
        <f>IF(TRIM($B219)="","",IF($AQ219=1,"Leadership",IFERROR(INDEX(Lists!$X:$X,MATCH(TRIM($K219),Lists!$W:$W,0)),IF(OR(TRIM($K219)="",LOWER(TRIM($K219))="na"),IF(TRIM($G219)="","Unassigned",TRIM($G219)),TRIM($K219)))))</f>
        <v>Cyber GRC</v>
      </c>
      <c r="AQ219" s="865" t="b">
        <f>IF(TRIM($B219)="","",--OR(TRIM($K219)="Leadership",TRIM($J219)="Leadership"))</f>
        <v>0</v>
      </c>
      <c r="AR219" s="1136" t="str">
        <f>IF(TRIM($B219)="","",IF(IFERROR(INDEX(Lists!$AQ$2:$AQ$11,MATCH(ROW(),Lists!$AN$2:$AN$11,0)),"")&lt;&gt;"",IFERROR(INDEX(Lists!$AQ$2:$AQ$11,MATCH(ROW(),Lists!$AN$2:$AN$11,0)),""),IF(ISNUMBER(SEARCH("head of ",$C219)),"Head of Technology",IF(ISNUMBER(SEARCH("TDD BP",$C219)),"Business Partner",IF(OR(ISNUMBER(SEARCH("domain architect",$C219)),ISNUMBER(SEARCH("enterprise architect",$C219))),"Domain Architect",IF(ISNUMBER(SEARCH("delivery man",$C219)),"Delivery Manager",IF(OR(ISNUMBER(SEARCH("technology manager",$C219)),ISNUMBER(SEARCH("technology manger",$C219)),ISNUMBER(SEARCH("tech manager",$C219))),"Technology Manager","Squad")))))))</f>
        <v>Squad</v>
      </c>
      <c r="AS219" s="1136" t="str">
        <f>IF(TRIM($B219)="","",IFERROR(INDEX(Lists!$AA:$AA,MATCH($AP219,Lists!$Z:$Z,0)),$AP219))</f>
        <v>Cyber GRC</v>
      </c>
      <c r="AT219" s="1136" t="str">
        <f>IF(TRIM($B219)="","",IF(IFERROR(INDEX(Lists!$AP$2:$AP$11,MATCH(ROW(),Lists!$AN$2:$AN$11,0)),"")&lt;&gt;"",IFERROR(INDEX(Lists!$AP$2:$AP$11,MATCH(ROW(),Lists!$AN$2:$AN$11,0)),""),IF(OR(LEFT($AJ219,3)="COE",$AJ219="EGI"),$AP219,IF($AR219&lt;&gt;"Squad",$AR219,$AP219))))</f>
        <v>Cyber GRC</v>
      </c>
    </row>
    <row r="220" ht="18" customHeight="1" s="866">
      <c r="A220" s="1155" t="n">
        <v>114683</v>
      </c>
      <c r="B220" s="1156" t="inlineStr">
        <is>
          <t>Prashanth Chandran</t>
        </is>
      </c>
      <c r="C220" s="1156" t="inlineStr">
        <is>
          <t>Senior Cyber GRC Specialist</t>
        </is>
      </c>
      <c r="D220" s="1156" t="inlineStr">
        <is>
          <t>Diya Thomas</t>
        </is>
      </c>
      <c r="E220" s="1156" t="inlineStr">
        <is>
          <t>Manager Cyber Security GRC</t>
        </is>
      </c>
      <c r="F220" s="1156" t="inlineStr">
        <is>
          <t>Cyber, Risk &amp; Operations</t>
        </is>
      </c>
      <c r="G220" s="1158" t="inlineStr">
        <is>
          <t>Cyber GRC</t>
        </is>
      </c>
      <c r="H220" s="1156" t="inlineStr">
        <is>
          <t>NA</t>
        </is>
      </c>
      <c r="I220" s="1156" t="inlineStr">
        <is>
          <t>COE - Cyber, Risk &amp; Operations</t>
        </is>
      </c>
      <c r="J220" s="1156" t="inlineStr">
        <is>
          <t>NA</t>
        </is>
      </c>
      <c r="K220" s="1156" t="inlineStr">
        <is>
          <t>NA</t>
        </is>
      </c>
      <c r="L220" s="1156" t="n"/>
      <c r="M220" s="1159" t="inlineStr">
        <is>
          <t>Australia</t>
        </is>
      </c>
      <c r="N220" s="1160" t="inlineStr">
        <is>
          <t>CIC</t>
        </is>
      </c>
      <c r="O220" s="1160" t="n">
        <v>1</v>
      </c>
      <c r="P220" s="1160" t="n"/>
      <c r="Q220" s="1160" t="inlineStr">
        <is>
          <t>Permanent - Full Time</t>
        </is>
      </c>
      <c r="R220" s="1162" t="n"/>
      <c r="S220" s="1162" t="n"/>
      <c r="T220" s="1163" t="n">
        <v>165000</v>
      </c>
      <c r="U220" s="1164" t="n">
        <v>165000</v>
      </c>
      <c r="V220" s="1166" t="n">
        <v>0.12</v>
      </c>
      <c r="W220" s="1170" t="n">
        <v>0.055</v>
      </c>
      <c r="X220" s="1170" t="n">
        <v>0.12</v>
      </c>
      <c r="Y220" s="1171" t="n"/>
      <c r="Z220" s="1170" t="n">
        <v>0.04</v>
      </c>
      <c r="AA220" s="1168">
        <f>IF(TRIM($B220)="","",IF(N($AU220)&gt;0,$AU220,IF(N($S220)&gt;0,$S220*Lists!$AG$15*(1+N($Z220)),N($U220)*(1+N($V220)+N($W220)+N($X220)+N($Z220))+N($Y220))))</f>
        <v>220275</v>
      </c>
      <c r="AB220" s="1202" t="n"/>
      <c r="AC220" s="1202" t="n"/>
      <c r="AJ220" s="865" t="str">
        <f>IF(TRIM($B220)="","",IF(IFERROR(INDEX(Lists!$AO$2:$AO$11,MATCH(ROW(),Lists!$AN$2:$AN$11,0)),"")&lt;&gt;"",IFERROR(INDEX(Lists!$AO$2:$AO$11,MATCH(ROW(),Lists!$AN$2:$AN$11,0)),""),IFERROR(INDEX(Lists!$U:$U,MATCH(TRIM($I220),Lists!$T:$T,0)),TRIM($I220))))</f>
        <v>COE Cyber</v>
      </c>
      <c r="AK220" s="865" t="str">
        <f>IF(ISNUMBER(SEARCH("vacant",$B220)),"Vacant","Filled")</f>
        <v>Filled</v>
      </c>
      <c r="AL220" s="865" t="str">
        <f>IF($M220="NZ","NZ","AU")</f>
        <v>AU</v>
      </c>
      <c r="AM220" s="865">
        <f>COUNTIF($AJ$2:$AJ220,$AJ220)</f>
        <v>28</v>
      </c>
      <c r="AN220" s="865" t="str">
        <f>$AJ220&amp;"|"&amp;$AM220</f>
        <v>COE Cyber|28</v>
      </c>
      <c r="AP220" s="865" t="str">
        <f>IF(TRIM($B220)="","",IF($AQ220=1,"Leadership",IFERROR(INDEX(Lists!$X:$X,MATCH(TRIM($K220),Lists!$W:$W,0)),IF(OR(TRIM($K220)="",LOWER(TRIM($K220))="na"),IF(TRIM($G220)="","Unassigned",TRIM($G220)),TRIM($K220)))))</f>
        <v>Cyber GRC</v>
      </c>
      <c r="AQ220" s="865" t="b">
        <f>IF(TRIM($B220)="","",--OR(TRIM($K220)="Leadership",TRIM($J220)="Leadership"))</f>
        <v>0</v>
      </c>
      <c r="AR220" s="1136" t="str">
        <f>IF(TRIM($B220)="","",IF(IFERROR(INDEX(Lists!$AQ$2:$AQ$11,MATCH(ROW(),Lists!$AN$2:$AN$11,0)),"")&lt;&gt;"",IFERROR(INDEX(Lists!$AQ$2:$AQ$11,MATCH(ROW(),Lists!$AN$2:$AN$11,0)),""),IF(ISNUMBER(SEARCH("head of ",$C220)),"Head of Technology",IF(ISNUMBER(SEARCH("TDD BP",$C220)),"Business Partner",IF(OR(ISNUMBER(SEARCH("domain architect",$C220)),ISNUMBER(SEARCH("enterprise architect",$C220))),"Domain Architect",IF(ISNUMBER(SEARCH("delivery man",$C220)),"Delivery Manager",IF(OR(ISNUMBER(SEARCH("technology manager",$C220)),ISNUMBER(SEARCH("technology manger",$C220)),ISNUMBER(SEARCH("tech manager",$C220))),"Technology Manager","Squad")))))))</f>
        <v>Squad</v>
      </c>
      <c r="AS220" s="1136" t="str">
        <f>IF(TRIM($B220)="","",IFERROR(INDEX(Lists!$AA:$AA,MATCH($AP220,Lists!$Z:$Z,0)),$AP220))</f>
        <v>Cyber GRC</v>
      </c>
      <c r="AT220" s="1136" t="str">
        <f>IF(TRIM($B220)="","",IF(IFERROR(INDEX(Lists!$AP$2:$AP$11,MATCH(ROW(),Lists!$AN$2:$AN$11,0)),"")&lt;&gt;"",IFERROR(INDEX(Lists!$AP$2:$AP$11,MATCH(ROW(),Lists!$AN$2:$AN$11,0)),""),IF(OR(LEFT($AJ220,3)="COE",$AJ220="EGI"),$AP220,IF($AR220&lt;&gt;"Squad",$AR220,$AP220))))</f>
        <v>Cyber GRC</v>
      </c>
    </row>
    <row r="221" ht="18" customHeight="1" s="866">
      <c r="A221" s="1155" t="n">
        <v>104966</v>
      </c>
      <c r="B221" s="1156" t="inlineStr">
        <is>
          <t>Rahul Sahni</t>
        </is>
      </c>
      <c r="C221" s="1156" t="inlineStr">
        <is>
          <t>Cyber Security Architect</t>
        </is>
      </c>
      <c r="D221" s="1156" t="inlineStr">
        <is>
          <t>Kevin Sheerin</t>
        </is>
      </c>
      <c r="E221" s="1156" t="n"/>
      <c r="F221" s="1156" t="inlineStr">
        <is>
          <t>Cyber, Risk &amp; Operations</t>
        </is>
      </c>
      <c r="G221" s="1158" t="inlineStr">
        <is>
          <t>Cyber Strat &amp; Tech</t>
        </is>
      </c>
      <c r="H221" s="1156" t="inlineStr">
        <is>
          <t>NA</t>
        </is>
      </c>
      <c r="I221" s="1156" t="inlineStr">
        <is>
          <t>COE - Cyber, Risk &amp; Operations</t>
        </is>
      </c>
      <c r="J221" s="1156" t="inlineStr">
        <is>
          <t>NA</t>
        </is>
      </c>
      <c r="K221" s="1156" t="inlineStr">
        <is>
          <t>NA</t>
        </is>
      </c>
      <c r="L221" s="1156" t="n"/>
      <c r="M221" s="1159" t="inlineStr">
        <is>
          <t>Australia</t>
        </is>
      </c>
      <c r="N221" s="1160" t="inlineStr">
        <is>
          <t>CIC</t>
        </is>
      </c>
      <c r="O221" s="1160" t="n">
        <v>1</v>
      </c>
      <c r="P221" s="1160" t="n"/>
      <c r="Q221" s="1160" t="inlineStr">
        <is>
          <t>Permanent - Full Time</t>
        </is>
      </c>
      <c r="R221" s="1162" t="n"/>
      <c r="S221" s="1162" t="n"/>
      <c r="T221" s="1163" t="n">
        <v>169500</v>
      </c>
      <c r="U221" s="1164" t="n">
        <v>169500</v>
      </c>
      <c r="V221" s="1166" t="n">
        <v>0.12</v>
      </c>
      <c r="W221" s="1170" t="n">
        <v>0.055</v>
      </c>
      <c r="X221" s="1170" t="n">
        <v>0.12</v>
      </c>
      <c r="Y221" s="1171" t="n"/>
      <c r="Z221" s="1170" t="n">
        <v>0.04</v>
      </c>
      <c r="AA221" s="1168">
        <f>IF(TRIM($B221)="","",IF(N($AU221)&gt;0,$AU221,IF(N($S221)&gt;0,$S221*Lists!$AG$15*(1+N($Z221)),N($U221)*(1+N($V221)+N($W221)+N($X221)+N($Z221))+N($Y221))))</f>
        <v>226282.5</v>
      </c>
      <c r="AB221" s="1202" t="n"/>
      <c r="AC221" s="1202" t="n"/>
      <c r="AJ221" s="865" t="str">
        <f>IF(TRIM($B221)="","",IF(IFERROR(INDEX(Lists!$AO$2:$AO$11,MATCH(ROW(),Lists!$AN$2:$AN$11,0)),"")&lt;&gt;"",IFERROR(INDEX(Lists!$AO$2:$AO$11,MATCH(ROW(),Lists!$AN$2:$AN$11,0)),""),IFERROR(INDEX(Lists!$U:$U,MATCH(TRIM($I221),Lists!$T:$T,0)),TRIM($I221))))</f>
        <v>COE Cyber</v>
      </c>
      <c r="AK221" s="865" t="str">
        <f>IF(ISNUMBER(SEARCH("vacant",$B221)),"Vacant","Filled")</f>
        <v>Filled</v>
      </c>
      <c r="AL221" s="865" t="str">
        <f>IF($M221="NZ","NZ","AU")</f>
        <v>AU</v>
      </c>
      <c r="AM221" s="865">
        <f>COUNTIF($AJ$2:$AJ221,$AJ221)</f>
        <v>29</v>
      </c>
      <c r="AN221" s="865" t="str">
        <f>$AJ221&amp;"|"&amp;$AM221</f>
        <v>COE Cyber|29</v>
      </c>
      <c r="AP221" s="865" t="str">
        <f>IF(TRIM($B221)="","",IF($AQ221=1,"Leadership",IFERROR(INDEX(Lists!$X:$X,MATCH(TRIM($K221),Lists!$W:$W,0)),IF(OR(TRIM($K221)="",LOWER(TRIM($K221))="na"),IF(TRIM($G221)="","Unassigned",TRIM($G221)),TRIM($K221)))))</f>
        <v>Cyber Strat &amp; Tech</v>
      </c>
      <c r="AQ221" s="865" t="b">
        <f>IF(TRIM($B221)="","",--OR(TRIM($K221)="Leadership",TRIM($J221)="Leadership"))</f>
        <v>0</v>
      </c>
      <c r="AR221" s="1136" t="str">
        <f>IF(TRIM($B221)="","",IF(IFERROR(INDEX(Lists!$AQ$2:$AQ$11,MATCH(ROW(),Lists!$AN$2:$AN$11,0)),"")&lt;&gt;"",IFERROR(INDEX(Lists!$AQ$2:$AQ$11,MATCH(ROW(),Lists!$AN$2:$AN$11,0)),""),IF(ISNUMBER(SEARCH("head of ",$C221)),"Head of Technology",IF(ISNUMBER(SEARCH("TDD BP",$C221)),"Business Partner",IF(OR(ISNUMBER(SEARCH("domain architect",$C221)),ISNUMBER(SEARCH("enterprise architect",$C221))),"Domain Architect",IF(ISNUMBER(SEARCH("delivery man",$C221)),"Delivery Manager",IF(OR(ISNUMBER(SEARCH("technology manager",$C221)),ISNUMBER(SEARCH("technology manger",$C221)),ISNUMBER(SEARCH("tech manager",$C221))),"Technology Manager","Squad")))))))</f>
        <v>Squad</v>
      </c>
      <c r="AS221" s="1136" t="str">
        <f>IF(TRIM($B221)="","",IFERROR(INDEX(Lists!$AA:$AA,MATCH($AP221,Lists!$Z:$Z,0)),$AP221))</f>
        <v>Cyber Strat &amp; Tech</v>
      </c>
      <c r="AT221" s="1136" t="str">
        <f>IF(TRIM($B221)="","",IF(IFERROR(INDEX(Lists!$AP$2:$AP$11,MATCH(ROW(),Lists!$AN$2:$AN$11,0)),"")&lt;&gt;"",IFERROR(INDEX(Lists!$AP$2:$AP$11,MATCH(ROW(),Lists!$AN$2:$AN$11,0)),""),IF(OR(LEFT($AJ221,3)="COE",$AJ221="EGI"),$AP221,IF($AR221&lt;&gt;"Squad",$AR221,$AP221))))</f>
        <v>Cyber Strat &amp; Tech</v>
      </c>
    </row>
    <row r="222" ht="18" customHeight="1" s="866">
      <c r="A222" s="1155" t="n">
        <v>105647</v>
      </c>
      <c r="B222" s="1156" t="inlineStr">
        <is>
          <t>Rajini Onteddu Reddy</t>
        </is>
      </c>
      <c r="C222" s="1156" t="inlineStr">
        <is>
          <t>Head of Service Operations &amp; Assurance</t>
        </is>
      </c>
      <c r="D222" s="1156" t="inlineStr">
        <is>
          <t>Frances Bouzo</t>
        </is>
      </c>
      <c r="E222" s="1156" t="inlineStr">
        <is>
          <t xml:space="preserve">Manager Service Management &amp; Major Incident Management Lead </t>
        </is>
      </c>
      <c r="F222" s="1156" t="inlineStr">
        <is>
          <t>Cyber, Risk &amp; Operations</t>
        </is>
      </c>
      <c r="G222" s="1158" t="inlineStr">
        <is>
          <t>Service Op &amp; Assurance</t>
        </is>
      </c>
      <c r="H222" s="1156" t="inlineStr">
        <is>
          <t>NA</t>
        </is>
      </c>
      <c r="I222" s="1156" t="inlineStr">
        <is>
          <t>COE - Cyber, Risk &amp; Operations</t>
        </is>
      </c>
      <c r="J222" s="1156" t="inlineStr">
        <is>
          <t>NA</t>
        </is>
      </c>
      <c r="K222" s="1156" t="inlineStr">
        <is>
          <t>NA</t>
        </is>
      </c>
      <c r="L222" s="1156" t="n"/>
      <c r="M222" s="1159" t="inlineStr">
        <is>
          <t>Australia</t>
        </is>
      </c>
      <c r="N222" s="1160" t="inlineStr">
        <is>
          <t>CSC</t>
        </is>
      </c>
      <c r="O222" s="1160" t="n">
        <v>1</v>
      </c>
      <c r="P222" s="1160" t="n"/>
      <c r="Q222" s="1160" t="inlineStr">
        <is>
          <t>Permanent - Full Time</t>
        </is>
      </c>
      <c r="R222" s="1162" t="n"/>
      <c r="S222" s="1162" t="n"/>
      <c r="T222" s="1163" t="n">
        <v>283160</v>
      </c>
      <c r="U222" s="1164" t="n">
        <v>283160</v>
      </c>
      <c r="V222" s="1166" t="n">
        <v>0.2</v>
      </c>
      <c r="W222" s="1170" t="n">
        <v>0.055</v>
      </c>
      <c r="X222" s="1170" t="n">
        <v>0.12</v>
      </c>
      <c r="Y222" s="1171" t="n"/>
      <c r="Z222" s="1170" t="n">
        <v>0.04</v>
      </c>
      <c r="AA222" s="1168">
        <f>IF(TRIM($B222)="","",IF(N($AU222)&gt;0,$AU222,IF(N($S222)&gt;0,$S222*Lists!$AG$15*(1+N($Z222)),N($U222)*(1+N($V222)+N($W222)+N($X222)+N($Z222))+N($Y222))))</f>
        <v>400671.4</v>
      </c>
      <c r="AB222" s="1202" t="n"/>
      <c r="AC222" s="1202" t="n"/>
      <c r="AJ222" s="865" t="str">
        <f>IF(TRIM($B222)="","",IF(IFERROR(INDEX(Lists!$AO$2:$AO$11,MATCH(ROW(),Lists!$AN$2:$AN$11,0)),"")&lt;&gt;"",IFERROR(INDEX(Lists!$AO$2:$AO$11,MATCH(ROW(),Lists!$AN$2:$AN$11,0)),""),IFERROR(INDEX(Lists!$U:$U,MATCH(TRIM($I222),Lists!$T:$T,0)),TRIM($I222))))</f>
        <v>COE Cyber</v>
      </c>
      <c r="AK222" s="865" t="str">
        <f>IF(ISNUMBER(SEARCH("vacant",$B222)),"Vacant","Filled")</f>
        <v>Filled</v>
      </c>
      <c r="AL222" s="865" t="str">
        <f>IF($M222="NZ","NZ","AU")</f>
        <v>AU</v>
      </c>
      <c r="AM222" s="865">
        <f>COUNTIF($AJ$2:$AJ222,$AJ222)</f>
        <v>30</v>
      </c>
      <c r="AN222" s="865" t="str">
        <f>$AJ222&amp;"|"&amp;$AM222</f>
        <v>COE Cyber|30</v>
      </c>
      <c r="AP222" s="865" t="str">
        <f>IF(TRIM($B222)="","",IF($AQ222=1,"Leadership",IFERROR(INDEX(Lists!$X:$X,MATCH(TRIM($K222),Lists!$W:$W,0)),IF(OR(TRIM($K222)="",LOWER(TRIM($K222))="na"),IF(TRIM($G222)="","Unassigned",TRIM($G222)),TRIM($K222)))))</f>
        <v>Service Op &amp; Assurance</v>
      </c>
      <c r="AQ222" s="865" t="b">
        <f>IF(TRIM($B222)="","",--OR(TRIM($K222)="Leadership",TRIM($J222)="Leadership"))</f>
        <v>0</v>
      </c>
      <c r="AR222" s="1136" t="str">
        <f>IF(TRIM($B222)="","",IF(IFERROR(INDEX(Lists!$AQ$2:$AQ$11,MATCH(ROW(),Lists!$AN$2:$AN$11,0)),"")&lt;&gt;"",IFERROR(INDEX(Lists!$AQ$2:$AQ$11,MATCH(ROW(),Lists!$AN$2:$AN$11,0)),""),IF(ISNUMBER(SEARCH("head of ",$C222)),"Head of Technology",IF(ISNUMBER(SEARCH("TDD BP",$C222)),"Business Partner",IF(OR(ISNUMBER(SEARCH("domain architect",$C222)),ISNUMBER(SEARCH("enterprise architect",$C222))),"Domain Architect",IF(ISNUMBER(SEARCH("delivery man",$C222)),"Delivery Manager",IF(OR(ISNUMBER(SEARCH("technology manager",$C222)),ISNUMBER(SEARCH("technology manger",$C222)),ISNUMBER(SEARCH("tech manager",$C222))),"Technology Manager","Squad")))))))</f>
        <v>Head of Technology</v>
      </c>
      <c r="AS222" s="1136" t="str">
        <f>IF(TRIM($B222)="","",IFERROR(INDEX(Lists!$AA:$AA,MATCH($AP222,Lists!$Z:$Z,0)),$AP222))</f>
        <v>Service Op &amp; Assurance</v>
      </c>
      <c r="AT222" s="1136" t="str">
        <f>IF(TRIM($B222)="","",IF(IFERROR(INDEX(Lists!$AP$2:$AP$11,MATCH(ROW(),Lists!$AN$2:$AN$11,0)),"")&lt;&gt;"",IFERROR(INDEX(Lists!$AP$2:$AP$11,MATCH(ROW(),Lists!$AN$2:$AN$11,0)),""),IF(OR(LEFT($AJ222,3)="COE",$AJ222="EGI"),$AP222,IF($AR222&lt;&gt;"Squad",$AR222,$AP222))))</f>
        <v>Service Op &amp; Assurance</v>
      </c>
    </row>
    <row r="223" ht="18" customHeight="1" s="866">
      <c r="A223" s="1155" t="n">
        <v>116241</v>
      </c>
      <c r="B223" s="1156" t="inlineStr">
        <is>
          <t>Raymond Cheung</t>
        </is>
      </c>
      <c r="C223" s="1156" t="inlineStr">
        <is>
          <t>Engineer - IDAM</t>
        </is>
      </c>
      <c r="D223" s="1156" t="inlineStr">
        <is>
          <t>Joe Nahma</t>
        </is>
      </c>
      <c r="E223" s="1156" t="inlineStr">
        <is>
          <t xml:space="preserve">Head Cyber Strategy &amp; Technology </t>
        </is>
      </c>
      <c r="F223" s="1156" t="inlineStr">
        <is>
          <t>Cyber, Risk &amp; Operations</t>
        </is>
      </c>
      <c r="G223" s="1158" t="inlineStr">
        <is>
          <t>Cyber Strat &amp; Tech</t>
        </is>
      </c>
      <c r="H223" s="1156" t="inlineStr">
        <is>
          <t>NA</t>
        </is>
      </c>
      <c r="I223" s="1156" t="inlineStr">
        <is>
          <t>COE - Cyber, Risk &amp; Operations</t>
        </is>
      </c>
      <c r="J223" s="1156" t="inlineStr">
        <is>
          <t>NA</t>
        </is>
      </c>
      <c r="K223" s="1156" t="inlineStr">
        <is>
          <t>NA</t>
        </is>
      </c>
      <c r="L223" s="1156" t="n"/>
      <c r="M223" s="1159" t="inlineStr">
        <is>
          <t>Australia</t>
        </is>
      </c>
      <c r="N223" s="1160" t="inlineStr">
        <is>
          <t>CIA</t>
        </is>
      </c>
      <c r="O223" s="1160" t="n">
        <v>1</v>
      </c>
      <c r="P223" s="1160" t="n"/>
      <c r="Q223" s="1160" t="inlineStr">
        <is>
          <t>Permanent - Full Time</t>
        </is>
      </c>
      <c r="R223" s="1162" t="n"/>
      <c r="S223" s="1162" t="n"/>
      <c r="T223" s="1163" t="n">
        <v>145000</v>
      </c>
      <c r="U223" s="1164" t="n">
        <v>145000</v>
      </c>
      <c r="V223" s="1166" t="n">
        <v>0.1</v>
      </c>
      <c r="W223" s="1170" t="n">
        <v>0.055</v>
      </c>
      <c r="X223" s="1170" t="n">
        <v>0.12</v>
      </c>
      <c r="Y223" s="1171" t="n"/>
      <c r="Z223" s="1170" t="n">
        <v>0.04</v>
      </c>
      <c r="AA223" s="1168">
        <f>IF(TRIM($B223)="","",IF(N($AU223)&gt;0,$AU223,IF(N($S223)&gt;0,$S223*Lists!$AG$15*(1+N($Z223)),N($U223)*(1+N($V223)+N($W223)+N($X223)+N($Z223))+N($Y223))))</f>
        <v>190675</v>
      </c>
      <c r="AB223" s="1202" t="n"/>
      <c r="AC223" s="1202" t="n"/>
      <c r="AJ223" s="865" t="str">
        <f>IF(TRIM($B223)="","",IF(IFERROR(INDEX(Lists!$AO$2:$AO$11,MATCH(ROW(),Lists!$AN$2:$AN$11,0)),"")&lt;&gt;"",IFERROR(INDEX(Lists!$AO$2:$AO$11,MATCH(ROW(),Lists!$AN$2:$AN$11,0)),""),IFERROR(INDEX(Lists!$U:$U,MATCH(TRIM($I223),Lists!$T:$T,0)),TRIM($I223))))</f>
        <v>COE Cyber</v>
      </c>
      <c r="AK223" s="865" t="str">
        <f>IF(ISNUMBER(SEARCH("vacant",$B223)),"Vacant","Filled")</f>
        <v>Filled</v>
      </c>
      <c r="AL223" s="865" t="str">
        <f>IF($M223="NZ","NZ","AU")</f>
        <v>AU</v>
      </c>
      <c r="AM223" s="865">
        <f>COUNTIF($AJ$2:$AJ223,$AJ223)</f>
        <v>31</v>
      </c>
      <c r="AN223" s="865" t="str">
        <f>$AJ223&amp;"|"&amp;$AM223</f>
        <v>COE Cyber|31</v>
      </c>
      <c r="AP223" s="865" t="str">
        <f>IF(TRIM($B223)="","",IF($AQ223=1,"Leadership",IFERROR(INDEX(Lists!$X:$X,MATCH(TRIM($K223),Lists!$W:$W,0)),IF(OR(TRIM($K223)="",LOWER(TRIM($K223))="na"),IF(TRIM($G223)="","Unassigned",TRIM($G223)),TRIM($K223)))))</f>
        <v>Cyber Strat &amp; Tech</v>
      </c>
      <c r="AQ223" s="865" t="b">
        <f>IF(TRIM($B223)="","",--OR(TRIM($K223)="Leadership",TRIM($J223)="Leadership"))</f>
        <v>0</v>
      </c>
      <c r="AR223" s="1136" t="str">
        <f>IF(TRIM($B223)="","",IF(IFERROR(INDEX(Lists!$AQ$2:$AQ$11,MATCH(ROW(),Lists!$AN$2:$AN$11,0)),"")&lt;&gt;"",IFERROR(INDEX(Lists!$AQ$2:$AQ$11,MATCH(ROW(),Lists!$AN$2:$AN$11,0)),""),IF(ISNUMBER(SEARCH("head of ",$C223)),"Head of Technology",IF(ISNUMBER(SEARCH("TDD BP",$C223)),"Business Partner",IF(OR(ISNUMBER(SEARCH("domain architect",$C223)),ISNUMBER(SEARCH("enterprise architect",$C223))),"Domain Architect",IF(ISNUMBER(SEARCH("delivery man",$C223)),"Delivery Manager",IF(OR(ISNUMBER(SEARCH("technology manager",$C223)),ISNUMBER(SEARCH("technology manger",$C223)),ISNUMBER(SEARCH("tech manager",$C223))),"Technology Manager","Squad")))))))</f>
        <v>Squad</v>
      </c>
      <c r="AS223" s="1136" t="str">
        <f>IF(TRIM($B223)="","",IFERROR(INDEX(Lists!$AA:$AA,MATCH($AP223,Lists!$Z:$Z,0)),$AP223))</f>
        <v>Cyber Strat &amp; Tech</v>
      </c>
      <c r="AT223" s="1136" t="str">
        <f>IF(TRIM($B223)="","",IF(IFERROR(INDEX(Lists!$AP$2:$AP$11,MATCH(ROW(),Lists!$AN$2:$AN$11,0)),"")&lt;&gt;"",IFERROR(INDEX(Lists!$AP$2:$AP$11,MATCH(ROW(),Lists!$AN$2:$AN$11,0)),""),IF(OR(LEFT($AJ223,3)="COE",$AJ223="EGI"),$AP223,IF($AR223&lt;&gt;"Squad",$AR223,$AP223))))</f>
        <v>Cyber Strat &amp; Tech</v>
      </c>
    </row>
    <row r="224" ht="18" customHeight="1" s="866">
      <c r="A224" s="1155" t="n">
        <v>108728</v>
      </c>
      <c r="B224" s="1156" t="inlineStr">
        <is>
          <t>Remya Pookat</t>
        </is>
      </c>
      <c r="C224" s="1156" t="inlineStr">
        <is>
          <t>Lead - Change &amp; Release Management</t>
        </is>
      </c>
      <c r="D224" s="1156" t="inlineStr">
        <is>
          <t>Darren Koller</t>
        </is>
      </c>
      <c r="E224" s="1156" t="inlineStr">
        <is>
          <t>Manager Cyber Security GRC</t>
        </is>
      </c>
      <c r="F224" s="1156" t="inlineStr">
        <is>
          <t>Cyber, Risk &amp; Operations</t>
        </is>
      </c>
      <c r="G224" s="1158" t="inlineStr">
        <is>
          <t>Service Op &amp; Assurance</t>
        </is>
      </c>
      <c r="H224" s="1156" t="inlineStr">
        <is>
          <t>NA</t>
        </is>
      </c>
      <c r="I224" s="1156" t="inlineStr">
        <is>
          <t>COE - Cyber, Risk &amp; Operations</t>
        </is>
      </c>
      <c r="J224" s="1156" t="inlineStr">
        <is>
          <t>NA</t>
        </is>
      </c>
      <c r="K224" s="1156" t="inlineStr">
        <is>
          <t>NA</t>
        </is>
      </c>
      <c r="L224" s="1156" t="n"/>
      <c r="M224" s="1159" t="inlineStr">
        <is>
          <t>Australia</t>
        </is>
      </c>
      <c r="N224" s="1160" t="inlineStr">
        <is>
          <t>CIB</t>
        </is>
      </c>
      <c r="O224" s="1160" t="n">
        <v>1</v>
      </c>
      <c r="P224" s="1160" t="n"/>
      <c r="Q224" s="1160" t="inlineStr">
        <is>
          <t>Permanent - Full Time</t>
        </is>
      </c>
      <c r="R224" s="1162" t="n"/>
      <c r="S224" s="1162" t="n"/>
      <c r="T224" s="1163" t="n">
        <v>165450</v>
      </c>
      <c r="U224" s="1164" t="n">
        <v>165450</v>
      </c>
      <c r="V224" s="1166" t="n">
        <v>0.12</v>
      </c>
      <c r="W224" s="1170" t="n">
        <v>0.055</v>
      </c>
      <c r="X224" s="1170" t="n">
        <v>0.12</v>
      </c>
      <c r="Y224" s="1171" t="n"/>
      <c r="Z224" s="1170" t="n">
        <v>0.04</v>
      </c>
      <c r="AA224" s="1168">
        <f>IF(TRIM($B224)="","",IF(N($AU224)&gt;0,$AU224,IF(N($S224)&gt;0,$S224*Lists!$AG$15*(1+N($Z224)),N($U224)*(1+N($V224)+N($W224)+N($X224)+N($Z224))+N($Y224))))</f>
        <v>220875.75</v>
      </c>
      <c r="AB224" s="1202" t="n"/>
      <c r="AC224" s="1202" t="n"/>
      <c r="AJ224" s="865" t="str">
        <f>IF(TRIM($B224)="","",IF(IFERROR(INDEX(Lists!$AO$2:$AO$11,MATCH(ROW(),Lists!$AN$2:$AN$11,0)),"")&lt;&gt;"",IFERROR(INDEX(Lists!$AO$2:$AO$11,MATCH(ROW(),Lists!$AN$2:$AN$11,0)),""),IFERROR(INDEX(Lists!$U:$U,MATCH(TRIM($I224),Lists!$T:$T,0)),TRIM($I224))))</f>
        <v>COE Cyber</v>
      </c>
      <c r="AK224" s="865" t="str">
        <f>IF(ISNUMBER(SEARCH("vacant",$B224)),"Vacant","Filled")</f>
        <v>Filled</v>
      </c>
      <c r="AL224" s="865" t="str">
        <f>IF($M224="NZ","NZ","AU")</f>
        <v>AU</v>
      </c>
      <c r="AM224" s="865">
        <f>COUNTIF($AJ$2:$AJ224,$AJ224)</f>
        <v>32</v>
      </c>
      <c r="AN224" s="865" t="str">
        <f>$AJ224&amp;"|"&amp;$AM224</f>
        <v>COE Cyber|32</v>
      </c>
      <c r="AP224" s="865" t="str">
        <f>IF(TRIM($B224)="","",IF($AQ224=1,"Leadership",IFERROR(INDEX(Lists!$X:$X,MATCH(TRIM($K224),Lists!$W:$W,0)),IF(OR(TRIM($K224)="",LOWER(TRIM($K224))="na"),IF(TRIM($G224)="","Unassigned",TRIM($G224)),TRIM($K224)))))</f>
        <v>Service Op &amp; Assurance</v>
      </c>
      <c r="AQ224" s="865" t="b">
        <f>IF(TRIM($B224)="","",--OR(TRIM($K224)="Leadership",TRIM($J224)="Leadership"))</f>
        <v>0</v>
      </c>
      <c r="AR224" s="1136" t="str">
        <f>IF(TRIM($B224)="","",IF(IFERROR(INDEX(Lists!$AQ$2:$AQ$11,MATCH(ROW(),Lists!$AN$2:$AN$11,0)),"")&lt;&gt;"",IFERROR(INDEX(Lists!$AQ$2:$AQ$11,MATCH(ROW(),Lists!$AN$2:$AN$11,0)),""),IF(ISNUMBER(SEARCH("head of ",$C224)),"Head of Technology",IF(ISNUMBER(SEARCH("TDD BP",$C224)),"Business Partner",IF(OR(ISNUMBER(SEARCH("domain architect",$C224)),ISNUMBER(SEARCH("enterprise architect",$C224))),"Domain Architect",IF(ISNUMBER(SEARCH("delivery man",$C224)),"Delivery Manager",IF(OR(ISNUMBER(SEARCH("technology manager",$C224)),ISNUMBER(SEARCH("technology manger",$C224)),ISNUMBER(SEARCH("tech manager",$C224))),"Technology Manager","Squad")))))))</f>
        <v>Squad</v>
      </c>
      <c r="AS224" s="1136" t="str">
        <f>IF(TRIM($B224)="","",IFERROR(INDEX(Lists!$AA:$AA,MATCH($AP224,Lists!$Z:$Z,0)),$AP224))</f>
        <v>Service Op &amp; Assurance</v>
      </c>
      <c r="AT224" s="1136" t="str">
        <f>IF(TRIM($B224)="","",IF(IFERROR(INDEX(Lists!$AP$2:$AP$11,MATCH(ROW(),Lists!$AN$2:$AN$11,0)),"")&lt;&gt;"",IFERROR(INDEX(Lists!$AP$2:$AP$11,MATCH(ROW(),Lists!$AN$2:$AN$11,0)),""),IF(OR(LEFT($AJ224,3)="COE",$AJ224="EGI"),$AP224,IF($AR224&lt;&gt;"Squad",$AR224,$AP224))))</f>
        <v>Service Op &amp; Assurance</v>
      </c>
    </row>
    <row r="225" ht="18" customHeight="1" s="866">
      <c r="A225" s="1155" t="n">
        <v>104555</v>
      </c>
      <c r="B225" s="1156" t="inlineStr">
        <is>
          <t>Ritika Salaria</t>
        </is>
      </c>
      <c r="C225" s="1156" t="inlineStr">
        <is>
          <t>Configuration Analyst</t>
        </is>
      </c>
      <c r="D225" s="1156" t="inlineStr">
        <is>
          <t>Lead - Asset &amp; Configuration (Vacant)</t>
        </is>
      </c>
      <c r="E225" s="1156" t="n"/>
      <c r="F225" s="1156" t="inlineStr">
        <is>
          <t>Cyber, Risk &amp; Operations</t>
        </is>
      </c>
      <c r="G225" s="1158" t="inlineStr">
        <is>
          <t>Service Op &amp; Assurance</t>
        </is>
      </c>
      <c r="H225" s="1156" t="inlineStr">
        <is>
          <t>NA</t>
        </is>
      </c>
      <c r="I225" s="1156" t="inlineStr">
        <is>
          <t>COE - Cyber, Risk &amp; Operations</t>
        </is>
      </c>
      <c r="J225" s="1156" t="inlineStr">
        <is>
          <t>NA</t>
        </is>
      </c>
      <c r="K225" s="1156" t="inlineStr">
        <is>
          <t>NA</t>
        </is>
      </c>
      <c r="L225" s="1156" t="n"/>
      <c r="M225" s="1159" t="inlineStr">
        <is>
          <t>Australia</t>
        </is>
      </c>
      <c r="N225" s="1160" t="inlineStr">
        <is>
          <t>CIA</t>
        </is>
      </c>
      <c r="O225" s="1160" t="n">
        <v>1</v>
      </c>
      <c r="P225" s="1160" t="n"/>
      <c r="Q225" s="1160" t="inlineStr">
        <is>
          <t>Permanent - Full Time</t>
        </is>
      </c>
      <c r="R225" s="1162" t="n"/>
      <c r="S225" s="1162" t="n"/>
      <c r="T225" s="1163" t="n">
        <v>131640</v>
      </c>
      <c r="U225" s="1164" t="n">
        <v>131640</v>
      </c>
      <c r="V225" s="1166" t="n">
        <v>0.1</v>
      </c>
      <c r="W225" s="1170" t="n">
        <v>0.055</v>
      </c>
      <c r="X225" s="1170" t="n">
        <v>0.12</v>
      </c>
      <c r="Y225" s="1171" t="n"/>
      <c r="Z225" s="1170" t="n">
        <v>0.04</v>
      </c>
      <c r="AA225" s="1168">
        <f>IF(TRIM($B225)="","",IF(N($AU225)&gt;0,$AU225,IF(N($S225)&gt;0,$S225*Lists!$AG$15*(1+N($Z225)),N($U225)*(1+N($V225)+N($W225)+N($X225)+N($Z225))+N($Y225))))</f>
        <v>173106.6</v>
      </c>
      <c r="AB225" s="1202" t="n"/>
      <c r="AC225" s="1202" t="n"/>
      <c r="AJ225" s="865" t="str">
        <f>IF(TRIM($B225)="","",IF(IFERROR(INDEX(Lists!$AO$2:$AO$11,MATCH(ROW(),Lists!$AN$2:$AN$11,0)),"")&lt;&gt;"",IFERROR(INDEX(Lists!$AO$2:$AO$11,MATCH(ROW(),Lists!$AN$2:$AN$11,0)),""),IFERROR(INDEX(Lists!$U:$U,MATCH(TRIM($I225),Lists!$T:$T,0)),TRIM($I225))))</f>
        <v>COE Cyber</v>
      </c>
      <c r="AK225" s="865" t="str">
        <f>IF(ISNUMBER(SEARCH("vacant",$B225)),"Vacant","Filled")</f>
        <v>Filled</v>
      </c>
      <c r="AL225" s="865" t="str">
        <f>IF($M225="NZ","NZ","AU")</f>
        <v>AU</v>
      </c>
      <c r="AM225" s="865">
        <f>COUNTIF($AJ$2:$AJ225,$AJ225)</f>
        <v>33</v>
      </c>
      <c r="AN225" s="865" t="str">
        <f>$AJ225&amp;"|"&amp;$AM225</f>
        <v>COE Cyber|33</v>
      </c>
      <c r="AP225" s="865" t="str">
        <f>IF(TRIM($B225)="","",IF($AQ225=1,"Leadership",IFERROR(INDEX(Lists!$X:$X,MATCH(TRIM($K225),Lists!$W:$W,0)),IF(OR(TRIM($K225)="",LOWER(TRIM($K225))="na"),IF(TRIM($G225)="","Unassigned",TRIM($G225)),TRIM($K225)))))</f>
        <v>Service Op &amp; Assurance</v>
      </c>
      <c r="AQ225" s="865" t="b">
        <f>IF(TRIM($B225)="","",--OR(TRIM($K225)="Leadership",TRIM($J225)="Leadership"))</f>
        <v>0</v>
      </c>
      <c r="AR225" s="1136" t="str">
        <f>IF(TRIM($B225)="","",IF(IFERROR(INDEX(Lists!$AQ$2:$AQ$11,MATCH(ROW(),Lists!$AN$2:$AN$11,0)),"")&lt;&gt;"",IFERROR(INDEX(Lists!$AQ$2:$AQ$11,MATCH(ROW(),Lists!$AN$2:$AN$11,0)),""),IF(ISNUMBER(SEARCH("head of ",$C225)),"Head of Technology",IF(ISNUMBER(SEARCH("TDD BP",$C225)),"Business Partner",IF(OR(ISNUMBER(SEARCH("domain architect",$C225)),ISNUMBER(SEARCH("enterprise architect",$C225))),"Domain Architect",IF(ISNUMBER(SEARCH("delivery man",$C225)),"Delivery Manager",IF(OR(ISNUMBER(SEARCH("technology manager",$C225)),ISNUMBER(SEARCH("technology manger",$C225)),ISNUMBER(SEARCH("tech manager",$C225))),"Technology Manager","Squad")))))))</f>
        <v>Squad</v>
      </c>
      <c r="AS225" s="1136" t="str">
        <f>IF(TRIM($B225)="","",IFERROR(INDEX(Lists!$AA:$AA,MATCH($AP225,Lists!$Z:$Z,0)),$AP225))</f>
        <v>Service Op &amp; Assurance</v>
      </c>
      <c r="AT225" s="1136" t="str">
        <f>IF(TRIM($B225)="","",IF(IFERROR(INDEX(Lists!$AP$2:$AP$11,MATCH(ROW(),Lists!$AN$2:$AN$11,0)),"")&lt;&gt;"",IFERROR(INDEX(Lists!$AP$2:$AP$11,MATCH(ROW(),Lists!$AN$2:$AN$11,0)),""),IF(OR(LEFT($AJ225,3)="COE",$AJ225="EGI"),$AP225,IF($AR225&lt;&gt;"Squad",$AR225,$AP225))))</f>
        <v>Service Op &amp; Assurance</v>
      </c>
    </row>
    <row r="226" ht="18" customHeight="1" s="866">
      <c r="A226" s="1155" t="n">
        <v>99999101321</v>
      </c>
      <c r="B226" s="1156" t="inlineStr">
        <is>
          <t>Sameer Pattanaik</t>
        </is>
      </c>
      <c r="C226" s="1156" t="inlineStr">
        <is>
          <t>Cyber Security Operations Lead</t>
        </is>
      </c>
      <c r="D226" s="1156" t="inlineStr">
        <is>
          <t>Steven Atcheson</t>
        </is>
      </c>
      <c r="E226" s="1156" t="n"/>
      <c r="F226" s="1156" t="inlineStr">
        <is>
          <t>Cyber, Risk &amp; Operations</t>
        </is>
      </c>
      <c r="G226" s="1158" t="inlineStr">
        <is>
          <t>Cyber Sec Ops</t>
        </is>
      </c>
      <c r="H226" s="1156" t="inlineStr">
        <is>
          <t>NA</t>
        </is>
      </c>
      <c r="I226" s="1156" t="inlineStr">
        <is>
          <t>COE - Cyber, Risk &amp; Operations</t>
        </is>
      </c>
      <c r="J226" s="1156" t="inlineStr">
        <is>
          <t>NA</t>
        </is>
      </c>
      <c r="K226" s="1156" t="inlineStr">
        <is>
          <t>NA</t>
        </is>
      </c>
      <c r="L226" s="1156" t="n"/>
      <c r="M226" s="1159" t="inlineStr">
        <is>
          <t>NZ</t>
        </is>
      </c>
      <c r="N226" s="1160" t="inlineStr">
        <is>
          <t>CIC</t>
        </is>
      </c>
      <c r="O226" s="1161" t="n">
        <v>1</v>
      </c>
      <c r="P226" s="1160" t="n"/>
      <c r="Q226" s="1161" t="inlineStr">
        <is>
          <t>Permanent - Full Time</t>
        </is>
      </c>
      <c r="R226" s="1162" t="n"/>
      <c r="S226" s="1162" t="n"/>
      <c r="T226" s="1163" t="n">
        <v>185550</v>
      </c>
      <c r="U226" s="1164" t="n">
        <v>170706</v>
      </c>
      <c r="V226" s="1165" t="n">
        <v>0.15</v>
      </c>
      <c r="W226" s="1162" t="n"/>
      <c r="X226" s="1166" t="n">
        <v>0.05</v>
      </c>
      <c r="Y226" s="1907" t="n">
        <v>2910</v>
      </c>
      <c r="Z226" s="1166" t="n">
        <v>0.03</v>
      </c>
      <c r="AA226" s="1168">
        <f>IF(TRIM($B226)="","",IF(N($AU226)&gt;0,$AU226,IF(N($S226)&gt;0,$S226*Lists!$AG$15*(1+N($Z226)),N($U226)*(1+N($V226)+N($W226)+N($X226)+N($Z226))+N($Y226))))</f>
        <v>212878.38</v>
      </c>
      <c r="AB226" s="1202" t="n"/>
      <c r="AC226" s="1202" t="n"/>
      <c r="AJ226" s="865" t="str">
        <f>IF(TRIM($B226)="","",IF(IFERROR(INDEX(Lists!$AO$2:$AO$11,MATCH(ROW(),Lists!$AN$2:$AN$11,0)),"")&lt;&gt;"",IFERROR(INDEX(Lists!$AO$2:$AO$11,MATCH(ROW(),Lists!$AN$2:$AN$11,0)),""),IFERROR(INDEX(Lists!$U:$U,MATCH(TRIM($I226),Lists!$T:$T,0)),TRIM($I226))))</f>
        <v>COE Cyber</v>
      </c>
      <c r="AK226" s="865" t="str">
        <f>IF(ISNUMBER(SEARCH("vacant",$B226)),"Vacant","Filled")</f>
        <v>Filled</v>
      </c>
      <c r="AL226" s="865" t="str">
        <f>IF($M226="NZ","NZ","AU")</f>
        <v>NZ</v>
      </c>
      <c r="AM226" s="865">
        <f>COUNTIF($AJ$2:$AJ226,$AJ226)</f>
        <v>34</v>
      </c>
      <c r="AN226" s="865" t="str">
        <f>$AJ226&amp;"|"&amp;$AM226</f>
        <v>COE Cyber|34</v>
      </c>
      <c r="AP226" s="865" t="str">
        <f>IF(TRIM($B226)="","",IF($AQ226=1,"Leadership",IFERROR(INDEX(Lists!$X:$X,MATCH(TRIM($K226),Lists!$W:$W,0)),IF(OR(TRIM($K226)="",LOWER(TRIM($K226))="na"),IF(TRIM($G226)="","Unassigned",TRIM($G226)),TRIM($K226)))))</f>
        <v>Cyber Sec Ops</v>
      </c>
      <c r="AQ226" s="865" t="b">
        <f>IF(TRIM($B226)="","",--OR(TRIM($K226)="Leadership",TRIM($J226)="Leadership"))</f>
        <v>0</v>
      </c>
      <c r="AR226" s="1136" t="str">
        <f>IF(TRIM($B226)="","",IF(IFERROR(INDEX(Lists!$AQ$2:$AQ$11,MATCH(ROW(),Lists!$AN$2:$AN$11,0)),"")&lt;&gt;"",IFERROR(INDEX(Lists!$AQ$2:$AQ$11,MATCH(ROW(),Lists!$AN$2:$AN$11,0)),""),IF(ISNUMBER(SEARCH("head of ",$C226)),"Head of Technology",IF(ISNUMBER(SEARCH("TDD BP",$C226)),"Business Partner",IF(OR(ISNUMBER(SEARCH("domain architect",$C226)),ISNUMBER(SEARCH("enterprise architect",$C226))),"Domain Architect",IF(ISNUMBER(SEARCH("delivery man",$C226)),"Delivery Manager",IF(OR(ISNUMBER(SEARCH("technology manager",$C226)),ISNUMBER(SEARCH("technology manger",$C226)),ISNUMBER(SEARCH("tech manager",$C226))),"Technology Manager","Squad")))))))</f>
        <v>Squad</v>
      </c>
      <c r="AS226" s="1136" t="str">
        <f>IF(TRIM($B226)="","",IFERROR(INDEX(Lists!$AA:$AA,MATCH($AP226,Lists!$Z:$Z,0)),$AP226))</f>
        <v>Cyber Sec Ops</v>
      </c>
      <c r="AT226" s="1136" t="str">
        <f>IF(TRIM($B226)="","",IF(IFERROR(INDEX(Lists!$AP$2:$AP$11,MATCH(ROW(),Lists!$AN$2:$AN$11,0)),"")&lt;&gt;"",IFERROR(INDEX(Lists!$AP$2:$AP$11,MATCH(ROW(),Lists!$AN$2:$AN$11,0)),""),IF(OR(LEFT($AJ226,3)="COE",$AJ226="EGI"),$AP226,IF($AR226&lt;&gt;"Squad",$AR226,$AP226))))</f>
        <v>Cyber Sec Ops</v>
      </c>
    </row>
    <row r="227" ht="18" customHeight="1" s="866">
      <c r="A227" s="1155" t="n">
        <v>99999101346</v>
      </c>
      <c r="B227" s="1156" t="inlineStr">
        <is>
          <t>Shomiya Shayal</t>
        </is>
      </c>
      <c r="C227" s="1156" t="inlineStr">
        <is>
          <t>Risk &amp; Resilience Lead</t>
        </is>
      </c>
      <c r="D227" s="1156" t="inlineStr">
        <is>
          <t>Brian Gates</t>
        </is>
      </c>
      <c r="E227" s="1156" t="inlineStr">
        <is>
          <t xml:space="preserve">Manager Risk &amp; Resilience </t>
        </is>
      </c>
      <c r="F227" s="1156" t="inlineStr">
        <is>
          <t>Cyber, Risk &amp; Operations</t>
        </is>
      </c>
      <c r="G227" s="1158" t="inlineStr">
        <is>
          <t>Cyber Risk</t>
        </is>
      </c>
      <c r="H227" s="1156" t="inlineStr">
        <is>
          <t>NA</t>
        </is>
      </c>
      <c r="I227" s="1156" t="inlineStr">
        <is>
          <t>COE - Cyber, Risk &amp; Operations</t>
        </is>
      </c>
      <c r="J227" s="1156" t="inlineStr">
        <is>
          <t>NA</t>
        </is>
      </c>
      <c r="K227" s="1156" t="inlineStr">
        <is>
          <t>NA</t>
        </is>
      </c>
      <c r="L227" s="1156" t="n"/>
      <c r="M227" s="1159" t="inlineStr">
        <is>
          <t>NZ</t>
        </is>
      </c>
      <c r="N227" s="1160" t="inlineStr">
        <is>
          <t>CIC</t>
        </is>
      </c>
      <c r="O227" s="1161" t="n">
        <v>1</v>
      </c>
      <c r="P227" s="1160" t="n"/>
      <c r="Q227" s="1161" t="inlineStr">
        <is>
          <t>Permanent - Full Time</t>
        </is>
      </c>
      <c r="R227" s="1162" t="n"/>
      <c r="S227" s="1162" t="n"/>
      <c r="T227" s="1163" t="n">
        <v>164020</v>
      </c>
      <c r="U227" s="1164" t="n">
        <v>150898.4</v>
      </c>
      <c r="V227" s="1165" t="n">
        <v>0.15</v>
      </c>
      <c r="W227" s="1162" t="n"/>
      <c r="X227" s="1166" t="n">
        <v>0.05</v>
      </c>
      <c r="Y227" s="1907" t="n">
        <v>2910</v>
      </c>
      <c r="Z227" s="1166" t="n">
        <v>0.03</v>
      </c>
      <c r="AA227" s="1168">
        <f>IF(TRIM($B227)="","",IF(N($AU227)&gt;0,$AU227,IF(N($S227)&gt;0,$S227*Lists!$AG$15*(1+N($Z227)),N($U227)*(1+N($V227)+N($W227)+N($X227)+N($Z227))+N($Y227))))</f>
        <v>188515.032</v>
      </c>
      <c r="AB227" s="1202" t="n"/>
      <c r="AC227" s="1202" t="n"/>
      <c r="AJ227" s="865" t="str">
        <f>IF(TRIM($B227)="","",IF(IFERROR(INDEX(Lists!$AO$2:$AO$11,MATCH(ROW(),Lists!$AN$2:$AN$11,0)),"")&lt;&gt;"",IFERROR(INDEX(Lists!$AO$2:$AO$11,MATCH(ROW(),Lists!$AN$2:$AN$11,0)),""),IFERROR(INDEX(Lists!$U:$U,MATCH(TRIM($I227),Lists!$T:$T,0)),TRIM($I227))))</f>
        <v>COE Cyber</v>
      </c>
      <c r="AK227" s="865" t="str">
        <f>IF(ISNUMBER(SEARCH("vacant",$B227)),"Vacant","Filled")</f>
        <v>Filled</v>
      </c>
      <c r="AL227" s="865" t="str">
        <f>IF($M227="NZ","NZ","AU")</f>
        <v>NZ</v>
      </c>
      <c r="AM227" s="865">
        <f>COUNTIF($AJ$2:$AJ227,$AJ227)</f>
        <v>35</v>
      </c>
      <c r="AN227" s="865" t="str">
        <f>$AJ227&amp;"|"&amp;$AM227</f>
        <v>COE Cyber|35</v>
      </c>
      <c r="AP227" s="865" t="str">
        <f>IF(TRIM($B227)="","",IF($AQ227=1,"Leadership",IFERROR(INDEX(Lists!$X:$X,MATCH(TRIM($K227),Lists!$W:$W,0)),IF(OR(TRIM($K227)="",LOWER(TRIM($K227))="na"),IF(TRIM($G227)="","Unassigned",TRIM($G227)),TRIM($K227)))))</f>
        <v>Cyber Risk</v>
      </c>
      <c r="AQ227" s="865" t="b">
        <f>IF(TRIM($B227)="","",--OR(TRIM($K227)="Leadership",TRIM($J227)="Leadership"))</f>
        <v>0</v>
      </c>
      <c r="AR227" s="1136" t="str">
        <f>IF(TRIM($B227)="","",IF(IFERROR(INDEX(Lists!$AQ$2:$AQ$11,MATCH(ROW(),Lists!$AN$2:$AN$11,0)),"")&lt;&gt;"",IFERROR(INDEX(Lists!$AQ$2:$AQ$11,MATCH(ROW(),Lists!$AN$2:$AN$11,0)),""),IF(ISNUMBER(SEARCH("head of ",$C227)),"Head of Technology",IF(ISNUMBER(SEARCH("TDD BP",$C227)),"Business Partner",IF(OR(ISNUMBER(SEARCH("domain architect",$C227)),ISNUMBER(SEARCH("enterprise architect",$C227))),"Domain Architect",IF(ISNUMBER(SEARCH("delivery man",$C227)),"Delivery Manager",IF(OR(ISNUMBER(SEARCH("technology manager",$C227)),ISNUMBER(SEARCH("technology manger",$C227)),ISNUMBER(SEARCH("tech manager",$C227))),"Technology Manager","Squad")))))))</f>
        <v>Squad</v>
      </c>
      <c r="AS227" s="1136" t="str">
        <f>IF(TRIM($B227)="","",IFERROR(INDEX(Lists!$AA:$AA,MATCH($AP227,Lists!$Z:$Z,0)),$AP227))</f>
        <v>Cyber Risk</v>
      </c>
      <c r="AT227" s="1136" t="str">
        <f>IF(TRIM($B227)="","",IF(IFERROR(INDEX(Lists!$AP$2:$AP$11,MATCH(ROW(),Lists!$AN$2:$AN$11,0)),"")&lt;&gt;"",IFERROR(INDEX(Lists!$AP$2:$AP$11,MATCH(ROW(),Lists!$AN$2:$AN$11,0)),""),IF(OR(LEFT($AJ227,3)="COE",$AJ227="EGI"),$AP227,IF($AR227&lt;&gt;"Squad",$AR227,$AP227))))</f>
        <v>Cyber Risk</v>
      </c>
    </row>
    <row r="228" ht="18" customHeight="1" s="866">
      <c r="A228" s="1155" t="n">
        <v>104805</v>
      </c>
      <c r="B228" s="1156" t="inlineStr">
        <is>
          <t>Shruti Manchanda</t>
        </is>
      </c>
      <c r="C228" s="1156" t="inlineStr">
        <is>
          <t>Cyber GRC Analyst</t>
        </is>
      </c>
      <c r="D228" s="1156" t="inlineStr">
        <is>
          <t>Diya Thomas</t>
        </is>
      </c>
      <c r="E228" s="1156" t="n"/>
      <c r="F228" s="1156" t="inlineStr">
        <is>
          <t>Cyber, Risk &amp; Operations</t>
        </is>
      </c>
      <c r="G228" s="1158" t="inlineStr">
        <is>
          <t>Cyber GRC</t>
        </is>
      </c>
      <c r="H228" s="1156" t="inlineStr">
        <is>
          <t>NA</t>
        </is>
      </c>
      <c r="I228" s="1156" t="inlineStr">
        <is>
          <t>COE - Cyber, Risk &amp; Operations</t>
        </is>
      </c>
      <c r="J228" s="1156" t="inlineStr">
        <is>
          <t>NA</t>
        </is>
      </c>
      <c r="K228" s="1156" t="inlineStr">
        <is>
          <t>NA</t>
        </is>
      </c>
      <c r="L228" s="1156" t="n"/>
      <c r="M228" s="1159" t="inlineStr">
        <is>
          <t>Australia</t>
        </is>
      </c>
      <c r="N228" s="1160" t="inlineStr">
        <is>
          <t>CIB</t>
        </is>
      </c>
      <c r="O228" s="1160" t="n">
        <v>1</v>
      </c>
      <c r="P228" s="1160" t="n"/>
      <c r="Q228" s="1160" t="inlineStr">
        <is>
          <t>Permanent - Full Time</t>
        </is>
      </c>
      <c r="R228" s="1162" t="n"/>
      <c r="S228" s="1162" t="n"/>
      <c r="T228" s="1163" t="n">
        <v>171450</v>
      </c>
      <c r="U228" s="1164" t="n">
        <v>171450</v>
      </c>
      <c r="V228" s="1166" t="n">
        <v>0.12</v>
      </c>
      <c r="W228" s="1170" t="n">
        <v>0.055</v>
      </c>
      <c r="X228" s="1170" t="n">
        <v>0.12</v>
      </c>
      <c r="Y228" s="1171" t="n"/>
      <c r="Z228" s="1170" t="n">
        <v>0.04</v>
      </c>
      <c r="AA228" s="1168">
        <f>IF(TRIM($B228)="","",IF(N($AU228)&gt;0,$AU228,IF(N($S228)&gt;0,$S228*Lists!$AG$15*(1+N($Z228)),N($U228)*(1+N($V228)+N($W228)+N($X228)+N($Z228))+N($Y228))))</f>
        <v>228885.75</v>
      </c>
      <c r="AB228" s="1202" t="n"/>
      <c r="AC228" s="1202" t="n"/>
      <c r="AJ228" s="865" t="str">
        <f>IF(TRIM($B228)="","",IF(IFERROR(INDEX(Lists!$AO$2:$AO$11,MATCH(ROW(),Lists!$AN$2:$AN$11,0)),"")&lt;&gt;"",IFERROR(INDEX(Lists!$AO$2:$AO$11,MATCH(ROW(),Lists!$AN$2:$AN$11,0)),""),IFERROR(INDEX(Lists!$U:$U,MATCH(TRIM($I228),Lists!$T:$T,0)),TRIM($I228))))</f>
        <v>COE Cyber</v>
      </c>
      <c r="AK228" s="865" t="str">
        <f>IF(ISNUMBER(SEARCH("vacant",$B228)),"Vacant","Filled")</f>
        <v>Filled</v>
      </c>
      <c r="AL228" s="865" t="str">
        <f>IF($M228="NZ","NZ","AU")</f>
        <v>AU</v>
      </c>
      <c r="AM228" s="865">
        <f>COUNTIF($AJ$2:$AJ228,$AJ228)</f>
        <v>36</v>
      </c>
      <c r="AN228" s="865" t="str">
        <f>$AJ228&amp;"|"&amp;$AM228</f>
        <v>COE Cyber|36</v>
      </c>
      <c r="AP228" s="1136" t="str">
        <f>IF(TRIM($B228)="","",IF($AQ228=1,"Leadership",IFERROR(INDEX(Lists!$X:$X,MATCH(TRIM($K228),Lists!$W:$W,0)),IF(OR(TRIM($K228)="",LOWER(TRIM($K228))="na"),IF(TRIM($G228)="","Unassigned",TRIM($G228)),TRIM($K228)))))</f>
        <v>Cyber GRC</v>
      </c>
      <c r="AQ228" s="865" t="b">
        <f>IF(TRIM($B228)="","",--OR(TRIM($K228)="Leadership",TRIM($J228)="Leadership"))</f>
        <v>0</v>
      </c>
      <c r="AR228" s="1136" t="str">
        <f>IF(TRIM($B228)="","",IF(IFERROR(INDEX(Lists!$AQ$2:$AQ$11,MATCH(ROW(),Lists!$AN$2:$AN$11,0)),"")&lt;&gt;"",IFERROR(INDEX(Lists!$AQ$2:$AQ$11,MATCH(ROW(),Lists!$AN$2:$AN$11,0)),""),IF(ISNUMBER(SEARCH("head of ",$C228)),"Head of Technology",IF(ISNUMBER(SEARCH("TDD BP",$C228)),"Business Partner",IF(OR(ISNUMBER(SEARCH("domain architect",$C228)),ISNUMBER(SEARCH("enterprise architect",$C228))),"Domain Architect",IF(ISNUMBER(SEARCH("delivery man",$C228)),"Delivery Manager",IF(OR(ISNUMBER(SEARCH("technology manager",$C228)),ISNUMBER(SEARCH("technology manger",$C228)),ISNUMBER(SEARCH("tech manager",$C228))),"Technology Manager","Squad")))))))</f>
        <v>Squad</v>
      </c>
      <c r="AS228" s="1136" t="str">
        <f>IF(TRIM($B228)="","",IFERROR(INDEX(Lists!$AA:$AA,MATCH($AP228,Lists!$Z:$Z,0)),$AP228))</f>
        <v>Cyber GRC</v>
      </c>
      <c r="AT228" s="1136" t="str">
        <f>IF(TRIM($B228)="","",IF(IFERROR(INDEX(Lists!$AP$2:$AP$11,MATCH(ROW(),Lists!$AN$2:$AN$11,0)),"")&lt;&gt;"",IFERROR(INDEX(Lists!$AP$2:$AP$11,MATCH(ROW(),Lists!$AN$2:$AN$11,0)),""),IF(OR(LEFT($AJ228,3)="COE",$AJ228="EGI"),$AP228,IF($AR228&lt;&gt;"Squad",$AR228,$AP228))))</f>
        <v>Cyber GRC</v>
      </c>
    </row>
    <row r="229" ht="18" customHeight="1" s="866">
      <c r="A229" s="1155" t="n">
        <v>99999100770</v>
      </c>
      <c r="B229" s="1156" t="inlineStr">
        <is>
          <t>Spoilagi Bhutwala</t>
        </is>
      </c>
      <c r="C229" s="1156" t="inlineStr">
        <is>
          <t>Tech Support Technician</t>
        </is>
      </c>
      <c r="D229" s="1156" t="inlineStr">
        <is>
          <t>Mark Pearson</t>
        </is>
      </c>
      <c r="E229" s="1156" t="inlineStr">
        <is>
          <t xml:space="preserve">Lead Technology Support </t>
        </is>
      </c>
      <c r="F229" s="1156" t="inlineStr">
        <is>
          <t>Cyber, Risk &amp; Operations</t>
        </is>
      </c>
      <c r="G229" s="1158" t="inlineStr">
        <is>
          <t>Service Op &amp; Assurance</t>
        </is>
      </c>
      <c r="H229" s="1156" t="inlineStr">
        <is>
          <t>NA</t>
        </is>
      </c>
      <c r="I229" s="1156" t="inlineStr">
        <is>
          <t>COE - Cyber, Risk &amp; Operations</t>
        </is>
      </c>
      <c r="J229" s="1156" t="inlineStr">
        <is>
          <t>NA</t>
        </is>
      </c>
      <c r="K229" s="1156" t="inlineStr">
        <is>
          <t>NA</t>
        </is>
      </c>
      <c r="L229" s="1156" t="n"/>
      <c r="M229" s="1159" t="inlineStr">
        <is>
          <t>NZ</t>
        </is>
      </c>
      <c r="N229" s="1160" t="inlineStr">
        <is>
          <t>CDB</t>
        </is>
      </c>
      <c r="O229" s="1161" t="n">
        <v>1</v>
      </c>
      <c r="P229" s="1160" t="n"/>
      <c r="Q229" s="1161" t="inlineStr">
        <is>
          <t>Permanent - Full Time</t>
        </is>
      </c>
      <c r="R229" s="1162" t="n"/>
      <c r="S229" s="1162" t="n"/>
      <c r="T229" s="1163" t="n">
        <v>86890</v>
      </c>
      <c r="U229" s="1164" t="n">
        <v>79938.8</v>
      </c>
      <c r="V229" s="1165" t="n">
        <v>0.1</v>
      </c>
      <c r="W229" s="1162" t="n"/>
      <c r="X229" s="1166" t="n">
        <v>0.05</v>
      </c>
      <c r="Y229" s="1907" t="n">
        <v>2910</v>
      </c>
      <c r="Z229" s="1166" t="n">
        <v>0.03</v>
      </c>
      <c r="AA229" s="1168">
        <f>IF(TRIM($B229)="","",IF(N($AU229)&gt;0,$AU229,IF(N($S229)&gt;0,$S229*Lists!$AG$15*(1+N($Z229)),N($U229)*(1+N($V229)+N($W229)+N($X229)+N($Z229))+N($Y229))))</f>
        <v>97237.784</v>
      </c>
      <c r="AB229" s="1202" t="n"/>
      <c r="AC229" s="1202" t="n"/>
      <c r="AJ229" s="865" t="str">
        <f>IF(TRIM($B229)="","",IF(IFERROR(INDEX(Lists!$AO$2:$AO$11,MATCH(ROW(),Lists!$AN$2:$AN$11,0)),"")&lt;&gt;"",IFERROR(INDEX(Lists!$AO$2:$AO$11,MATCH(ROW(),Lists!$AN$2:$AN$11,0)),""),IFERROR(INDEX(Lists!$U:$U,MATCH(TRIM($I229),Lists!$T:$T,0)),TRIM($I229))))</f>
        <v>COE Cyber</v>
      </c>
      <c r="AK229" s="865" t="str">
        <f>IF(ISNUMBER(SEARCH("vacant",$B229)),"Vacant","Filled")</f>
        <v>Filled</v>
      </c>
      <c r="AL229" s="865" t="str">
        <f>IF($M229="NZ","NZ","AU")</f>
        <v>NZ</v>
      </c>
      <c r="AM229" s="865">
        <f>COUNTIF($AJ$2:$AJ229,$AJ229)</f>
        <v>37</v>
      </c>
      <c r="AN229" s="865" t="str">
        <f>$AJ229&amp;"|"&amp;$AM229</f>
        <v>COE Cyber|37</v>
      </c>
      <c r="AP229" s="865" t="str">
        <f>IF(TRIM($B229)="","",IF($AQ229=1,"Leadership",IFERROR(INDEX(Lists!$X:$X,MATCH(TRIM($K229),Lists!$W:$W,0)),IF(OR(TRIM($K229)="",LOWER(TRIM($K229))="na"),IF(TRIM($G229)="","Unassigned",TRIM($G229)),TRIM($K229)))))</f>
        <v>Service Op &amp; Assurance</v>
      </c>
      <c r="AQ229" s="865" t="b">
        <f>IF(TRIM($B229)="","",--OR(TRIM($K229)="Leadership",TRIM($J229)="Leadership"))</f>
        <v>0</v>
      </c>
      <c r="AR229" s="1136" t="str">
        <f>IF(TRIM($B229)="","",IF(IFERROR(INDEX(Lists!$AQ$2:$AQ$11,MATCH(ROW(),Lists!$AN$2:$AN$11,0)),"")&lt;&gt;"",IFERROR(INDEX(Lists!$AQ$2:$AQ$11,MATCH(ROW(),Lists!$AN$2:$AN$11,0)),""),IF(ISNUMBER(SEARCH("head of ",$C229)),"Head of Technology",IF(ISNUMBER(SEARCH("TDD BP",$C229)),"Business Partner",IF(OR(ISNUMBER(SEARCH("domain architect",$C229)),ISNUMBER(SEARCH("enterprise architect",$C229))),"Domain Architect",IF(ISNUMBER(SEARCH("delivery man",$C229)),"Delivery Manager",IF(OR(ISNUMBER(SEARCH("technology manager",$C229)),ISNUMBER(SEARCH("technology manger",$C229)),ISNUMBER(SEARCH("tech manager",$C229))),"Technology Manager","Squad")))))))</f>
        <v>Squad</v>
      </c>
      <c r="AS229" s="1136" t="str">
        <f>IF(TRIM($B229)="","",IFERROR(INDEX(Lists!$AA:$AA,MATCH($AP229,Lists!$Z:$Z,0)),$AP229))</f>
        <v>Service Op &amp; Assurance</v>
      </c>
      <c r="AT229" s="1136" t="str">
        <f>IF(TRIM($B229)="","",IF(IFERROR(INDEX(Lists!$AP$2:$AP$11,MATCH(ROW(),Lists!$AN$2:$AN$11,0)),"")&lt;&gt;"",IFERROR(INDEX(Lists!$AP$2:$AP$11,MATCH(ROW(),Lists!$AN$2:$AN$11,0)),""),IF(OR(LEFT($AJ229,3)="COE",$AJ229="EGI"),$AP229,IF($AR229&lt;&gt;"Squad",$AR229,$AP229))))</f>
        <v>Service Op &amp; Assurance</v>
      </c>
    </row>
    <row r="230" ht="18" customHeight="1" s="866">
      <c r="A230" s="1155" t="n">
        <v>98371</v>
      </c>
      <c r="B230" s="1156" t="inlineStr">
        <is>
          <t>Stafford Dowling</t>
        </is>
      </c>
      <c r="C230" s="1156" t="inlineStr">
        <is>
          <t>Cyber Security Analyst</t>
        </is>
      </c>
      <c r="D230" s="1156" t="inlineStr">
        <is>
          <t>Steven Atcheson</t>
        </is>
      </c>
      <c r="E230" s="1156" t="n"/>
      <c r="F230" s="1156" t="inlineStr">
        <is>
          <t>Cyber, Risk &amp; Operations</t>
        </is>
      </c>
      <c r="G230" s="1158" t="inlineStr">
        <is>
          <t>Cyber Sec Ops</t>
        </is>
      </c>
      <c r="H230" s="1156" t="inlineStr">
        <is>
          <t>NA</t>
        </is>
      </c>
      <c r="I230" s="1156" t="inlineStr">
        <is>
          <t>COE - Cyber, Risk &amp; Operations</t>
        </is>
      </c>
      <c r="J230" s="1156" t="inlineStr">
        <is>
          <t>NA</t>
        </is>
      </c>
      <c r="K230" s="1156" t="inlineStr">
        <is>
          <t>NA</t>
        </is>
      </c>
      <c r="L230" s="1156" t="n"/>
      <c r="M230" s="1159" t="inlineStr">
        <is>
          <t>Australia</t>
        </is>
      </c>
      <c r="N230" s="1160" t="inlineStr">
        <is>
          <t>CIB</t>
        </is>
      </c>
      <c r="O230" s="1160" t="n">
        <v>1</v>
      </c>
      <c r="P230" s="1160" t="n"/>
      <c r="Q230" s="1160" t="inlineStr">
        <is>
          <t>Permanent - Full Time</t>
        </is>
      </c>
      <c r="R230" s="1162" t="n"/>
      <c r="S230" s="1162" t="n"/>
      <c r="T230" s="1163" t="n">
        <v>163830</v>
      </c>
      <c r="U230" s="1164" t="n">
        <v>163830</v>
      </c>
      <c r="V230" s="1166" t="n">
        <v>0.12</v>
      </c>
      <c r="W230" s="1170" t="n">
        <v>0.055</v>
      </c>
      <c r="X230" s="1170" t="n">
        <v>0.12</v>
      </c>
      <c r="Y230" s="1171" t="n"/>
      <c r="Z230" s="1170" t="n">
        <v>0.04</v>
      </c>
      <c r="AA230" s="1168">
        <f>IF(TRIM($B230)="","",IF(N($AU230)&gt;0,$AU230,IF(N($S230)&gt;0,$S230*Lists!$AG$15*(1+N($Z230)),N($U230)*(1+N($V230)+N($W230)+N($X230)+N($Z230))+N($Y230))))</f>
        <v>218713.05</v>
      </c>
      <c r="AB230" s="1202" t="n"/>
      <c r="AC230" s="1202" t="n"/>
      <c r="AJ230" s="865" t="str">
        <f>IF(TRIM($B230)="","",IF(IFERROR(INDEX(Lists!$AO$2:$AO$11,MATCH(ROW(),Lists!$AN$2:$AN$11,0)),"")&lt;&gt;"",IFERROR(INDEX(Lists!$AO$2:$AO$11,MATCH(ROW(),Lists!$AN$2:$AN$11,0)),""),IFERROR(INDEX(Lists!$U:$U,MATCH(TRIM($I230),Lists!$T:$T,0)),TRIM($I230))))</f>
        <v>COE Cyber</v>
      </c>
      <c r="AK230" s="865" t="str">
        <f>IF(ISNUMBER(SEARCH("vacant",$B230)),"Vacant","Filled")</f>
        <v>Filled</v>
      </c>
      <c r="AL230" s="865" t="str">
        <f>IF($M230="NZ","NZ","AU")</f>
        <v>AU</v>
      </c>
      <c r="AM230" s="865">
        <f>COUNTIF($AJ$2:$AJ230,$AJ230)</f>
        <v>38</v>
      </c>
      <c r="AN230" s="865" t="str">
        <f>$AJ230&amp;"|"&amp;$AM230</f>
        <v>COE Cyber|38</v>
      </c>
      <c r="AP230" s="865" t="str">
        <f>IF(TRIM($B230)="","",IF($AQ230=1,"Leadership",IFERROR(INDEX(Lists!$X:$X,MATCH(TRIM($K230),Lists!$W:$W,0)),IF(OR(TRIM($K230)="",LOWER(TRIM($K230))="na"),IF(TRIM($G230)="","Unassigned",TRIM($G230)),TRIM($K230)))))</f>
        <v>Cyber Sec Ops</v>
      </c>
      <c r="AQ230" s="865" t="b">
        <f>IF(TRIM($B230)="","",--OR(TRIM($K230)="Leadership",TRIM($J230)="Leadership"))</f>
        <v>0</v>
      </c>
      <c r="AR230" s="1136" t="str">
        <f>IF(TRIM($B230)="","",IF(IFERROR(INDEX(Lists!$AQ$2:$AQ$11,MATCH(ROW(),Lists!$AN$2:$AN$11,0)),"")&lt;&gt;"",IFERROR(INDEX(Lists!$AQ$2:$AQ$11,MATCH(ROW(),Lists!$AN$2:$AN$11,0)),""),IF(ISNUMBER(SEARCH("head of ",$C230)),"Head of Technology",IF(ISNUMBER(SEARCH("TDD BP",$C230)),"Business Partner",IF(OR(ISNUMBER(SEARCH("domain architect",$C230)),ISNUMBER(SEARCH("enterprise architect",$C230))),"Domain Architect",IF(ISNUMBER(SEARCH("delivery man",$C230)),"Delivery Manager",IF(OR(ISNUMBER(SEARCH("technology manager",$C230)),ISNUMBER(SEARCH("technology manger",$C230)),ISNUMBER(SEARCH("tech manager",$C230))),"Technology Manager","Squad")))))))</f>
        <v>Squad</v>
      </c>
      <c r="AS230" s="1136" t="str">
        <f>IF(TRIM($B230)="","",IFERROR(INDEX(Lists!$AA:$AA,MATCH($AP230,Lists!$Z:$Z,0)),$AP230))</f>
        <v>Cyber Sec Ops</v>
      </c>
      <c r="AT230" s="1136" t="str">
        <f>IF(TRIM($B230)="","",IF(IFERROR(INDEX(Lists!$AP$2:$AP$11,MATCH(ROW(),Lists!$AN$2:$AN$11,0)),"")&lt;&gt;"",IFERROR(INDEX(Lists!$AP$2:$AP$11,MATCH(ROW(),Lists!$AN$2:$AN$11,0)),""),IF(OR(LEFT($AJ230,3)="COE",$AJ230="EGI"),$AP230,IF($AR230&lt;&gt;"Squad",$AR230,$AP230))))</f>
        <v>Cyber Sec Ops</v>
      </c>
    </row>
    <row r="231" ht="18" customHeight="1" s="866">
      <c r="A231" s="1155" t="n">
        <v>101504</v>
      </c>
      <c r="B231" s="1156" t="inlineStr">
        <is>
          <t>Steven Atcheson</t>
        </is>
      </c>
      <c r="C231" s="1156" t="inlineStr">
        <is>
          <t>Manager Cyber Security Operations</t>
        </is>
      </c>
      <c r="D231" s="1156" t="inlineStr">
        <is>
          <t>Frances Bouzo</t>
        </is>
      </c>
      <c r="E231" s="1156" t="inlineStr">
        <is>
          <t xml:space="preserve">Manager, Risk &amp; Resilience </t>
        </is>
      </c>
      <c r="F231" s="1156" t="inlineStr">
        <is>
          <t>Cyber, Risk &amp; Operations</t>
        </is>
      </c>
      <c r="G231" s="1158" t="inlineStr">
        <is>
          <t>Cyber Sec Ops</t>
        </is>
      </c>
      <c r="H231" s="1156" t="inlineStr">
        <is>
          <t>NA</t>
        </is>
      </c>
      <c r="I231" s="1156" t="inlineStr">
        <is>
          <t>COE - Cyber, Risk &amp; Operations</t>
        </is>
      </c>
      <c r="J231" s="1156" t="inlineStr">
        <is>
          <t>NA</t>
        </is>
      </c>
      <c r="K231" s="1156" t="inlineStr">
        <is>
          <t>NA</t>
        </is>
      </c>
      <c r="L231" s="1156" t="n"/>
      <c r="M231" s="1159" t="inlineStr">
        <is>
          <t>Australia</t>
        </is>
      </c>
      <c r="N231" s="1160" t="inlineStr">
        <is>
          <t>CSB</t>
        </is>
      </c>
      <c r="O231" s="1160" t="n">
        <v>1</v>
      </c>
      <c r="P231" s="1160" t="n"/>
      <c r="Q231" s="1160" t="inlineStr">
        <is>
          <t>Permanent - Full Time</t>
        </is>
      </c>
      <c r="R231" s="1162" t="n"/>
      <c r="S231" s="1162" t="n"/>
      <c r="T231" s="1163" t="n">
        <v>233630</v>
      </c>
      <c r="U231" s="1164" t="n">
        <v>233630</v>
      </c>
      <c r="V231" s="1166" t="n">
        <v>0.14</v>
      </c>
      <c r="W231" s="1170" t="n">
        <v>0.055</v>
      </c>
      <c r="X231" s="1170" t="n">
        <v>0.12</v>
      </c>
      <c r="Y231" s="1171" t="n"/>
      <c r="Z231" s="1170" t="n">
        <v>0.04</v>
      </c>
      <c r="AA231" s="1168">
        <f>IF(TRIM($B231)="","",IF(N($AU231)&gt;0,$AU231,IF(N($S231)&gt;0,$S231*Lists!$AG$15*(1+N($Z231)),N($U231)*(1+N($V231)+N($W231)+N($X231)+N($Z231))+N($Y231))))</f>
        <v>316568.65</v>
      </c>
      <c r="AB231" s="1202" t="n"/>
      <c r="AC231" s="1202" t="n"/>
      <c r="AJ231" s="865" t="str">
        <f>IF(TRIM($B231)="","",IF(IFERROR(INDEX(Lists!$AO$2:$AO$11,MATCH(ROW(),Lists!$AN$2:$AN$11,0)),"")&lt;&gt;"",IFERROR(INDEX(Lists!$AO$2:$AO$11,MATCH(ROW(),Lists!$AN$2:$AN$11,0)),""),IFERROR(INDEX(Lists!$U:$U,MATCH(TRIM($I231),Lists!$T:$T,0)),TRIM($I231))))</f>
        <v>COE Cyber</v>
      </c>
      <c r="AK231" s="865" t="str">
        <f>IF(ISNUMBER(SEARCH("vacant",$B231)),"Vacant","Filled")</f>
        <v>Filled</v>
      </c>
      <c r="AL231" s="865" t="str">
        <f>IF($M231="NZ","NZ","AU")</f>
        <v>AU</v>
      </c>
      <c r="AM231" s="865">
        <f>COUNTIF($AJ$2:$AJ231,$AJ231)</f>
        <v>39</v>
      </c>
      <c r="AN231" s="865" t="str">
        <f>$AJ231&amp;"|"&amp;$AM231</f>
        <v>COE Cyber|39</v>
      </c>
      <c r="AP231" s="865" t="str">
        <f>IF(TRIM($B231)="","",IF($AQ231=1,"Leadership",IFERROR(INDEX(Lists!$X:$X,MATCH(TRIM($K231),Lists!$W:$W,0)),IF(OR(TRIM($K231)="",LOWER(TRIM($K231))="na"),IF(TRIM($G231)="","Unassigned",TRIM($G231)),TRIM($K231)))))</f>
        <v>Cyber Sec Ops</v>
      </c>
      <c r="AQ231" s="865" t="b">
        <f>IF(TRIM($B231)="","",--OR(TRIM($K231)="Leadership",TRIM($J231)="Leadership"))</f>
        <v>0</v>
      </c>
      <c r="AR231" s="1136" t="str">
        <f>IF(TRIM($B231)="","",IF(IFERROR(INDEX(Lists!$AQ$2:$AQ$11,MATCH(ROW(),Lists!$AN$2:$AN$11,0)),"")&lt;&gt;"",IFERROR(INDEX(Lists!$AQ$2:$AQ$11,MATCH(ROW(),Lists!$AN$2:$AN$11,0)),""),IF(ISNUMBER(SEARCH("head of ",$C231)),"Head of Technology",IF(ISNUMBER(SEARCH("TDD BP",$C231)),"Business Partner",IF(OR(ISNUMBER(SEARCH("domain architect",$C231)),ISNUMBER(SEARCH("enterprise architect",$C231))),"Domain Architect",IF(ISNUMBER(SEARCH("delivery man",$C231)),"Delivery Manager",IF(OR(ISNUMBER(SEARCH("technology manager",$C231)),ISNUMBER(SEARCH("technology manger",$C231)),ISNUMBER(SEARCH("tech manager",$C231))),"Technology Manager","Squad")))))))</f>
        <v>Squad</v>
      </c>
      <c r="AS231" s="1136" t="str">
        <f>IF(TRIM($B231)="","",IFERROR(INDEX(Lists!$AA:$AA,MATCH($AP231,Lists!$Z:$Z,0)),$AP231))</f>
        <v>Cyber Sec Ops</v>
      </c>
      <c r="AT231" s="1136" t="str">
        <f>IF(TRIM($B231)="","",IF(IFERROR(INDEX(Lists!$AP$2:$AP$11,MATCH(ROW(),Lists!$AN$2:$AN$11,0)),"")&lt;&gt;"",IFERROR(INDEX(Lists!$AP$2:$AP$11,MATCH(ROW(),Lists!$AN$2:$AN$11,0)),""),IF(OR(LEFT($AJ231,3)="COE",$AJ231="EGI"),$AP231,IF($AR231&lt;&gt;"Squad",$AR231,$AP231))))</f>
        <v>Cyber Sec Ops</v>
      </c>
    </row>
    <row r="232" ht="18" customHeight="1" s="866">
      <c r="A232" s="1155" t="n">
        <v>114383</v>
      </c>
      <c r="B232" s="1156" t="inlineStr">
        <is>
          <t>Tony Keeler</t>
        </is>
      </c>
      <c r="C232" s="1156" t="inlineStr">
        <is>
          <t>Cyber Business Analyst</t>
        </is>
      </c>
      <c r="D232" s="1156" t="inlineStr">
        <is>
          <t>Vivienne Vasak</t>
        </is>
      </c>
      <c r="E232" s="1156" t="inlineStr">
        <is>
          <t xml:space="preserve">Portfolio Manger Cyber Security </t>
        </is>
      </c>
      <c r="F232" s="1156" t="inlineStr">
        <is>
          <t>Cyber, Risk &amp; Operations</t>
        </is>
      </c>
      <c r="G232" s="1158" t="inlineStr">
        <is>
          <t>Cyber Strat &amp; Tech</t>
        </is>
      </c>
      <c r="H232" s="1156" t="inlineStr">
        <is>
          <t>NA</t>
        </is>
      </c>
      <c r="I232" s="1156" t="inlineStr">
        <is>
          <t>COE - Cyber, Risk &amp; Operations</t>
        </is>
      </c>
      <c r="J232" s="1156" t="inlineStr">
        <is>
          <t>NA</t>
        </is>
      </c>
      <c r="K232" s="1156" t="inlineStr">
        <is>
          <t>NA</t>
        </is>
      </c>
      <c r="L232" s="1156" t="n"/>
      <c r="M232" s="1159" t="inlineStr">
        <is>
          <t>Australia</t>
        </is>
      </c>
      <c r="N232" s="1160" t="inlineStr">
        <is>
          <t>CIB</t>
        </is>
      </c>
      <c r="O232" s="1160" t="n">
        <v>1</v>
      </c>
      <c r="P232" s="1160" t="n"/>
      <c r="Q232" s="1160" t="inlineStr">
        <is>
          <t>Permanent - Full Time</t>
        </is>
      </c>
      <c r="R232" s="1162" t="n"/>
      <c r="S232" s="1162" t="n"/>
      <c r="T232" s="1163" t="n">
        <v>160000</v>
      </c>
      <c r="U232" s="1164" t="n">
        <v>160000</v>
      </c>
      <c r="V232" s="1166" t="n">
        <v>0.12</v>
      </c>
      <c r="W232" s="1170" t="n">
        <v>0.055</v>
      </c>
      <c r="X232" s="1170" t="n">
        <v>0.12</v>
      </c>
      <c r="Y232" s="1171" t="n"/>
      <c r="Z232" s="1170" t="n">
        <v>0.04</v>
      </c>
      <c r="AA232" s="1168">
        <f>IF(TRIM($B232)="","",IF(N($AU232)&gt;0,$AU232,IF(N($S232)&gt;0,$S232*Lists!$AG$15*(1+N($Z232)),N($U232)*(1+N($V232)+N($W232)+N($X232)+N($Z232))+N($Y232))))</f>
        <v>213600</v>
      </c>
      <c r="AB232" s="1202" t="n"/>
      <c r="AC232" s="1202" t="n"/>
      <c r="AJ232" s="865" t="str">
        <f>IF(TRIM($B232)="","",IF(IFERROR(INDEX(Lists!$AO$2:$AO$11,MATCH(ROW(),Lists!$AN$2:$AN$11,0)),"")&lt;&gt;"",IFERROR(INDEX(Lists!$AO$2:$AO$11,MATCH(ROW(),Lists!$AN$2:$AN$11,0)),""),IFERROR(INDEX(Lists!$U:$U,MATCH(TRIM($I232),Lists!$T:$T,0)),TRIM($I232))))</f>
        <v>COE Cyber</v>
      </c>
      <c r="AK232" s="865" t="str">
        <f>IF(ISNUMBER(SEARCH("vacant",$B232)),"Vacant","Filled")</f>
        <v>Filled</v>
      </c>
      <c r="AL232" s="865" t="str">
        <f>IF($M232="NZ","NZ","AU")</f>
        <v>AU</v>
      </c>
      <c r="AM232" s="865">
        <f>COUNTIF($AJ$2:$AJ232,$AJ232)</f>
        <v>40</v>
      </c>
      <c r="AN232" s="865" t="str">
        <f>$AJ232&amp;"|"&amp;$AM232</f>
        <v>COE Cyber|40</v>
      </c>
      <c r="AP232" s="865" t="str">
        <f>IF(TRIM($B232)="","",IF($AQ232=1,"Leadership",IFERROR(INDEX(Lists!$X:$X,MATCH(TRIM($K232),Lists!$W:$W,0)),IF(OR(TRIM($K232)="",LOWER(TRIM($K232))="na"),IF(TRIM($G232)="","Unassigned",TRIM($G232)),TRIM($K232)))))</f>
        <v>Cyber Strat &amp; Tech</v>
      </c>
      <c r="AQ232" s="865" t="b">
        <f>IF(TRIM($B232)="","",--OR(TRIM($K232)="Leadership",TRIM($J232)="Leadership"))</f>
        <v>0</v>
      </c>
      <c r="AR232" s="1136" t="str">
        <f>IF(TRIM($B232)="","",IF(IFERROR(INDEX(Lists!$AQ$2:$AQ$11,MATCH(ROW(),Lists!$AN$2:$AN$11,0)),"")&lt;&gt;"",IFERROR(INDEX(Lists!$AQ$2:$AQ$11,MATCH(ROW(),Lists!$AN$2:$AN$11,0)),""),IF(ISNUMBER(SEARCH("head of ",$C232)),"Head of Technology",IF(ISNUMBER(SEARCH("TDD BP",$C232)),"Business Partner",IF(OR(ISNUMBER(SEARCH("domain architect",$C232)),ISNUMBER(SEARCH("enterprise architect",$C232))),"Domain Architect",IF(ISNUMBER(SEARCH("delivery man",$C232)),"Delivery Manager",IF(OR(ISNUMBER(SEARCH("technology manager",$C232)),ISNUMBER(SEARCH("technology manger",$C232)),ISNUMBER(SEARCH("tech manager",$C232))),"Technology Manager","Squad")))))))</f>
        <v>Squad</v>
      </c>
      <c r="AS232" s="1136" t="str">
        <f>IF(TRIM($B232)="","",IFERROR(INDEX(Lists!$AA:$AA,MATCH($AP232,Lists!$Z:$Z,0)),$AP232))</f>
        <v>Cyber Strat &amp; Tech</v>
      </c>
      <c r="AT232" s="1136" t="str">
        <f>IF(TRIM($B232)="","",IF(IFERROR(INDEX(Lists!$AP$2:$AP$11,MATCH(ROW(),Lists!$AN$2:$AN$11,0)),"")&lt;&gt;"",IFERROR(INDEX(Lists!$AP$2:$AP$11,MATCH(ROW(),Lists!$AN$2:$AN$11,0)),""),IF(OR(LEFT($AJ232,3)="COE",$AJ232="EGI"),$AP232,IF($AR232&lt;&gt;"Squad",$AR232,$AP232))))</f>
        <v>Cyber Strat &amp; Tech</v>
      </c>
    </row>
    <row r="233" ht="18" customHeight="1" s="866">
      <c r="A233" s="1155" t="inlineStr">
        <is>
          <t>V</t>
        </is>
      </c>
      <c r="B233" s="1156" t="inlineStr">
        <is>
          <t>Vacant</t>
        </is>
      </c>
      <c r="C233" s="1156" t="inlineStr">
        <is>
          <t>Lead - Problem Management</t>
        </is>
      </c>
      <c r="D233" s="1156" t="inlineStr">
        <is>
          <t>Darren Koller</t>
        </is>
      </c>
      <c r="E233" s="1156" t="inlineStr">
        <is>
          <t>Manager Cyber Security GRC</t>
        </is>
      </c>
      <c r="F233" s="1156" t="inlineStr">
        <is>
          <t>Cyber, Risk &amp; Operations</t>
        </is>
      </c>
      <c r="G233" s="1158" t="inlineStr">
        <is>
          <t>Service Op &amp; Assurance</t>
        </is>
      </c>
      <c r="H233" s="1156" t="inlineStr">
        <is>
          <t>NA</t>
        </is>
      </c>
      <c r="I233" s="1156" t="inlineStr">
        <is>
          <t>COE - Cyber, Risk &amp; Operations</t>
        </is>
      </c>
      <c r="J233" s="1202" t="inlineStr">
        <is>
          <t>NA</t>
        </is>
      </c>
      <c r="K233" s="1156" t="inlineStr">
        <is>
          <t>NA</t>
        </is>
      </c>
      <c r="L233" s="1156" t="n"/>
      <c r="M233" s="1159" t="inlineStr">
        <is>
          <t>Australia</t>
        </is>
      </c>
      <c r="N233" s="1160" t="inlineStr">
        <is>
          <t>CIA</t>
        </is>
      </c>
      <c r="O233" s="1160" t="n">
        <v>1</v>
      </c>
      <c r="P233" s="1160" t="n"/>
      <c r="Q233" s="1160" t="inlineStr">
        <is>
          <t>v</t>
        </is>
      </c>
      <c r="R233" s="1162" t="n"/>
      <c r="S233" s="1162" t="n"/>
      <c r="T233" s="1163" t="n">
        <v>129650</v>
      </c>
      <c r="U233" s="1164" t="n">
        <v>129650</v>
      </c>
      <c r="V233" s="1166" t="n">
        <v>0.1</v>
      </c>
      <c r="W233" s="1170" t="n">
        <v>0.055</v>
      </c>
      <c r="X233" s="1170" t="n">
        <v>0.12</v>
      </c>
      <c r="Y233" s="1171" t="n"/>
      <c r="Z233" s="1170" t="n">
        <v>0.04</v>
      </c>
      <c r="AA233" s="1168">
        <f>IF(TRIM($B233)="","",IF(N($AU233)&gt;0,$AU233,IF(N($S233)&gt;0,$S233*Lists!$AG$15*(1+N($Z233)),N($U233)*(1+N($V233)+N($W233)+N($X233)+N($Z233))+N($Y233))))</f>
        <v>170489.75</v>
      </c>
      <c r="AB233" s="1202" t="n"/>
      <c r="AC233" s="1202" t="inlineStr">
        <is>
          <t xml:space="preserve">Role needed and is being repurposed to provide Retail Support </t>
        </is>
      </c>
      <c r="AJ233" s="865" t="str">
        <f>IF(TRIM($B233)="","",IF(IFERROR(INDEX(Lists!$AO$2:$AO$11,MATCH(ROW(),Lists!$AN$2:$AN$11,0)),"")&lt;&gt;"",IFERROR(INDEX(Lists!$AO$2:$AO$11,MATCH(ROW(),Lists!$AN$2:$AN$11,0)),""),IFERROR(INDEX(Lists!$U:$U,MATCH(TRIM($I233),Lists!$T:$T,0)),TRIM($I233))))</f>
        <v>COE Cyber</v>
      </c>
      <c r="AK233" s="865" t="str">
        <f>IF(ISNUMBER(SEARCH("vacant",$B233)),"Vacant","Filled")</f>
        <v>Vacant</v>
      </c>
      <c r="AL233" s="865" t="str">
        <f>IF($M233="NZ","NZ","AU")</f>
        <v>AU</v>
      </c>
      <c r="AM233" s="865">
        <f>COUNTIF($AJ$2:$AJ233,$AJ233)</f>
        <v>41</v>
      </c>
      <c r="AN233" s="865" t="str">
        <f>$AJ233&amp;"|"&amp;$AM233</f>
        <v>COE Cyber|41</v>
      </c>
      <c r="AP233" s="865" t="str">
        <f>IF(TRIM($B233)="","",IF($AQ233=1,"Leadership",IFERROR(INDEX(Lists!$X:$X,MATCH(TRIM($K233),Lists!$W:$W,0)),IF(OR(TRIM($K233)="",LOWER(TRIM($K233))="na"),IF(TRIM($G233)="","Unassigned",TRIM($G233)),TRIM($K233)))))</f>
        <v>Service Op &amp; Assurance</v>
      </c>
      <c r="AQ233" s="865" t="b">
        <f>IF(TRIM($B233)="","",--OR(TRIM($K233)="Leadership",TRIM($J233)="Leadership"))</f>
        <v>0</v>
      </c>
      <c r="AR233" s="1136" t="str">
        <f>IF(TRIM($B233)="","",IF(IFERROR(INDEX(Lists!$AQ$2:$AQ$11,MATCH(ROW(),Lists!$AN$2:$AN$11,0)),"")&lt;&gt;"",IFERROR(INDEX(Lists!$AQ$2:$AQ$11,MATCH(ROW(),Lists!$AN$2:$AN$11,0)),""),IF(ISNUMBER(SEARCH("head of ",$C233)),"Head of Technology",IF(ISNUMBER(SEARCH("TDD BP",$C233)),"Business Partner",IF(OR(ISNUMBER(SEARCH("domain architect",$C233)),ISNUMBER(SEARCH("enterprise architect",$C233))),"Domain Architect",IF(ISNUMBER(SEARCH("delivery man",$C233)),"Delivery Manager",IF(OR(ISNUMBER(SEARCH("technology manager",$C233)),ISNUMBER(SEARCH("technology manger",$C233)),ISNUMBER(SEARCH("tech manager",$C233))),"Technology Manager","Squad")))))))</f>
        <v>Squad</v>
      </c>
      <c r="AS233" s="1136" t="str">
        <f>IF(TRIM($B233)="","",IFERROR(INDEX(Lists!$AA:$AA,MATCH($AP233,Lists!$Z:$Z,0)),$AP233))</f>
        <v>Service Op &amp; Assurance</v>
      </c>
      <c r="AT233" s="1136" t="str">
        <f>IF(TRIM($B233)="","",IF(IFERROR(INDEX(Lists!$AP$2:$AP$11,MATCH(ROW(),Lists!$AN$2:$AN$11,0)),"")&lt;&gt;"",IFERROR(INDEX(Lists!$AP$2:$AP$11,MATCH(ROW(),Lists!$AN$2:$AN$11,0)),""),IF(OR(LEFT($AJ233,3)="COE",$AJ233="EGI"),$AP233,IF($AR233&lt;&gt;"Squad",$AR233,$AP233))))</f>
        <v>Service Op &amp; Assurance</v>
      </c>
    </row>
    <row r="234" ht="18" customHeight="1" s="866">
      <c r="A234" s="1155" t="inlineStr">
        <is>
          <t>V</t>
        </is>
      </c>
      <c r="B234" s="1156" t="inlineStr">
        <is>
          <t>Vacant</t>
        </is>
      </c>
      <c r="C234" s="1156" t="inlineStr">
        <is>
          <t>Lead - Asset &amp; Configuration</t>
        </is>
      </c>
      <c r="D234" s="1156" t="inlineStr">
        <is>
          <t>Mick Collins</t>
        </is>
      </c>
      <c r="E234" s="1156" t="inlineStr">
        <is>
          <t xml:space="preserve">Manager Cyber Security Operations </t>
        </is>
      </c>
      <c r="F234" s="1156" t="inlineStr">
        <is>
          <t>Cyber, Risk &amp; Operations</t>
        </is>
      </c>
      <c r="G234" s="1158" t="inlineStr">
        <is>
          <t>Service Op &amp; Assurance</t>
        </is>
      </c>
      <c r="H234" s="1156" t="inlineStr">
        <is>
          <t>NA</t>
        </is>
      </c>
      <c r="I234" s="1156" t="inlineStr">
        <is>
          <t>COE - Cyber, Risk &amp; Operations</t>
        </is>
      </c>
      <c r="J234" s="1202" t="inlineStr">
        <is>
          <t>NA</t>
        </is>
      </c>
      <c r="K234" s="1156" t="inlineStr">
        <is>
          <t>NA</t>
        </is>
      </c>
      <c r="L234" s="1156" t="n"/>
      <c r="M234" s="1159" t="inlineStr">
        <is>
          <t>Australia</t>
        </is>
      </c>
      <c r="N234" s="1160" t="inlineStr">
        <is>
          <t>CIB</t>
        </is>
      </c>
      <c r="O234" s="1160" t="n">
        <v>1</v>
      </c>
      <c r="P234" s="1160" t="n"/>
      <c r="Q234" s="1160" t="inlineStr">
        <is>
          <t>v</t>
        </is>
      </c>
      <c r="R234" s="1162" t="n"/>
      <c r="S234" s="1162" t="n"/>
      <c r="T234" s="1163" t="n">
        <v>151950</v>
      </c>
      <c r="U234" s="1164" t="n">
        <v>151950</v>
      </c>
      <c r="V234" s="1166" t="n">
        <v>0.12</v>
      </c>
      <c r="W234" s="1170" t="n">
        <v>0.055</v>
      </c>
      <c r="X234" s="1170" t="n">
        <v>0.12</v>
      </c>
      <c r="Y234" s="1171" t="n"/>
      <c r="Z234" s="1170" t="n">
        <v>0.04</v>
      </c>
      <c r="AA234" s="1168">
        <f>IF(TRIM($B234)="","",IF(N($AU234)&gt;0,$AU234,IF(N($S234)&gt;0,$S234*Lists!$AG$15*(1+N($Z234)),N($U234)*(1+N($V234)+N($W234)+N($X234)+N($Z234))+N($Y234))))</f>
        <v>202853.25</v>
      </c>
      <c r="AB234" s="1202" t="n"/>
      <c r="AC234" s="1202" t="n"/>
      <c r="AJ234" s="865" t="str">
        <f>IF(TRIM($B234)="","",IF(IFERROR(INDEX(Lists!$AO$2:$AO$11,MATCH(ROW(),Lists!$AN$2:$AN$11,0)),"")&lt;&gt;"",IFERROR(INDEX(Lists!$AO$2:$AO$11,MATCH(ROW(),Lists!$AN$2:$AN$11,0)),""),IFERROR(INDEX(Lists!$U:$U,MATCH(TRIM($I234),Lists!$T:$T,0)),TRIM($I234))))</f>
        <v>COE Cyber</v>
      </c>
      <c r="AK234" s="865" t="str">
        <f>IF(ISNUMBER(SEARCH("vacant",$B234)),"Vacant","Filled")</f>
        <v>Vacant</v>
      </c>
      <c r="AL234" s="865" t="str">
        <f>IF($M234="NZ","NZ","AU")</f>
        <v>AU</v>
      </c>
      <c r="AM234" s="865">
        <f>COUNTIF($AJ$2:$AJ234,$AJ234)</f>
        <v>42</v>
      </c>
      <c r="AN234" s="865" t="str">
        <f>$AJ234&amp;"|"&amp;$AM234</f>
        <v>COE Cyber|42</v>
      </c>
      <c r="AP234" s="865" t="str">
        <f>IF(TRIM($B234)="","",IF($AQ234=1,"Leadership",IFERROR(INDEX(Lists!$X:$X,MATCH(TRIM($K234),Lists!$W:$W,0)),IF(OR(TRIM($K234)="",LOWER(TRIM($K234))="na"),IF(TRIM($G234)="","Unassigned",TRIM($G234)),TRIM($K234)))))</f>
        <v>Service Op &amp; Assurance</v>
      </c>
      <c r="AQ234" s="865" t="b">
        <f>IF(TRIM($B234)="","",--OR(TRIM($K234)="Leadership",TRIM($J234)="Leadership"))</f>
        <v>0</v>
      </c>
      <c r="AR234" s="1136" t="str">
        <f>IF(TRIM($B234)="","",IF(IFERROR(INDEX(Lists!$AQ$2:$AQ$11,MATCH(ROW(),Lists!$AN$2:$AN$11,0)),"")&lt;&gt;"",IFERROR(INDEX(Lists!$AQ$2:$AQ$11,MATCH(ROW(),Lists!$AN$2:$AN$11,0)),""),IF(ISNUMBER(SEARCH("head of ",$C234)),"Head of Technology",IF(ISNUMBER(SEARCH("TDD BP",$C234)),"Business Partner",IF(OR(ISNUMBER(SEARCH("domain architect",$C234)),ISNUMBER(SEARCH("enterprise architect",$C234))),"Domain Architect",IF(ISNUMBER(SEARCH("delivery man",$C234)),"Delivery Manager",IF(OR(ISNUMBER(SEARCH("technology manager",$C234)),ISNUMBER(SEARCH("technology manger",$C234)),ISNUMBER(SEARCH("tech manager",$C234))),"Technology Manager","Squad")))))))</f>
        <v>Squad</v>
      </c>
      <c r="AS234" s="1136" t="str">
        <f>IF(TRIM($B234)="","",IFERROR(INDEX(Lists!$AA:$AA,MATCH($AP234,Lists!$Z:$Z,0)),$AP234))</f>
        <v>Service Op &amp; Assurance</v>
      </c>
      <c r="AT234" s="1136" t="str">
        <f>IF(TRIM($B234)="","",IF(IFERROR(INDEX(Lists!$AP$2:$AP$11,MATCH(ROW(),Lists!$AN$2:$AN$11,0)),"")&lt;&gt;"",IFERROR(INDEX(Lists!$AP$2:$AP$11,MATCH(ROW(),Lists!$AN$2:$AN$11,0)),""),IF(OR(LEFT($AJ234,3)="COE",$AJ234="EGI"),$AP234,IF($AR234&lt;&gt;"Squad",$AR234,$AP234))))</f>
        <v>Service Op &amp; Assurance</v>
      </c>
    </row>
    <row r="235" ht="18" customHeight="1" s="866">
      <c r="A235" s="1155" t="inlineStr">
        <is>
          <t>V</t>
        </is>
      </c>
      <c r="B235" s="1156" t="inlineStr">
        <is>
          <t>Vacant</t>
        </is>
      </c>
      <c r="C235" s="1156" t="inlineStr">
        <is>
          <t>Lead - Service Performance &amp; Insights</t>
        </is>
      </c>
      <c r="D235" s="1156" t="inlineStr">
        <is>
          <t>Mick Collins</t>
        </is>
      </c>
      <c r="E235" s="1156" t="inlineStr">
        <is>
          <t xml:space="preserve">Manager Identity &amp; Access Management </t>
        </is>
      </c>
      <c r="F235" s="1156" t="inlineStr">
        <is>
          <t>Cyber, Risk &amp; Operations</t>
        </is>
      </c>
      <c r="G235" s="1158" t="inlineStr">
        <is>
          <t>Service Op &amp; Assurance</t>
        </is>
      </c>
      <c r="H235" s="1156" t="inlineStr">
        <is>
          <t>NA</t>
        </is>
      </c>
      <c r="I235" s="1156" t="inlineStr">
        <is>
          <t>COE - Cyber, Risk &amp; Operations</t>
        </is>
      </c>
      <c r="J235" s="1202" t="inlineStr">
        <is>
          <t>NA</t>
        </is>
      </c>
      <c r="K235" s="1156" t="inlineStr">
        <is>
          <t>NA</t>
        </is>
      </c>
      <c r="L235" s="1156" t="n"/>
      <c r="M235" s="1159" t="inlineStr">
        <is>
          <t>Australia</t>
        </is>
      </c>
      <c r="N235" s="1160" t="inlineStr">
        <is>
          <t>CIB</t>
        </is>
      </c>
      <c r="O235" s="1160" t="n">
        <v>1</v>
      </c>
      <c r="P235" s="1160" t="n"/>
      <c r="Q235" s="1160" t="inlineStr">
        <is>
          <t>v</t>
        </is>
      </c>
      <c r="R235" s="1162" t="n"/>
      <c r="S235" s="1162" t="n"/>
      <c r="T235" s="1163" t="n">
        <v>151950</v>
      </c>
      <c r="U235" s="1164" t="n">
        <v>151950</v>
      </c>
      <c r="V235" s="1166" t="n">
        <v>0.12</v>
      </c>
      <c r="W235" s="1170" t="n">
        <v>0.055</v>
      </c>
      <c r="X235" s="1170" t="n">
        <v>0.12</v>
      </c>
      <c r="Y235" s="1171" t="n"/>
      <c r="Z235" s="1170" t="n">
        <v>0.04</v>
      </c>
      <c r="AA235" s="1168">
        <f>IF(TRIM($B235)="","",IF(N($AU235)&gt;0,$AU235,IF(N($S235)&gt;0,$S235*Lists!$AG$15*(1+N($Z235)),N($U235)*(1+N($V235)+N($W235)+N($X235)+N($Z235))+N($Y235))))</f>
        <v>202853.25</v>
      </c>
      <c r="AB235" s="1202" t="n"/>
      <c r="AC235" s="1202" t="n"/>
      <c r="AJ235" s="865" t="str">
        <f>IF(TRIM($B235)="","",IF(IFERROR(INDEX(Lists!$AO$2:$AO$11,MATCH(ROW(),Lists!$AN$2:$AN$11,0)),"")&lt;&gt;"",IFERROR(INDEX(Lists!$AO$2:$AO$11,MATCH(ROW(),Lists!$AN$2:$AN$11,0)),""),IFERROR(INDEX(Lists!$U:$U,MATCH(TRIM($I235),Lists!$T:$T,0)),TRIM($I235))))</f>
        <v>COE Cyber</v>
      </c>
      <c r="AK235" s="865" t="str">
        <f>IF(ISNUMBER(SEARCH("vacant",$B235)),"Vacant","Filled")</f>
        <v>Vacant</v>
      </c>
      <c r="AL235" s="865" t="str">
        <f>IF($M235="NZ","NZ","AU")</f>
        <v>AU</v>
      </c>
      <c r="AM235" s="865">
        <f>COUNTIF($AJ$2:$AJ235,$AJ235)</f>
        <v>43</v>
      </c>
      <c r="AN235" s="865" t="str">
        <f>$AJ235&amp;"|"&amp;$AM235</f>
        <v>COE Cyber|43</v>
      </c>
      <c r="AP235" s="865" t="str">
        <f>IF(TRIM($B235)="","",IF($AQ235=1,"Leadership",IFERROR(INDEX(Lists!$X:$X,MATCH(TRIM($K235),Lists!$W:$W,0)),IF(OR(TRIM($K235)="",LOWER(TRIM($K235))="na"),IF(TRIM($G235)="","Unassigned",TRIM($G235)),TRIM($K235)))))</f>
        <v>Service Op &amp; Assurance</v>
      </c>
      <c r="AQ235" s="865" t="b">
        <f>IF(TRIM($B235)="","",--OR(TRIM($K235)="Leadership",TRIM($J235)="Leadership"))</f>
        <v>0</v>
      </c>
      <c r="AR235" s="1136" t="str">
        <f>IF(TRIM($B235)="","",IF(IFERROR(INDEX(Lists!$AQ$2:$AQ$11,MATCH(ROW(),Lists!$AN$2:$AN$11,0)),"")&lt;&gt;"",IFERROR(INDEX(Lists!$AQ$2:$AQ$11,MATCH(ROW(),Lists!$AN$2:$AN$11,0)),""),IF(ISNUMBER(SEARCH("head of ",$C235)),"Head of Technology",IF(ISNUMBER(SEARCH("TDD BP",$C235)),"Business Partner",IF(OR(ISNUMBER(SEARCH("domain architect",$C235)),ISNUMBER(SEARCH("enterprise architect",$C235))),"Domain Architect",IF(ISNUMBER(SEARCH("delivery man",$C235)),"Delivery Manager",IF(OR(ISNUMBER(SEARCH("technology manager",$C235)),ISNUMBER(SEARCH("technology manger",$C235)),ISNUMBER(SEARCH("tech manager",$C235))),"Technology Manager","Squad")))))))</f>
        <v>Squad</v>
      </c>
      <c r="AS235" s="1136" t="str">
        <f>IF(TRIM($B235)="","",IFERROR(INDEX(Lists!$AA:$AA,MATCH($AP235,Lists!$Z:$Z,0)),$AP235))</f>
        <v>Service Op &amp; Assurance</v>
      </c>
      <c r="AT235" s="1136" t="str">
        <f>IF(TRIM($B235)="","",IF(IFERROR(INDEX(Lists!$AP$2:$AP$11,MATCH(ROW(),Lists!$AN$2:$AN$11,0)),"")&lt;&gt;"",IFERROR(INDEX(Lists!$AP$2:$AP$11,MATCH(ROW(),Lists!$AN$2:$AN$11,0)),""),IF(OR(LEFT($AJ235,3)="COE",$AJ235="EGI"),$AP235,IF($AR235&lt;&gt;"Squad",$AR235,$AP235))))</f>
        <v>Service Op &amp; Assurance</v>
      </c>
    </row>
    <row r="236" ht="18" customHeight="1" s="866">
      <c r="A236" s="1155" t="inlineStr">
        <is>
          <t>V</t>
        </is>
      </c>
      <c r="B236" s="1156" t="inlineStr">
        <is>
          <t>Vacant</t>
        </is>
      </c>
      <c r="C236" s="1156" t="inlineStr">
        <is>
          <t>Tech Support Technician</t>
        </is>
      </c>
      <c r="D236" s="1156" t="inlineStr">
        <is>
          <t>Mark Pearson</t>
        </is>
      </c>
      <c r="E236" s="1156" t="n"/>
      <c r="F236" s="1156" t="inlineStr">
        <is>
          <t>Cyber, Risk &amp; Operations</t>
        </is>
      </c>
      <c r="G236" s="1158" t="inlineStr">
        <is>
          <t>Service Op &amp; Assurance</t>
        </is>
      </c>
      <c r="H236" s="1156" t="inlineStr">
        <is>
          <t>NA</t>
        </is>
      </c>
      <c r="I236" s="1156" t="inlineStr">
        <is>
          <t>COE - Cyber, Risk &amp; Operations</t>
        </is>
      </c>
      <c r="J236" s="1156" t="inlineStr">
        <is>
          <t>NA</t>
        </is>
      </c>
      <c r="K236" s="1156" t="inlineStr">
        <is>
          <t>NA</t>
        </is>
      </c>
      <c r="L236" s="1156" t="n"/>
      <c r="M236" s="1159" t="inlineStr">
        <is>
          <t>Australia</t>
        </is>
      </c>
      <c r="N236" s="1160" t="inlineStr">
        <is>
          <t>CDB</t>
        </is>
      </c>
      <c r="O236" s="1160" t="n">
        <v>1</v>
      </c>
      <c r="P236" s="1160" t="n"/>
      <c r="Q236" s="1160" t="inlineStr">
        <is>
          <t>v</t>
        </is>
      </c>
      <c r="R236" s="1162" t="n"/>
      <c r="S236" s="1162" t="n"/>
      <c r="T236" s="1163" t="n">
        <v>94650</v>
      </c>
      <c r="U236" s="1164" t="n">
        <v>94650</v>
      </c>
      <c r="V236" s="1166" t="n">
        <v>0.08</v>
      </c>
      <c r="W236" s="1170" t="n">
        <v>0.055</v>
      </c>
      <c r="X236" s="1170" t="n">
        <v>0.12</v>
      </c>
      <c r="Y236" s="1171" t="n"/>
      <c r="Z236" s="1170" t="n">
        <v>0.04</v>
      </c>
      <c r="AA236" s="1168">
        <f>IF(TRIM($B236)="","",IF(N($AU236)&gt;0,$AU236,IF(N($S236)&gt;0,$S236*Lists!$AG$15*(1+N($Z236)),N($U236)*(1+N($V236)+N($W236)+N($X236)+N($Z236))+N($Y236))))</f>
        <v>122571.75</v>
      </c>
      <c r="AB236" s="1202" t="n"/>
      <c r="AC236" s="1202" t="inlineStr">
        <is>
          <t xml:space="preserve">Already being recruited </t>
        </is>
      </c>
      <c r="AJ236" s="865" t="str">
        <f>IF(TRIM($B236)="","",IF(IFERROR(INDEX(Lists!$AO$2:$AO$11,MATCH(ROW(),Lists!$AN$2:$AN$11,0)),"")&lt;&gt;"",IFERROR(INDEX(Lists!$AO$2:$AO$11,MATCH(ROW(),Lists!$AN$2:$AN$11,0)),""),IFERROR(INDEX(Lists!$U:$U,MATCH(TRIM($I236),Lists!$T:$T,0)),TRIM($I236))))</f>
        <v>COE Cyber</v>
      </c>
      <c r="AK236" s="865" t="str">
        <f>IF(ISNUMBER(SEARCH("vacant",$B236)),"Vacant","Filled")</f>
        <v>Vacant</v>
      </c>
      <c r="AL236" s="865" t="str">
        <f>IF($M236="NZ","NZ","AU")</f>
        <v>AU</v>
      </c>
      <c r="AM236" s="865">
        <f>COUNTIF($AJ$2:$AJ236,$AJ236)</f>
        <v>44</v>
      </c>
      <c r="AN236" s="865" t="str">
        <f>$AJ236&amp;"|"&amp;$AM236</f>
        <v>COE Cyber|44</v>
      </c>
      <c r="AP236" s="865" t="str">
        <f>IF(TRIM($B236)="","",IF($AQ236=1,"Leadership",IFERROR(INDEX(Lists!$X:$X,MATCH(TRIM($K236),Lists!$W:$W,0)),IF(OR(TRIM($K236)="",LOWER(TRIM($K236))="na"),IF(TRIM($G236)="","Unassigned",TRIM($G236)),TRIM($K236)))))</f>
        <v>Service Op &amp; Assurance</v>
      </c>
      <c r="AQ236" s="865" t="b">
        <f>IF(TRIM($B236)="","",--OR(TRIM($K236)="Leadership",TRIM($J236)="Leadership"))</f>
        <v>0</v>
      </c>
      <c r="AR236" s="1136" t="str">
        <f>IF(TRIM($B236)="","",IF(IFERROR(INDEX(Lists!$AQ$2:$AQ$11,MATCH(ROW(),Lists!$AN$2:$AN$11,0)),"")&lt;&gt;"",IFERROR(INDEX(Lists!$AQ$2:$AQ$11,MATCH(ROW(),Lists!$AN$2:$AN$11,0)),""),IF(ISNUMBER(SEARCH("head of ",$C236)),"Head of Technology",IF(ISNUMBER(SEARCH("TDD BP",$C236)),"Business Partner",IF(OR(ISNUMBER(SEARCH("domain architect",$C236)),ISNUMBER(SEARCH("enterprise architect",$C236))),"Domain Architect",IF(ISNUMBER(SEARCH("delivery man",$C236)),"Delivery Manager",IF(OR(ISNUMBER(SEARCH("technology manager",$C236)),ISNUMBER(SEARCH("technology manger",$C236)),ISNUMBER(SEARCH("tech manager",$C236))),"Technology Manager","Squad")))))))</f>
        <v>Squad</v>
      </c>
      <c r="AS236" s="1136" t="str">
        <f>IF(TRIM($B236)="","",IFERROR(INDEX(Lists!$AA:$AA,MATCH($AP236,Lists!$Z:$Z,0)),$AP236))</f>
        <v>Service Op &amp; Assurance</v>
      </c>
      <c r="AT236" s="1136" t="str">
        <f>IF(TRIM($B236)="","",IF(IFERROR(INDEX(Lists!$AP$2:$AP$11,MATCH(ROW(),Lists!$AN$2:$AN$11,0)),"")&lt;&gt;"",IFERROR(INDEX(Lists!$AP$2:$AP$11,MATCH(ROW(),Lists!$AN$2:$AN$11,0)),""),IF(OR(LEFT($AJ236,3)="COE",$AJ236="EGI"),$AP236,IF($AR236&lt;&gt;"Squad",$AR236,$AP236))))</f>
        <v>Service Op &amp; Assurance</v>
      </c>
    </row>
    <row r="237" ht="18" customHeight="1" s="866">
      <c r="A237" s="1155" t="n">
        <v>99999101697</v>
      </c>
      <c r="B237" s="1156" t="inlineStr">
        <is>
          <t>Vanessa Castro</t>
        </is>
      </c>
      <c r="C237" s="1156" t="inlineStr">
        <is>
          <t>Cyber GRC Analyst</t>
        </is>
      </c>
      <c r="D237" s="1156" t="inlineStr">
        <is>
          <t>Diya Thomas</t>
        </is>
      </c>
      <c r="E237" s="1156" t="n"/>
      <c r="F237" s="1156" t="inlineStr">
        <is>
          <t>Cyber, Risk &amp; Operations</t>
        </is>
      </c>
      <c r="G237" s="1158" t="inlineStr">
        <is>
          <t>Cyber GRC</t>
        </is>
      </c>
      <c r="H237" s="1156" t="inlineStr">
        <is>
          <t>NA</t>
        </is>
      </c>
      <c r="I237" s="1156" t="inlineStr">
        <is>
          <t>COE - Cyber, Risk &amp; Operations</t>
        </is>
      </c>
      <c r="J237" s="1156" t="inlineStr">
        <is>
          <t>NA</t>
        </is>
      </c>
      <c r="K237" s="1156" t="inlineStr">
        <is>
          <t>NA</t>
        </is>
      </c>
      <c r="L237" s="1156" t="n"/>
      <c r="M237" s="1159" t="inlineStr">
        <is>
          <t>NZ</t>
        </is>
      </c>
      <c r="N237" s="1160" t="inlineStr">
        <is>
          <t>CIA</t>
        </is>
      </c>
      <c r="O237" s="1161" t="n">
        <v>1</v>
      </c>
      <c r="P237" s="1160" t="n"/>
      <c r="Q237" s="1161" t="inlineStr">
        <is>
          <t>Permanent - Full Time</t>
        </is>
      </c>
      <c r="R237" s="1162" t="n"/>
      <c r="S237" s="1162" t="n"/>
      <c r="T237" s="1163" t="n">
        <v>113930</v>
      </c>
      <c r="U237" s="1164" t="n">
        <v>104815.6</v>
      </c>
      <c r="V237" s="1165" t="n">
        <v>0.15</v>
      </c>
      <c r="W237" s="1162" t="n"/>
      <c r="X237" s="1166" t="n">
        <v>0.05</v>
      </c>
      <c r="Y237" s="1907" t="n">
        <v>2910</v>
      </c>
      <c r="Z237" s="1166" t="n">
        <v>0.03</v>
      </c>
      <c r="AA237" s="1168">
        <f>IF(TRIM($B237)="","",IF(N($AU237)&gt;0,$AU237,IF(N($S237)&gt;0,$S237*Lists!$AG$15*(1+N($Z237)),N($U237)*(1+N($V237)+N($W237)+N($X237)+N($Z237))+N($Y237))))</f>
        <v>131833.188</v>
      </c>
      <c r="AB237" s="1202" t="n"/>
      <c r="AC237" s="1202" t="n"/>
      <c r="AJ237" s="865" t="str">
        <f>IF(TRIM($B237)="","",IF(IFERROR(INDEX(Lists!$AO$2:$AO$11,MATCH(ROW(),Lists!$AN$2:$AN$11,0)),"")&lt;&gt;"",IFERROR(INDEX(Lists!$AO$2:$AO$11,MATCH(ROW(),Lists!$AN$2:$AN$11,0)),""),IFERROR(INDEX(Lists!$U:$U,MATCH(TRIM($I237),Lists!$T:$T,0)),TRIM($I237))))</f>
        <v>COE Cyber</v>
      </c>
      <c r="AK237" s="865" t="str">
        <f>IF(ISNUMBER(SEARCH("vacant",$B237)),"Vacant","Filled")</f>
        <v>Filled</v>
      </c>
      <c r="AL237" s="865" t="str">
        <f>IF($M237="NZ","NZ","AU")</f>
        <v>NZ</v>
      </c>
      <c r="AM237" s="865">
        <f>COUNTIF($AJ$2:$AJ237,$AJ237)</f>
        <v>45</v>
      </c>
      <c r="AN237" s="865" t="str">
        <f>$AJ237&amp;"|"&amp;$AM237</f>
        <v>COE Cyber|45</v>
      </c>
      <c r="AP237" s="865" t="str">
        <f>IF(TRIM($B237)="","",IF($AQ237=1,"Leadership",IFERROR(INDEX(Lists!$X:$X,MATCH(TRIM($K237),Lists!$W:$W,0)),IF(OR(TRIM($K237)="",LOWER(TRIM($K237))="na"),IF(TRIM($G237)="","Unassigned",TRIM($G237)),TRIM($K237)))))</f>
        <v>Cyber GRC</v>
      </c>
      <c r="AQ237" s="865" t="b">
        <f>IF(TRIM($B237)="","",--OR(TRIM($K237)="Leadership",TRIM($J237)="Leadership"))</f>
        <v>0</v>
      </c>
      <c r="AR237" s="1136" t="str">
        <f>IF(TRIM($B237)="","",IF(IFERROR(INDEX(Lists!$AQ$2:$AQ$11,MATCH(ROW(),Lists!$AN$2:$AN$11,0)),"")&lt;&gt;"",IFERROR(INDEX(Lists!$AQ$2:$AQ$11,MATCH(ROW(),Lists!$AN$2:$AN$11,0)),""),IF(ISNUMBER(SEARCH("head of ",$C237)),"Head of Technology",IF(ISNUMBER(SEARCH("TDD BP",$C237)),"Business Partner",IF(OR(ISNUMBER(SEARCH("domain architect",$C237)),ISNUMBER(SEARCH("enterprise architect",$C237))),"Domain Architect",IF(ISNUMBER(SEARCH("delivery man",$C237)),"Delivery Manager",IF(OR(ISNUMBER(SEARCH("technology manager",$C237)),ISNUMBER(SEARCH("technology manger",$C237)),ISNUMBER(SEARCH("tech manager",$C237))),"Technology Manager","Squad")))))))</f>
        <v>Squad</v>
      </c>
      <c r="AS237" s="1136" t="str">
        <f>IF(TRIM($B237)="","",IFERROR(INDEX(Lists!$AA:$AA,MATCH($AP237,Lists!$Z:$Z,0)),$AP237))</f>
        <v>Cyber GRC</v>
      </c>
      <c r="AT237" s="1136" t="str">
        <f>IF(TRIM($B237)="","",IF(IFERROR(INDEX(Lists!$AP$2:$AP$11,MATCH(ROW(),Lists!$AN$2:$AN$11,0)),"")&lt;&gt;"",IFERROR(INDEX(Lists!$AP$2:$AP$11,MATCH(ROW(),Lists!$AN$2:$AN$11,0)),""),IF(OR(LEFT($AJ237,3)="COE",$AJ237="EGI"),$AP237,IF($AR237&lt;&gt;"Squad",$AR237,$AP237))))</f>
        <v>Cyber GRC</v>
      </c>
    </row>
    <row r="238" ht="18" customHeight="1" s="866">
      <c r="A238" s="1155" t="n">
        <v>101830</v>
      </c>
      <c r="B238" s="1156" t="inlineStr">
        <is>
          <t>Vivienne Vasak</t>
        </is>
      </c>
      <c r="C238" s="1156" t="inlineStr">
        <is>
          <t>Portfolio Manager Cyber Security</t>
        </is>
      </c>
      <c r="D238" s="1202" t="inlineStr">
        <is>
          <t>James Byrne</t>
        </is>
      </c>
      <c r="E238" s="1156" t="inlineStr">
        <is>
          <t xml:space="preserve">Manager Service Perforance &amp; Assurance </t>
        </is>
      </c>
      <c r="F238" s="1156" t="inlineStr">
        <is>
          <t>Cyber, Risk &amp; Operations</t>
        </is>
      </c>
      <c r="G238" s="1158" t="inlineStr">
        <is>
          <t>Cyber Strat &amp; Tech</t>
        </is>
      </c>
      <c r="H238" s="1156" t="inlineStr">
        <is>
          <t>NA</t>
        </is>
      </c>
      <c r="I238" s="1156" t="inlineStr">
        <is>
          <t>COE - Cyber, Risk &amp; Operations</t>
        </is>
      </c>
      <c r="J238" s="1156" t="inlineStr">
        <is>
          <t>NA</t>
        </is>
      </c>
      <c r="K238" s="1156" t="inlineStr">
        <is>
          <t>NA</t>
        </is>
      </c>
      <c r="L238" s="1156" t="n"/>
      <c r="M238" s="1159" t="inlineStr">
        <is>
          <t>Australia</t>
        </is>
      </c>
      <c r="N238" s="1160" t="inlineStr">
        <is>
          <t>CSB</t>
        </is>
      </c>
      <c r="O238" s="1160" t="n">
        <v>1</v>
      </c>
      <c r="P238" s="1160" t="n"/>
      <c r="Q238" s="1160" t="inlineStr">
        <is>
          <t>Permanent - Full Time</t>
        </is>
      </c>
      <c r="R238" s="1162" t="n"/>
      <c r="S238" s="1162" t="n"/>
      <c r="T238" s="1163" t="n">
        <v>232970</v>
      </c>
      <c r="U238" s="1164" t="n">
        <v>232970</v>
      </c>
      <c r="V238" s="1166" t="n">
        <v>0.14</v>
      </c>
      <c r="W238" s="1170" t="n">
        <v>0.055</v>
      </c>
      <c r="X238" s="1170" t="n">
        <v>0.12</v>
      </c>
      <c r="Y238" s="1171" t="n"/>
      <c r="Z238" s="1170" t="n">
        <v>0.04</v>
      </c>
      <c r="AA238" s="1168">
        <f>IF(TRIM($B238)="","",IF(N($AU238)&gt;0,$AU238,IF(N($S238)&gt;0,$S238*Lists!$AG$15*(1+N($Z238)),N($U238)*(1+N($V238)+N($W238)+N($X238)+N($Z238))+N($Y238))))</f>
        <v>315674.35</v>
      </c>
      <c r="AB238" s="1202" t="n"/>
      <c r="AC238" s="1202" t="n"/>
      <c r="AJ238" s="865" t="str">
        <f>IF(TRIM($B238)="","",IF(IFERROR(INDEX(Lists!$AO$2:$AO$11,MATCH(ROW(),Lists!$AN$2:$AN$11,0)),"")&lt;&gt;"",IFERROR(INDEX(Lists!$AO$2:$AO$11,MATCH(ROW(),Lists!$AN$2:$AN$11,0)),""),IFERROR(INDEX(Lists!$U:$U,MATCH(TRIM($I238),Lists!$T:$T,0)),TRIM($I238))))</f>
        <v>COE Cyber</v>
      </c>
      <c r="AK238" s="865" t="str">
        <f>IF(ISNUMBER(SEARCH("vacant",$B238)),"Vacant","Filled")</f>
        <v>Filled</v>
      </c>
      <c r="AL238" s="865" t="str">
        <f>IF($M238="NZ","NZ","AU")</f>
        <v>AU</v>
      </c>
      <c r="AM238" s="865">
        <f>COUNTIF($AJ$2:$AJ238,$AJ238)</f>
        <v>46</v>
      </c>
      <c r="AN238" s="865" t="str">
        <f>$AJ238&amp;"|"&amp;$AM238</f>
        <v>COE Cyber|46</v>
      </c>
      <c r="AP238" s="865" t="str">
        <f>IF(TRIM($B238)="","",IF($AQ238=1,"Leadership",IFERROR(INDEX(Lists!$X:$X,MATCH(TRIM($K238),Lists!$W:$W,0)),IF(OR(TRIM($K238)="",LOWER(TRIM($K238))="na"),IF(TRIM($G238)="","Unassigned",TRIM($G238)),TRIM($K238)))))</f>
        <v>Cyber Strat &amp; Tech</v>
      </c>
      <c r="AQ238" s="865" t="b">
        <f>IF(TRIM($B238)="","",--OR(TRIM($K238)="Leadership",TRIM($J238)="Leadership"))</f>
        <v>0</v>
      </c>
      <c r="AR238" s="1136" t="str">
        <f>IF(TRIM($B238)="","",IF(IFERROR(INDEX(Lists!$AQ$2:$AQ$11,MATCH(ROW(),Lists!$AN$2:$AN$11,0)),"")&lt;&gt;"",IFERROR(INDEX(Lists!$AQ$2:$AQ$11,MATCH(ROW(),Lists!$AN$2:$AN$11,0)),""),IF(ISNUMBER(SEARCH("head of ",$C238)),"Head of Technology",IF(ISNUMBER(SEARCH("TDD BP",$C238)),"Business Partner",IF(OR(ISNUMBER(SEARCH("domain architect",$C238)),ISNUMBER(SEARCH("enterprise architect",$C238))),"Domain Architect",IF(ISNUMBER(SEARCH("delivery man",$C238)),"Delivery Manager",IF(OR(ISNUMBER(SEARCH("technology manager",$C238)),ISNUMBER(SEARCH("technology manger",$C238)),ISNUMBER(SEARCH("tech manager",$C238))),"Technology Manager","Squad")))))))</f>
        <v>Squad</v>
      </c>
      <c r="AS238" s="1136" t="str">
        <f>IF(TRIM($B238)="","",IFERROR(INDEX(Lists!$AA:$AA,MATCH($AP238,Lists!$Z:$Z,0)),$AP238))</f>
        <v>Cyber Strat &amp; Tech</v>
      </c>
      <c r="AT238" s="1136" t="str">
        <f>IF(TRIM($B238)="","",IF(IFERROR(INDEX(Lists!$AP$2:$AP$11,MATCH(ROW(),Lists!$AN$2:$AN$11,0)),"")&lt;&gt;"",IFERROR(INDEX(Lists!$AP$2:$AP$11,MATCH(ROW(),Lists!$AN$2:$AN$11,0)),""),IF(OR(LEFT($AJ238,3)="COE",$AJ238="EGI"),$AP238,IF($AR238&lt;&gt;"Squad",$AR238,$AP238))))</f>
        <v>Cyber Strat &amp; Tech</v>
      </c>
    </row>
    <row r="239" ht="18" customHeight="1" s="866">
      <c r="A239" s="1235" t="inlineStr">
        <is>
          <t>C</t>
        </is>
      </c>
      <c r="B239" s="1236" t="inlineStr">
        <is>
          <t>Ahmed Yehya</t>
        </is>
      </c>
      <c r="C239" s="1237" t="inlineStr">
        <is>
          <t>TDD Strategic Delivery</t>
        </is>
      </c>
      <c r="D239" s="1236" t="inlineStr">
        <is>
          <t>Greg Cassis</t>
        </is>
      </c>
      <c r="E239" s="1238" t="inlineStr">
        <is>
          <t>GM TDD, EGI</t>
        </is>
      </c>
      <c r="F239" s="1236" t="inlineStr">
        <is>
          <t>EGI</t>
        </is>
      </c>
      <c r="G239" s="1238" t="inlineStr">
        <is>
          <t>EGI</t>
        </is>
      </c>
      <c r="H239" s="1238" t="inlineStr">
        <is>
          <t>EGI</t>
        </is>
      </c>
      <c r="I239" s="1238" t="inlineStr">
        <is>
          <t>EGI</t>
        </is>
      </c>
      <c r="J239" s="1238" t="inlineStr">
        <is>
          <t>EGI</t>
        </is>
      </c>
      <c r="K239" s="1238" t="inlineStr">
        <is>
          <t>EGI</t>
        </is>
      </c>
      <c r="L239" s="1238" t="n"/>
      <c r="M239" s="1239" t="inlineStr">
        <is>
          <t>Australia</t>
        </is>
      </c>
      <c r="N239" s="1240" t="inlineStr">
        <is>
          <t>na</t>
        </is>
      </c>
      <c r="O239" s="1240" t="n">
        <v>1</v>
      </c>
      <c r="P239" s="1240" t="n"/>
      <c r="Q239" s="1241" t="inlineStr">
        <is>
          <t>cxc</t>
        </is>
      </c>
      <c r="R239" s="1241" t="inlineStr">
        <is>
          <t>Daily</t>
        </is>
      </c>
      <c r="S239" s="1241" t="n">
        <v>1250</v>
      </c>
      <c r="T239" s="1242" t="n">
        <v>0</v>
      </c>
      <c r="U239" s="1243" t="n"/>
      <c r="V239" s="1244" t="n"/>
      <c r="W239" s="1245" t="n"/>
      <c r="X239" s="1245" t="n"/>
      <c r="Y239" s="1246" t="n"/>
      <c r="Z239" s="1245" t="n"/>
      <c r="AA239" s="1247">
        <f>IF(TRIM($B239)="","",IF(N($AU239)&gt;0,$AU239,IF(N($S239)&gt;0,$S239*Lists!$AG$15*(1+N($Z239)),N($U239)*(1+N($V239)+N($W239)+N($X239)+N($Z239))+N($Y239))))</f>
        <v>277500</v>
      </c>
      <c r="AH239" s="1908" t="n"/>
      <c r="AJ239" s="865" t="str">
        <f>IF(TRIM($B239)="","",IF(IFERROR(INDEX(Lists!$AO$2:$AO$11,MATCH(ROW(),Lists!$AN$2:$AN$11,0)),"")&lt;&gt;"",IFERROR(INDEX(Lists!$AO$2:$AO$11,MATCH(ROW(),Lists!$AN$2:$AN$11,0)),""),IFERROR(INDEX(Lists!$U:$U,MATCH(TRIM($I239),Lists!$T:$T,0)),TRIM($I239))))</f>
        <v>EGI</v>
      </c>
      <c r="AK239" s="865" t="str">
        <f>IF(ISNUMBER(SEARCH("vacant",$B239)),"Vacant","Filled")</f>
        <v>Filled</v>
      </c>
      <c r="AL239" s="865" t="str">
        <f>IF($M239="NZ","NZ","AU")</f>
        <v>AU</v>
      </c>
      <c r="AM239" s="865">
        <f>COUNTIF($AJ$2:$AJ239,$AJ239)</f>
        <v>1</v>
      </c>
      <c r="AN239" s="865" t="str">
        <f>$AJ239&amp;"|"&amp;$AM239</f>
        <v>EGI|1</v>
      </c>
      <c r="AP239" s="865" t="str">
        <f>IF(TRIM($B239)="","",IF($AQ239=1,"Leadership",IFERROR(INDEX(Lists!$X:$X,MATCH(TRIM($K239),Lists!$W:$W,0)),IF(OR(TRIM($K239)="",LOWER(TRIM($K239))="na"),IF(TRIM($G239)="","Unassigned",TRIM($G239)),TRIM($K239)))))</f>
        <v>EGI</v>
      </c>
      <c r="AQ239" s="865" t="b">
        <f>IF(TRIM($B239)="","",--OR(TRIM($K239)="Leadership",TRIM($J239)="Leadership"))</f>
        <v>0</v>
      </c>
      <c r="AR239" s="1136" t="str">
        <f>IF(TRIM($B239)="","",IF(IFERROR(INDEX(Lists!$AQ$2:$AQ$11,MATCH(ROW(),Lists!$AN$2:$AN$11,0)),"")&lt;&gt;"",IFERROR(INDEX(Lists!$AQ$2:$AQ$11,MATCH(ROW(),Lists!$AN$2:$AN$11,0)),""),IF(ISNUMBER(SEARCH("head of ",$C239)),"Head of Technology",IF(ISNUMBER(SEARCH("TDD BP",$C239)),"Business Partner",IF(OR(ISNUMBER(SEARCH("domain architect",$C239)),ISNUMBER(SEARCH("enterprise architect",$C239))),"Domain Architect",IF(ISNUMBER(SEARCH("delivery man",$C239)),"Delivery Manager",IF(OR(ISNUMBER(SEARCH("technology manager",$C239)),ISNUMBER(SEARCH("technology manger",$C239)),ISNUMBER(SEARCH("tech manager",$C239))),"Technology Manager","Squad")))))))</f>
        <v>Squad</v>
      </c>
      <c r="AS239" s="1136" t="str">
        <f>IF(TRIM($B239)="","",IFERROR(INDEX(Lists!$AA:$AA,MATCH($AP239,Lists!$Z:$Z,0)),$AP239))</f>
        <v>EGI</v>
      </c>
      <c r="AT239" s="1136" t="str">
        <f>IF(TRIM($B239)="","",IF(IFERROR(INDEX(Lists!$AP$2:$AP$11,MATCH(ROW(),Lists!$AN$2:$AN$11,0)),"")&lt;&gt;"",IFERROR(INDEX(Lists!$AP$2:$AP$11,MATCH(ROW(),Lists!$AN$2:$AN$11,0)),""),IF(OR(LEFT($AJ239,3)="COE",$AJ239="EGI"),$AP239,IF($AR239&lt;&gt;"Squad",$AR239,$AP239))))</f>
        <v>EGI</v>
      </c>
    </row>
    <row r="240" ht="18" customHeight="1" s="866">
      <c r="A240" s="1235" t="inlineStr">
        <is>
          <t>C</t>
        </is>
      </c>
      <c r="B240" s="1236" t="inlineStr">
        <is>
          <t>Anthony Huynh</t>
        </is>
      </c>
      <c r="C240" s="1237" t="inlineStr">
        <is>
          <t>Strategic Delivery Consultant</t>
        </is>
      </c>
      <c r="D240" s="1236" t="inlineStr">
        <is>
          <t>Greg Cassis</t>
        </is>
      </c>
      <c r="E240" s="1238" t="inlineStr">
        <is>
          <t>GM TDD, EGI</t>
        </is>
      </c>
      <c r="F240" s="1236" t="inlineStr">
        <is>
          <t>EGI</t>
        </is>
      </c>
      <c r="G240" s="1238" t="inlineStr">
        <is>
          <t>EGI</t>
        </is>
      </c>
      <c r="H240" s="1238" t="inlineStr">
        <is>
          <t>EGI</t>
        </is>
      </c>
      <c r="I240" s="1238" t="inlineStr">
        <is>
          <t>EGI</t>
        </is>
      </c>
      <c r="J240" s="1236" t="inlineStr">
        <is>
          <t>EGI</t>
        </is>
      </c>
      <c r="K240" s="1236" t="inlineStr">
        <is>
          <t>EGI</t>
        </is>
      </c>
      <c r="L240" s="1238" t="n"/>
      <c r="M240" s="1239" t="inlineStr">
        <is>
          <t>australia</t>
        </is>
      </c>
      <c r="N240" s="1240" t="inlineStr">
        <is>
          <t>NA</t>
        </is>
      </c>
      <c r="O240" s="1240" t="n">
        <v>1</v>
      </c>
      <c r="P240" s="1240" t="n"/>
      <c r="Q240" s="1241" t="inlineStr">
        <is>
          <t>cxc</t>
        </is>
      </c>
      <c r="R240" s="1241" t="inlineStr">
        <is>
          <t>daily</t>
        </is>
      </c>
      <c r="S240" s="1241" t="n">
        <v>1357</v>
      </c>
      <c r="T240" s="1242" t="n">
        <v>0</v>
      </c>
      <c r="U240" s="1243" t="n"/>
      <c r="V240" s="1244" t="n"/>
      <c r="W240" s="1245" t="n"/>
      <c r="X240" s="1245" t="n"/>
      <c r="Y240" s="1246" t="n"/>
      <c r="Z240" s="1245" t="n"/>
      <c r="AA240" s="1247">
        <f>IF(TRIM($B240)="","",IF(N($AU240)&gt;0,$AU240,IF(N($S240)&gt;0,$S240*Lists!$AG$15*(1+N($Z240)),N($U240)*(1+N($V240)+N($W240)+N($X240)+N($Z240))+N($Y240))))</f>
        <v>301254</v>
      </c>
      <c r="AH240" s="1908" t="n"/>
      <c r="AJ240" s="865" t="str">
        <f>IF(TRIM($B240)="","",IF(IFERROR(INDEX(Lists!$AO$2:$AO$11,MATCH(ROW(),Lists!$AN$2:$AN$11,0)),"")&lt;&gt;"",IFERROR(INDEX(Lists!$AO$2:$AO$11,MATCH(ROW(),Lists!$AN$2:$AN$11,0)),""),IFERROR(INDEX(Lists!$U:$U,MATCH(TRIM($I240),Lists!$T:$T,0)),TRIM($I240))))</f>
        <v>EGI</v>
      </c>
      <c r="AK240" s="865" t="str">
        <f>IF(ISNUMBER(SEARCH("vacant",$B240)),"Vacant","Filled")</f>
        <v>Filled</v>
      </c>
      <c r="AL240" s="865" t="str">
        <f>IF($M240="NZ","NZ","AU")</f>
        <v>AU</v>
      </c>
      <c r="AM240" s="865">
        <f>COUNTIF($AJ$2:$AJ240,$AJ240)</f>
        <v>2</v>
      </c>
      <c r="AN240" s="865" t="str">
        <f>$AJ240&amp;"|"&amp;$AM240</f>
        <v>EGI|2</v>
      </c>
      <c r="AP240" s="865" t="str">
        <f>IF(TRIM($B240)="","",IF($AQ240=1,"Leadership",IFERROR(INDEX(Lists!$X:$X,MATCH(TRIM($K240),Lists!$W:$W,0)),IF(OR(TRIM($K240)="",LOWER(TRIM($K240))="na"),IF(TRIM($G240)="","Unassigned",TRIM($G240)),TRIM($K240)))))</f>
        <v>EGI</v>
      </c>
      <c r="AQ240" s="865" t="b">
        <f>IF(TRIM($B240)="","",--OR(TRIM($K240)="Leadership",TRIM($J240)="Leadership"))</f>
        <v>0</v>
      </c>
      <c r="AR240" s="1136" t="str">
        <f>IF(TRIM($B240)="","",IF(IFERROR(INDEX(Lists!$AQ$2:$AQ$11,MATCH(ROW(),Lists!$AN$2:$AN$11,0)),"")&lt;&gt;"",IFERROR(INDEX(Lists!$AQ$2:$AQ$11,MATCH(ROW(),Lists!$AN$2:$AN$11,0)),""),IF(ISNUMBER(SEARCH("head of ",$C240)),"Head of Technology",IF(ISNUMBER(SEARCH("TDD BP",$C240)),"Business Partner",IF(OR(ISNUMBER(SEARCH("domain architect",$C240)),ISNUMBER(SEARCH("enterprise architect",$C240))),"Domain Architect",IF(ISNUMBER(SEARCH("delivery man",$C240)),"Delivery Manager",IF(OR(ISNUMBER(SEARCH("technology manager",$C240)),ISNUMBER(SEARCH("technology manger",$C240)),ISNUMBER(SEARCH("tech manager",$C240))),"Technology Manager","Squad")))))))</f>
        <v>Squad</v>
      </c>
      <c r="AS240" s="1136" t="str">
        <f>IF(TRIM($B240)="","",IFERROR(INDEX(Lists!$AA:$AA,MATCH($AP240,Lists!$Z:$Z,0)),$AP240))</f>
        <v>EGI</v>
      </c>
      <c r="AT240" s="1136" t="str">
        <f>IF(TRIM($B240)="","",IF(IFERROR(INDEX(Lists!$AP$2:$AP$11,MATCH(ROW(),Lists!$AN$2:$AN$11,0)),"")&lt;&gt;"",IFERROR(INDEX(Lists!$AP$2:$AP$11,MATCH(ROW(),Lists!$AN$2:$AN$11,0)),""),IF(OR(LEFT($AJ240,3)="COE",$AJ240="EGI"),$AP240,IF($AR240&lt;&gt;"Squad",$AR240,$AP240))))</f>
        <v>EGI</v>
      </c>
    </row>
    <row r="241" ht="18" customHeight="1" s="866">
      <c r="A241" s="1235" t="inlineStr">
        <is>
          <t>C</t>
        </is>
      </c>
      <c r="B241" s="1236" t="inlineStr">
        <is>
          <t>Areum Kim Lee</t>
        </is>
      </c>
      <c r="C241" s="1237" t="inlineStr">
        <is>
          <t>Program Manager (PEP13-EGI-UKG)</t>
        </is>
      </c>
      <c r="D241" s="1248" t="inlineStr">
        <is>
          <t>Greg Cassis</t>
        </is>
      </c>
      <c r="E241" s="1238" t="inlineStr">
        <is>
          <t>GM TDD, EGI</t>
        </is>
      </c>
      <c r="F241" s="1236" t="inlineStr">
        <is>
          <t>EGI</t>
        </is>
      </c>
      <c r="G241" s="1238" t="inlineStr">
        <is>
          <t>EGI</t>
        </is>
      </c>
      <c r="H241" s="1238" t="inlineStr">
        <is>
          <t>EGI</t>
        </is>
      </c>
      <c r="I241" s="1238" t="inlineStr">
        <is>
          <t>EGI</t>
        </is>
      </c>
      <c r="J241" s="1238" t="inlineStr">
        <is>
          <t>EGI</t>
        </is>
      </c>
      <c r="K241" s="1236" t="inlineStr">
        <is>
          <t>EGI</t>
        </is>
      </c>
      <c r="L241" s="1238" t="n"/>
      <c r="M241" s="1239" t="inlineStr">
        <is>
          <t>Australia</t>
        </is>
      </c>
      <c r="N241" s="1241" t="inlineStr">
        <is>
          <t>NA</t>
        </is>
      </c>
      <c r="O241" s="1240" t="n">
        <v>1</v>
      </c>
      <c r="P241" s="1241" t="n"/>
      <c r="Q241" s="1241" t="inlineStr">
        <is>
          <t>cxc</t>
        </is>
      </c>
      <c r="R241" s="1249" t="inlineStr">
        <is>
          <t>Daily</t>
        </is>
      </c>
      <c r="S241" s="1241" t="n">
        <v>1545.76</v>
      </c>
      <c r="T241" s="1242" t="n">
        <v>0</v>
      </c>
      <c r="U241" s="1242" t="n"/>
      <c r="V241" s="1238" t="n"/>
      <c r="W241" s="1238" t="n"/>
      <c r="X241" s="1238" t="n"/>
      <c r="Y241" s="1238" t="n"/>
      <c r="Z241" s="1238" t="n"/>
      <c r="AA241" s="1247">
        <f>IF(TRIM($B241)="","",IF(N($AU241)&gt;0,$AU241,IF(N($S241)&gt;0,$S241*Lists!$AG$15*(1+N($Z241)),N($U241)*(1+N($V241)+N($W241)+N($X241)+N($Z241))+N($Y241))))</f>
        <v>343158.72</v>
      </c>
      <c r="AH241" s="1908" t="n"/>
      <c r="AJ241" s="865" t="str">
        <f>IF(TRIM($B241)="","",IF(IFERROR(INDEX(Lists!$AO$2:$AO$11,MATCH(ROW(),Lists!$AN$2:$AN$11,0)),"")&lt;&gt;"",IFERROR(INDEX(Lists!$AO$2:$AO$11,MATCH(ROW(),Lists!$AN$2:$AN$11,0)),""),IFERROR(INDEX(Lists!$U:$U,MATCH(TRIM($I241),Lists!$T:$T,0)),TRIM($I241))))</f>
        <v>EGI</v>
      </c>
      <c r="AK241" s="865" t="str">
        <f>IF(ISNUMBER(SEARCH("vacant",$B241)),"Vacant","Filled")</f>
        <v>Filled</v>
      </c>
      <c r="AL241" s="865" t="str">
        <f>IF($M241="NZ","NZ","AU")</f>
        <v>AU</v>
      </c>
      <c r="AM241" s="865">
        <f>COUNTIF($AJ$2:$AJ241,$AJ241)</f>
        <v>3</v>
      </c>
      <c r="AN241" s="865" t="str">
        <f>$AJ241&amp;"|"&amp;$AM241</f>
        <v>EGI|3</v>
      </c>
      <c r="AP241" s="865" t="str">
        <f>IF(TRIM($B241)="","",IF($AQ241=1,"Leadership",IFERROR(INDEX(Lists!$X:$X,MATCH(TRIM($K241),Lists!$W:$W,0)),IF(OR(TRIM($K241)="",LOWER(TRIM($K241))="na"),IF(TRIM($G241)="","Unassigned",TRIM($G241)),TRIM($K241)))))</f>
        <v>EGI</v>
      </c>
      <c r="AQ241" s="865" t="b">
        <f>IF(TRIM($B241)="","",--OR(TRIM($K241)="Leadership",TRIM($J241)="Leadership"))</f>
        <v>0</v>
      </c>
      <c r="AR241" s="1136" t="str">
        <f>IF(TRIM($B241)="","",IF(IFERROR(INDEX(Lists!$AQ$2:$AQ$11,MATCH(ROW(),Lists!$AN$2:$AN$11,0)),"")&lt;&gt;"",IFERROR(INDEX(Lists!$AQ$2:$AQ$11,MATCH(ROW(),Lists!$AN$2:$AN$11,0)),""),IF(ISNUMBER(SEARCH("head of ",$C241)),"Head of Technology",IF(ISNUMBER(SEARCH("TDD BP",$C241)),"Business Partner",IF(OR(ISNUMBER(SEARCH("domain architect",$C241)),ISNUMBER(SEARCH("enterprise architect",$C241))),"Domain Architect",IF(ISNUMBER(SEARCH("delivery man",$C241)),"Delivery Manager",IF(OR(ISNUMBER(SEARCH("technology manager",$C241)),ISNUMBER(SEARCH("technology manger",$C241)),ISNUMBER(SEARCH("tech manager",$C241))),"Technology Manager","Squad")))))))</f>
        <v>Squad</v>
      </c>
      <c r="AS241" s="1136" t="str">
        <f>IF(TRIM($B241)="","",IFERROR(INDEX(Lists!$AA:$AA,MATCH($AP241,Lists!$Z:$Z,0)),$AP241))</f>
        <v>EGI</v>
      </c>
      <c r="AT241" s="1136" t="str">
        <f>IF(TRIM($B241)="","",IF(IFERROR(INDEX(Lists!$AP$2:$AP$11,MATCH(ROW(),Lists!$AN$2:$AN$11,0)),"")&lt;&gt;"",IFERROR(INDEX(Lists!$AP$2:$AP$11,MATCH(ROW(),Lists!$AN$2:$AN$11,0)),""),IF(OR(LEFT($AJ241,3)="COE",$AJ241="EGI"),$AP241,IF($AR241&lt;&gt;"Squad",$AR241,$AP241))))</f>
        <v>EGI</v>
      </c>
    </row>
    <row r="242" ht="18" customHeight="1" s="866">
      <c r="A242" s="1235" t="inlineStr">
        <is>
          <t>C</t>
        </is>
      </c>
      <c r="B242" s="1236" t="inlineStr">
        <is>
          <t>Ernesto Pereira</t>
        </is>
      </c>
      <c r="C242" s="1237" t="inlineStr">
        <is>
          <t>Project Manger</t>
        </is>
      </c>
      <c r="D242" s="1236" t="inlineStr">
        <is>
          <t>Trena Foote</t>
        </is>
      </c>
      <c r="E242" s="1236" t="inlineStr">
        <is>
          <t>Project Manger</t>
        </is>
      </c>
      <c r="F242" s="1236" t="inlineStr">
        <is>
          <t>EGI</t>
        </is>
      </c>
      <c r="G242" s="1238" t="inlineStr">
        <is>
          <t>EGI</t>
        </is>
      </c>
      <c r="H242" s="1238" t="inlineStr">
        <is>
          <t>EGI</t>
        </is>
      </c>
      <c r="I242" s="1238" t="inlineStr">
        <is>
          <t>EGI</t>
        </is>
      </c>
      <c r="J242" s="1238" t="inlineStr">
        <is>
          <t>EGI</t>
        </is>
      </c>
      <c r="K242" s="1238" t="inlineStr">
        <is>
          <t>EGI</t>
        </is>
      </c>
      <c r="L242" s="1238" t="n"/>
      <c r="M242" s="1239" t="inlineStr">
        <is>
          <t>Australia</t>
        </is>
      </c>
      <c r="N242" s="1241" t="inlineStr">
        <is>
          <t>na</t>
        </is>
      </c>
      <c r="O242" s="1241" t="n">
        <v>1</v>
      </c>
      <c r="P242" s="1241" t="n"/>
      <c r="Q242" s="1241" t="inlineStr">
        <is>
          <t>cxc</t>
        </is>
      </c>
      <c r="R242" s="1241" t="inlineStr">
        <is>
          <t>daily</t>
        </is>
      </c>
      <c r="S242" s="1241" t="n">
        <v>1000</v>
      </c>
      <c r="T242" s="1242" t="n">
        <v>0</v>
      </c>
      <c r="U242" s="1243" t="n"/>
      <c r="V242" s="1244" t="n"/>
      <c r="W242" s="1245" t="n"/>
      <c r="X242" s="1245" t="n"/>
      <c r="Y242" s="1246" t="n"/>
      <c r="Z242" s="1245" t="n"/>
      <c r="AA242" s="1247">
        <f>IF(TRIM($B242)="","",IF(N($AU242)&gt;0,$AU242,IF(N($S242)&gt;0,$S242*Lists!$AG$15*(1+N($Z242)),N($U242)*(1+N($V242)+N($W242)+N($X242)+N($Z242))+N($Y242))))</f>
        <v>222000</v>
      </c>
      <c r="AH242" s="1908" t="n"/>
      <c r="AJ242" s="865" t="str">
        <f>IF(TRIM($B242)="","",IF(IFERROR(INDEX(Lists!$AO$2:$AO$11,MATCH(ROW(),Lists!$AN$2:$AN$11,0)),"")&lt;&gt;"",IFERROR(INDEX(Lists!$AO$2:$AO$11,MATCH(ROW(),Lists!$AN$2:$AN$11,0)),""),IFERROR(INDEX(Lists!$U:$U,MATCH(TRIM($I242),Lists!$T:$T,0)),TRIM($I242))))</f>
        <v>EGI</v>
      </c>
      <c r="AK242" s="865" t="str">
        <f>IF(ISNUMBER(SEARCH("vacant",$B242)),"Vacant","Filled")</f>
        <v>Filled</v>
      </c>
      <c r="AL242" s="865" t="str">
        <f>IF($M242="NZ","NZ","AU")</f>
        <v>AU</v>
      </c>
      <c r="AM242" s="865">
        <f>COUNTIF($AJ$2:$AJ242,$AJ242)</f>
        <v>4</v>
      </c>
      <c r="AN242" s="865" t="str">
        <f>$AJ242&amp;"|"&amp;$AM242</f>
        <v>EGI|4</v>
      </c>
      <c r="AP242" s="865" t="str">
        <f>IF(TRIM($B242)="","",IF($AQ242=1,"Leadership",IFERROR(INDEX(Lists!$X:$X,MATCH(TRIM($K242),Lists!$W:$W,0)),IF(OR(TRIM($K242)="",LOWER(TRIM($K242))="na"),IF(TRIM($G242)="","Unassigned",TRIM($G242)),TRIM($K242)))))</f>
        <v>EGI</v>
      </c>
      <c r="AQ242" s="865" t="b">
        <f>IF(TRIM($B242)="","",--OR(TRIM($K242)="Leadership",TRIM($J242)="Leadership"))</f>
        <v>0</v>
      </c>
      <c r="AR242" s="1136" t="str">
        <f>IF(TRIM($B242)="","",IF(IFERROR(INDEX(Lists!$AQ$2:$AQ$11,MATCH(ROW(),Lists!$AN$2:$AN$11,0)),"")&lt;&gt;"",IFERROR(INDEX(Lists!$AQ$2:$AQ$11,MATCH(ROW(),Lists!$AN$2:$AN$11,0)),""),IF(ISNUMBER(SEARCH("head of ",$C242)),"Head of Technology",IF(ISNUMBER(SEARCH("TDD BP",$C242)),"Business Partner",IF(OR(ISNUMBER(SEARCH("domain architect",$C242)),ISNUMBER(SEARCH("enterprise architect",$C242))),"Domain Architect",IF(ISNUMBER(SEARCH("delivery man",$C242)),"Delivery Manager",IF(OR(ISNUMBER(SEARCH("technology manager",$C242)),ISNUMBER(SEARCH("technology manger",$C242)),ISNUMBER(SEARCH("tech manager",$C242))),"Technology Manager","Squad")))))))</f>
        <v>Squad</v>
      </c>
      <c r="AS242" s="1136" t="str">
        <f>IF(TRIM($B242)="","",IFERROR(INDEX(Lists!$AA:$AA,MATCH($AP242,Lists!$Z:$Z,0)),$AP242))</f>
        <v>EGI</v>
      </c>
      <c r="AT242" s="1136" t="str">
        <f>IF(TRIM($B242)="","",IF(IFERROR(INDEX(Lists!$AP$2:$AP$11,MATCH(ROW(),Lists!$AN$2:$AN$11,0)),"")&lt;&gt;"",IFERROR(INDEX(Lists!$AP$2:$AP$11,MATCH(ROW(),Lists!$AN$2:$AN$11,0)),""),IF(OR(LEFT($AJ242,3)="COE",$AJ242="EGI"),$AP242,IF($AR242&lt;&gt;"Squad",$AR242,$AP242))))</f>
        <v>EGI</v>
      </c>
    </row>
    <row r="243" ht="18" customHeight="1" s="866">
      <c r="A243" s="1235" t="inlineStr">
        <is>
          <t>C</t>
        </is>
      </c>
      <c r="B243" s="1236" t="inlineStr">
        <is>
          <t>Harish Dasari</t>
        </is>
      </c>
      <c r="C243" s="1237" t="inlineStr">
        <is>
          <t>Business Analyst (SAP Payroll)</t>
        </is>
      </c>
      <c r="D243" s="1236" t="inlineStr">
        <is>
          <t>Areum Kim-Lee</t>
        </is>
      </c>
      <c r="E243" s="1238" t="inlineStr">
        <is>
          <t>GM TDD, EGI</t>
        </is>
      </c>
      <c r="F243" s="1236" t="inlineStr">
        <is>
          <t>EGI</t>
        </is>
      </c>
      <c r="G243" s="1238" t="inlineStr">
        <is>
          <t>EGI</t>
        </is>
      </c>
      <c r="H243" s="1238" t="inlineStr">
        <is>
          <t>EGI</t>
        </is>
      </c>
      <c r="I243" s="1238" t="inlineStr">
        <is>
          <t>EGI</t>
        </is>
      </c>
      <c r="J243" s="1238" t="inlineStr">
        <is>
          <t>EGI</t>
        </is>
      </c>
      <c r="K243" s="1238" t="inlineStr">
        <is>
          <t>EGI</t>
        </is>
      </c>
      <c r="L243" s="1238" t="n"/>
      <c r="M243" s="1239" t="inlineStr">
        <is>
          <t>Australia</t>
        </is>
      </c>
      <c r="N243" s="1240" t="inlineStr">
        <is>
          <t>na</t>
        </is>
      </c>
      <c r="O243" s="1240" t="n">
        <v>1</v>
      </c>
      <c r="P243" s="1240" t="n"/>
      <c r="Q243" s="1241" t="inlineStr">
        <is>
          <t>cxc</t>
        </is>
      </c>
      <c r="R243" s="1241" t="inlineStr">
        <is>
          <t>daily</t>
        </is>
      </c>
      <c r="S243" s="1241" t="n">
        <v>1100</v>
      </c>
      <c r="T243" s="1242" t="n">
        <v>0</v>
      </c>
      <c r="U243" s="1243" t="n"/>
      <c r="V243" s="1244" t="n"/>
      <c r="W243" s="1241" t="n"/>
      <c r="X243" s="1244" t="n"/>
      <c r="Y243" s="1912" t="n"/>
      <c r="Z243" s="1251" t="n"/>
      <c r="AA243" s="1247">
        <f>IF(TRIM($B243)="","",IF(N($AU243)&gt;0,$AU243,IF(N($S243)&gt;0,$S243*Lists!$AG$15*(1+N($Z243)),N($U243)*(1+N($V243)+N($W243)+N($X243)+N($Z243))+N($Y243))))</f>
        <v>244200</v>
      </c>
      <c r="AH243" s="1908" t="n"/>
      <c r="AJ243" s="865" t="str">
        <f>IF(TRIM($B243)="","",IF(IFERROR(INDEX(Lists!$AO$2:$AO$11,MATCH(ROW(),Lists!$AN$2:$AN$11,0)),"")&lt;&gt;"",IFERROR(INDEX(Lists!$AO$2:$AO$11,MATCH(ROW(),Lists!$AN$2:$AN$11,0)),""),IFERROR(INDEX(Lists!$U:$U,MATCH(TRIM($I243),Lists!$T:$T,0)),TRIM($I243))))</f>
        <v>EGI</v>
      </c>
      <c r="AK243" s="865" t="str">
        <f>IF(ISNUMBER(SEARCH("vacant",$B243)),"Vacant","Filled")</f>
        <v>Filled</v>
      </c>
      <c r="AL243" s="865" t="str">
        <f>IF($M243="NZ","NZ","AU")</f>
        <v>AU</v>
      </c>
      <c r="AM243" s="865">
        <f>COUNTIF($AJ$2:$AJ243,$AJ243)</f>
        <v>5</v>
      </c>
      <c r="AN243" s="865" t="str">
        <f>$AJ243&amp;"|"&amp;$AM243</f>
        <v>EGI|5</v>
      </c>
      <c r="AP243" s="865" t="str">
        <f>IF(TRIM($B243)="","",IF($AQ243=1,"Leadership",IFERROR(INDEX(Lists!$X:$X,MATCH(TRIM($K243),Lists!$W:$W,0)),IF(OR(TRIM($K243)="",LOWER(TRIM($K243))="na"),IF(TRIM($G243)="","Unassigned",TRIM($G243)),TRIM($K243)))))</f>
        <v>EGI</v>
      </c>
      <c r="AQ243" s="865" t="b">
        <f>IF(TRIM($B243)="","",--OR(TRIM($K243)="Leadership",TRIM($J243)="Leadership"))</f>
        <v>0</v>
      </c>
      <c r="AR243" s="1136" t="str">
        <f>IF(TRIM($B243)="","",IF(IFERROR(INDEX(Lists!$AQ$2:$AQ$11,MATCH(ROW(),Lists!$AN$2:$AN$11,0)),"")&lt;&gt;"",IFERROR(INDEX(Lists!$AQ$2:$AQ$11,MATCH(ROW(),Lists!$AN$2:$AN$11,0)),""),IF(ISNUMBER(SEARCH("head of ",$C243)),"Head of Technology",IF(ISNUMBER(SEARCH("TDD BP",$C243)),"Business Partner",IF(OR(ISNUMBER(SEARCH("domain architect",$C243)),ISNUMBER(SEARCH("enterprise architect",$C243))),"Domain Architect",IF(ISNUMBER(SEARCH("delivery man",$C243)),"Delivery Manager",IF(OR(ISNUMBER(SEARCH("technology manager",$C243)),ISNUMBER(SEARCH("technology manger",$C243)),ISNUMBER(SEARCH("tech manager",$C243))),"Technology Manager","Squad")))))))</f>
        <v>Squad</v>
      </c>
      <c r="AS243" s="1136" t="str">
        <f>IF(TRIM($B243)="","",IFERROR(INDEX(Lists!$AA:$AA,MATCH($AP243,Lists!$Z:$Z,0)),$AP243))</f>
        <v>EGI</v>
      </c>
      <c r="AT243" s="1136" t="str">
        <f>IF(TRIM($B243)="","",IF(IFERROR(INDEX(Lists!$AP$2:$AP$11,MATCH(ROW(),Lists!$AN$2:$AN$11,0)),"")&lt;&gt;"",IFERROR(INDEX(Lists!$AP$2:$AP$11,MATCH(ROW(),Lists!$AN$2:$AN$11,0)),""),IF(OR(LEFT($AJ243,3)="COE",$AJ243="EGI"),$AP243,IF($AR243&lt;&gt;"Squad",$AR243,$AP243))))</f>
        <v>EGI</v>
      </c>
    </row>
    <row r="244" ht="18" customHeight="1" s="866">
      <c r="A244" s="1235" t="inlineStr">
        <is>
          <t>C</t>
        </is>
      </c>
      <c r="B244" s="1236" t="inlineStr">
        <is>
          <t>James Munt</t>
        </is>
      </c>
      <c r="C244" s="1237" t="inlineStr">
        <is>
          <t>Program Manager Tech &amp; P&amp;C</t>
        </is>
      </c>
      <c r="D244" s="1238" t="inlineStr">
        <is>
          <t>Greg Cassis</t>
        </is>
      </c>
      <c r="E244" s="1238" t="inlineStr">
        <is>
          <t>GM TDD, EGI</t>
        </is>
      </c>
      <c r="F244" s="1236" t="inlineStr">
        <is>
          <t>EGI</t>
        </is>
      </c>
      <c r="G244" s="1238" t="inlineStr">
        <is>
          <t>EGI</t>
        </is>
      </c>
      <c r="H244" s="1238" t="inlineStr">
        <is>
          <t>EGI</t>
        </is>
      </c>
      <c r="I244" s="1238" t="inlineStr">
        <is>
          <t>EGI</t>
        </is>
      </c>
      <c r="J244" s="1238" t="inlineStr">
        <is>
          <t>EGI</t>
        </is>
      </c>
      <c r="K244" s="1238" t="inlineStr">
        <is>
          <t>EGI</t>
        </is>
      </c>
      <c r="L244" s="1238" t="n"/>
      <c r="M244" s="1239" t="inlineStr">
        <is>
          <t>Australia</t>
        </is>
      </c>
      <c r="N244" s="1240" t="inlineStr">
        <is>
          <t>na</t>
        </is>
      </c>
      <c r="O244" s="1240" t="n">
        <v>1</v>
      </c>
      <c r="P244" s="1240" t="n"/>
      <c r="Q244" s="1241" t="inlineStr">
        <is>
          <t>cxc</t>
        </is>
      </c>
      <c r="R244" s="1241" t="inlineStr">
        <is>
          <t>daily</t>
        </is>
      </c>
      <c r="S244" s="1241" t="n">
        <v>1200</v>
      </c>
      <c r="T244" s="1242" t="n">
        <v>0</v>
      </c>
      <c r="U244" s="1243" t="n"/>
      <c r="V244" s="1244" t="n"/>
      <c r="W244" s="1245" t="n"/>
      <c r="X244" s="1245" t="n"/>
      <c r="Y244" s="1246" t="n"/>
      <c r="Z244" s="1245" t="n"/>
      <c r="AA244" s="1247">
        <f>IF(TRIM($B244)="","",IF(N($AU244)&gt;0,$AU244,IF(N($S244)&gt;0,$S244*Lists!$AG$15*(1+N($Z244)),N($U244)*(1+N($V244)+N($W244)+N($X244)+N($Z244))+N($Y244))))</f>
        <v>266400</v>
      </c>
      <c r="AH244" s="1908" t="n"/>
      <c r="AJ244" s="865" t="str">
        <f>IF(TRIM($B244)="","",IF(IFERROR(INDEX(Lists!$AO$2:$AO$11,MATCH(ROW(),Lists!$AN$2:$AN$11,0)),"")&lt;&gt;"",IFERROR(INDEX(Lists!$AO$2:$AO$11,MATCH(ROW(),Lists!$AN$2:$AN$11,0)),""),IFERROR(INDEX(Lists!$U:$U,MATCH(TRIM($I244),Lists!$T:$T,0)),TRIM($I244))))</f>
        <v>EGI</v>
      </c>
      <c r="AK244" s="865" t="str">
        <f>IF(ISNUMBER(SEARCH("vacant",$B244)),"Vacant","Filled")</f>
        <v>Filled</v>
      </c>
      <c r="AL244" s="865" t="str">
        <f>IF($M244="NZ","NZ","AU")</f>
        <v>AU</v>
      </c>
      <c r="AM244" s="865">
        <f>COUNTIF($AJ$2:$AJ244,$AJ244)</f>
        <v>6</v>
      </c>
      <c r="AN244" s="865" t="str">
        <f>$AJ244&amp;"|"&amp;$AM244</f>
        <v>EGI|6</v>
      </c>
      <c r="AP244" s="865" t="str">
        <f>IF(TRIM($B244)="","",IF($AQ244=1,"Leadership",IFERROR(INDEX(Lists!$X:$X,MATCH(TRIM($K244),Lists!$W:$W,0)),IF(OR(TRIM($K244)="",LOWER(TRIM($K244))="na"),IF(TRIM($G244)="","Unassigned",TRIM($G244)),TRIM($K244)))))</f>
        <v>EGI</v>
      </c>
      <c r="AQ244" s="865" t="b">
        <f>IF(TRIM($B244)="","",--OR(TRIM($K244)="Leadership",TRIM($J244)="Leadership"))</f>
        <v>0</v>
      </c>
      <c r="AR244" s="1136" t="str">
        <f>IF(TRIM($B244)="","",IF(IFERROR(INDEX(Lists!$AQ$2:$AQ$11,MATCH(ROW(),Lists!$AN$2:$AN$11,0)),"")&lt;&gt;"",IFERROR(INDEX(Lists!$AQ$2:$AQ$11,MATCH(ROW(),Lists!$AN$2:$AN$11,0)),""),IF(ISNUMBER(SEARCH("head of ",$C244)),"Head of Technology",IF(ISNUMBER(SEARCH("TDD BP",$C244)),"Business Partner",IF(OR(ISNUMBER(SEARCH("domain architect",$C244)),ISNUMBER(SEARCH("enterprise architect",$C244))),"Domain Architect",IF(ISNUMBER(SEARCH("delivery man",$C244)),"Delivery Manager",IF(OR(ISNUMBER(SEARCH("technology manager",$C244)),ISNUMBER(SEARCH("technology manger",$C244)),ISNUMBER(SEARCH("tech manager",$C244))),"Technology Manager","Squad")))))))</f>
        <v>Squad</v>
      </c>
      <c r="AS244" s="1136" t="str">
        <f>IF(TRIM($B244)="","",IFERROR(INDEX(Lists!$AA:$AA,MATCH($AP244,Lists!$Z:$Z,0)),$AP244))</f>
        <v>EGI</v>
      </c>
      <c r="AT244" s="1136" t="str">
        <f>IF(TRIM($B244)="","",IF(IFERROR(INDEX(Lists!$AP$2:$AP$11,MATCH(ROW(),Lists!$AN$2:$AN$11,0)),"")&lt;&gt;"",IFERROR(INDEX(Lists!$AP$2:$AP$11,MATCH(ROW(),Lists!$AN$2:$AN$11,0)),""),IF(OR(LEFT($AJ244,3)="COE",$AJ244="EGI"),$AP244,IF($AR244&lt;&gt;"Squad",$AR244,$AP244))))</f>
        <v>EGI</v>
      </c>
    </row>
    <row r="245" ht="18" customHeight="1" s="866">
      <c r="A245" s="1235" t="inlineStr">
        <is>
          <t>c</t>
        </is>
      </c>
      <c r="B245" s="1236" t="inlineStr">
        <is>
          <t>Jason McNamara</t>
        </is>
      </c>
      <c r="C245" s="1237" t="inlineStr">
        <is>
          <t>Project Manager Retail</t>
        </is>
      </c>
      <c r="D245" s="1236" t="inlineStr">
        <is>
          <t>Greg Cassis</t>
        </is>
      </c>
      <c r="E245" s="1238" t="inlineStr">
        <is>
          <t>GM TDD, EGI</t>
        </is>
      </c>
      <c r="F245" s="1236" t="inlineStr">
        <is>
          <t>EGI</t>
        </is>
      </c>
      <c r="G245" s="1238" t="inlineStr">
        <is>
          <t>EGI</t>
        </is>
      </c>
      <c r="H245" s="1238" t="inlineStr">
        <is>
          <t>EGI</t>
        </is>
      </c>
      <c r="I245" s="1238" t="inlineStr">
        <is>
          <t>EGI</t>
        </is>
      </c>
      <c r="J245" s="1238" t="inlineStr">
        <is>
          <t>EGI</t>
        </is>
      </c>
      <c r="K245" s="1238" t="inlineStr">
        <is>
          <t>EGI</t>
        </is>
      </c>
      <c r="L245" s="1238" t="n"/>
      <c r="M245" s="1239" t="inlineStr">
        <is>
          <t>Australia</t>
        </is>
      </c>
      <c r="N245" s="1240" t="inlineStr">
        <is>
          <t>na</t>
        </is>
      </c>
      <c r="O245" s="1252" t="n">
        <v>1</v>
      </c>
      <c r="P245" s="1240" t="n"/>
      <c r="Q245" s="1241" t="inlineStr">
        <is>
          <t>cxc</t>
        </is>
      </c>
      <c r="R245" s="1241" t="inlineStr">
        <is>
          <t>daily</t>
        </is>
      </c>
      <c r="S245" s="1241" t="n">
        <v>2200</v>
      </c>
      <c r="T245" s="1242" t="n">
        <v>0</v>
      </c>
      <c r="U245" s="1243" t="n"/>
      <c r="V245" s="1253" t="n"/>
      <c r="W245" s="1252" t="n"/>
      <c r="X245" s="1244" t="n"/>
      <c r="Y245" s="1912" t="n"/>
      <c r="Z245" s="1244" t="n"/>
      <c r="AA245" s="1247">
        <f>IF(TRIM($B245)="","",IF(N($AU245)&gt;0,$AU245,IF(N($S245)&gt;0,$S245*Lists!$AG$15*(1+N($Z245)),N($U245)*(1+N($V245)+N($W245)+N($X245)+N($Z245))+N($Y245))))</f>
        <v>488400</v>
      </c>
      <c r="AB245" s="1248" t="n"/>
      <c r="AJ245" s="865" t="str">
        <f>IF(TRIM($B245)="","",IF(IFERROR(INDEX(Lists!$AO$2:$AO$11,MATCH(ROW(),Lists!$AN$2:$AN$11,0)),"")&lt;&gt;"",IFERROR(INDEX(Lists!$AO$2:$AO$11,MATCH(ROW(),Lists!$AN$2:$AN$11,0)),""),IFERROR(INDEX(Lists!$U:$U,MATCH(TRIM($I245),Lists!$T:$T,0)),TRIM($I245))))</f>
        <v>EGI</v>
      </c>
      <c r="AK245" s="865" t="str">
        <f>IF(ISNUMBER(SEARCH("vacant",$B245)),"Vacant","Filled")</f>
        <v>Filled</v>
      </c>
      <c r="AL245" s="865" t="str">
        <f>IF($M245="NZ","NZ","AU")</f>
        <v>AU</v>
      </c>
      <c r="AM245" s="865">
        <f>COUNTIF($AJ$2:$AJ245,$AJ245)</f>
        <v>7</v>
      </c>
      <c r="AN245" s="865" t="str">
        <f>$AJ245&amp;"|"&amp;$AM245</f>
        <v>EGI|7</v>
      </c>
      <c r="AP245" s="865" t="str">
        <f>IF(TRIM($B245)="","",IF($AQ245=1,"Leadership",IFERROR(INDEX(Lists!$X:$X,MATCH(TRIM($K245),Lists!$W:$W,0)),IF(OR(TRIM($K245)="",LOWER(TRIM($K245))="na"),IF(TRIM($G245)="","Unassigned",TRIM($G245)),TRIM($K245)))))</f>
        <v>EGI</v>
      </c>
      <c r="AQ245" s="865" t="b">
        <f>IF(TRIM($B245)="","",--OR(TRIM($K245)="Leadership",TRIM($J245)="Leadership"))</f>
        <v>0</v>
      </c>
      <c r="AR245" s="1136" t="str">
        <f>IF(TRIM($B245)="","",IF(IFERROR(INDEX(Lists!$AQ$2:$AQ$11,MATCH(ROW(),Lists!$AN$2:$AN$11,0)),"")&lt;&gt;"",IFERROR(INDEX(Lists!$AQ$2:$AQ$11,MATCH(ROW(),Lists!$AN$2:$AN$11,0)),""),IF(ISNUMBER(SEARCH("head of ",$C245)),"Head of Technology",IF(ISNUMBER(SEARCH("TDD BP",$C245)),"Business Partner",IF(OR(ISNUMBER(SEARCH("domain architect",$C245)),ISNUMBER(SEARCH("enterprise architect",$C245))),"Domain Architect",IF(ISNUMBER(SEARCH("delivery man",$C245)),"Delivery Manager",IF(OR(ISNUMBER(SEARCH("technology manager",$C245)),ISNUMBER(SEARCH("technology manger",$C245)),ISNUMBER(SEARCH("tech manager",$C245))),"Technology Manager","Squad")))))))</f>
        <v>Squad</v>
      </c>
      <c r="AS245" s="1136" t="str">
        <f>IF(TRIM($B245)="","",IFERROR(INDEX(Lists!$AA:$AA,MATCH($AP245,Lists!$Z:$Z,0)),$AP245))</f>
        <v>EGI</v>
      </c>
      <c r="AT245" s="1136" t="str">
        <f>IF(TRIM($B245)="","",IF(IFERROR(INDEX(Lists!$AP$2:$AP$11,MATCH(ROW(),Lists!$AN$2:$AN$11,0)),"")&lt;&gt;"",IFERROR(INDEX(Lists!$AP$2:$AP$11,MATCH(ROW(),Lists!$AN$2:$AN$11,0)),""),IF(OR(LEFT($AJ245,3)="COE",$AJ245="EGI"),$AP245,IF($AR245&lt;&gt;"Squad",$AR245,$AP245))))</f>
        <v>EGI</v>
      </c>
    </row>
    <row r="246" ht="18" customHeight="1" s="866">
      <c r="A246" s="1235" t="inlineStr">
        <is>
          <t>c</t>
        </is>
      </c>
      <c r="B246" s="1236" t="inlineStr">
        <is>
          <t>Jason Sipkovic</t>
        </is>
      </c>
      <c r="C246" s="1237" t="inlineStr">
        <is>
          <t>strategic program architect</t>
        </is>
      </c>
      <c r="D246" s="1236" t="inlineStr">
        <is>
          <t>Trena Foote</t>
        </is>
      </c>
      <c r="E246" s="1236" t="inlineStr">
        <is>
          <t>Project Manger</t>
        </is>
      </c>
      <c r="F246" s="1236" t="inlineStr">
        <is>
          <t>EGI</t>
        </is>
      </c>
      <c r="G246" s="1238" t="inlineStr">
        <is>
          <t>EGI</t>
        </is>
      </c>
      <c r="H246" s="1238" t="inlineStr">
        <is>
          <t>EGI</t>
        </is>
      </c>
      <c r="I246" s="1238" t="inlineStr">
        <is>
          <t>EGI</t>
        </is>
      </c>
      <c r="J246" s="1238" t="inlineStr">
        <is>
          <t>EGI</t>
        </is>
      </c>
      <c r="K246" s="1238" t="inlineStr">
        <is>
          <t>EGI</t>
        </is>
      </c>
      <c r="L246" s="1238" t="n"/>
      <c r="M246" s="1239" t="inlineStr">
        <is>
          <t>Australia</t>
        </is>
      </c>
      <c r="N246" s="1240" t="inlineStr">
        <is>
          <t>na</t>
        </is>
      </c>
      <c r="O246" s="1252" t="n">
        <v>1</v>
      </c>
      <c r="P246" s="1240" t="n"/>
      <c r="Q246" s="1241" t="inlineStr">
        <is>
          <t>cxc</t>
        </is>
      </c>
      <c r="R246" s="1241" t="inlineStr">
        <is>
          <t>daily</t>
        </is>
      </c>
      <c r="S246" s="1241" t="n">
        <v>1500</v>
      </c>
      <c r="T246" s="1242" t="n">
        <v>0</v>
      </c>
      <c r="U246" s="1243" t="n"/>
      <c r="V246" s="1253" t="n"/>
      <c r="W246" s="1252" t="n"/>
      <c r="X246" s="1244" t="n"/>
      <c r="Y246" s="1912" t="n"/>
      <c r="Z246" s="1244" t="n"/>
      <c r="AA246" s="1247">
        <f>IF(TRIM($B246)="","",IF(N($AU246)&gt;0,$AU246,IF(N($S246)&gt;0,$S246*Lists!$AG$15*(1+N($Z246)),N($U246)*(1+N($V246)+N($W246)+N($X246)+N($Z246))+N($Y246))))</f>
        <v>333000</v>
      </c>
      <c r="AB246" s="1248" t="n"/>
      <c r="AJ246" s="865" t="str">
        <f>IF(TRIM($B246)="","",IF(IFERROR(INDEX(Lists!$AO$2:$AO$11,MATCH(ROW(),Lists!$AN$2:$AN$11,0)),"")&lt;&gt;"",IFERROR(INDEX(Lists!$AO$2:$AO$11,MATCH(ROW(),Lists!$AN$2:$AN$11,0)),""),IFERROR(INDEX(Lists!$U:$U,MATCH(TRIM($I246),Lists!$T:$T,0)),TRIM($I246))))</f>
        <v>EGI</v>
      </c>
      <c r="AK246" s="865" t="str">
        <f>IF(ISNUMBER(SEARCH("vacant",$B246)),"Vacant","Filled")</f>
        <v>Filled</v>
      </c>
      <c r="AL246" s="865" t="str">
        <f>IF($M246="NZ","NZ","AU")</f>
        <v>AU</v>
      </c>
      <c r="AM246" s="865">
        <f>COUNTIF($AJ$2:$AJ246,$AJ246)</f>
        <v>8</v>
      </c>
      <c r="AN246" s="865" t="str">
        <f>$AJ246&amp;"|"&amp;$AM246</f>
        <v>EGI|8</v>
      </c>
      <c r="AP246" s="865" t="str">
        <f>IF(TRIM($B246)="","",IF($AQ246=1,"Leadership",IFERROR(INDEX(Lists!$X:$X,MATCH(TRIM($K246),Lists!$W:$W,0)),IF(OR(TRIM($K246)="",LOWER(TRIM($K246))="na"),IF(TRIM($G246)="","Unassigned",TRIM($G246)),TRIM($K246)))))</f>
        <v>EGI</v>
      </c>
      <c r="AQ246" s="865" t="b">
        <f>IF(TRIM($B246)="","",--OR(TRIM($K246)="Leadership",TRIM($J246)="Leadership"))</f>
        <v>0</v>
      </c>
      <c r="AR246" s="1136" t="str">
        <f>IF(TRIM($B246)="","",IF(IFERROR(INDEX(Lists!$AQ$2:$AQ$11,MATCH(ROW(),Lists!$AN$2:$AN$11,0)),"")&lt;&gt;"",IFERROR(INDEX(Lists!$AQ$2:$AQ$11,MATCH(ROW(),Lists!$AN$2:$AN$11,0)),""),IF(ISNUMBER(SEARCH("head of ",$C246)),"Head of Technology",IF(ISNUMBER(SEARCH("TDD BP",$C246)),"Business Partner",IF(OR(ISNUMBER(SEARCH("domain architect",$C246)),ISNUMBER(SEARCH("enterprise architect",$C246))),"Domain Architect",IF(ISNUMBER(SEARCH("delivery man",$C246)),"Delivery Manager",IF(OR(ISNUMBER(SEARCH("technology manager",$C246)),ISNUMBER(SEARCH("technology manger",$C246)),ISNUMBER(SEARCH("tech manager",$C246))),"Technology Manager","Squad")))))))</f>
        <v>Squad</v>
      </c>
      <c r="AS246" s="1136" t="str">
        <f>IF(TRIM($B246)="","",IFERROR(INDEX(Lists!$AA:$AA,MATCH($AP246,Lists!$Z:$Z,0)),$AP246))</f>
        <v>EGI</v>
      </c>
      <c r="AT246" s="1136" t="str">
        <f>IF(TRIM($B246)="","",IF(IFERROR(INDEX(Lists!$AP$2:$AP$11,MATCH(ROW(),Lists!$AN$2:$AN$11,0)),"")&lt;&gt;"",IFERROR(INDEX(Lists!$AP$2:$AP$11,MATCH(ROW(),Lists!$AN$2:$AN$11,0)),""),IF(OR(LEFT($AJ246,3)="COE",$AJ246="EGI"),$AP246,IF($AR246&lt;&gt;"Squad",$AR246,$AP246))))</f>
        <v>EGI</v>
      </c>
    </row>
    <row r="247" ht="18" customHeight="1" s="866">
      <c r="A247" s="1235" t="inlineStr">
        <is>
          <t>c</t>
        </is>
      </c>
      <c r="B247" s="1236" t="inlineStr">
        <is>
          <t>Kanika Narula</t>
        </is>
      </c>
      <c r="C247" s="1237" t="inlineStr">
        <is>
          <t>Business Analyst Digital</t>
        </is>
      </c>
      <c r="D247" s="1236" t="inlineStr">
        <is>
          <t>Mitesh Shah</t>
        </is>
      </c>
      <c r="E247" s="1236" t="inlineStr">
        <is>
          <t>Technology Manager, Digitial</t>
        </is>
      </c>
      <c r="F247" s="1236" t="inlineStr">
        <is>
          <t>EGI</t>
        </is>
      </c>
      <c r="G247" s="1238" t="inlineStr">
        <is>
          <t>EGI</t>
        </is>
      </c>
      <c r="H247" s="1238" t="inlineStr">
        <is>
          <t>EGI</t>
        </is>
      </c>
      <c r="I247" s="1238" t="inlineStr">
        <is>
          <t>EGI</t>
        </is>
      </c>
      <c r="J247" s="1238" t="inlineStr">
        <is>
          <t>EGI</t>
        </is>
      </c>
      <c r="K247" s="1238" t="inlineStr">
        <is>
          <t>EGI</t>
        </is>
      </c>
      <c r="L247" s="1236" t="n"/>
      <c r="M247" s="1239" t="inlineStr">
        <is>
          <t>Australia</t>
        </is>
      </c>
      <c r="N247" s="1240" t="inlineStr">
        <is>
          <t>na</t>
        </is>
      </c>
      <c r="O247" s="1240" t="n">
        <v>1</v>
      </c>
      <c r="P247" s="1240" t="n"/>
      <c r="Q247" s="1241" t="inlineStr">
        <is>
          <t>cxc</t>
        </is>
      </c>
      <c r="R247" s="1241" t="inlineStr">
        <is>
          <t>daily</t>
        </is>
      </c>
      <c r="S247" s="1241" t="n">
        <v>1078.84</v>
      </c>
      <c r="T247" s="1242" t="n">
        <v>0</v>
      </c>
      <c r="U247" s="1243" t="n"/>
      <c r="V247" s="1244" t="n"/>
      <c r="W247" s="1245" t="n"/>
      <c r="X247" s="1245" t="n"/>
      <c r="Y247" s="1246" t="n"/>
      <c r="Z247" s="1245" t="n"/>
      <c r="AA247" s="1247">
        <f>IF(TRIM($B247)="","",IF(N($AU247)&gt;0,$AU247,IF(N($S247)&gt;0,$S247*Lists!$AG$15*(1+N($Z247)),N($U247)*(1+N($V247)+N($W247)+N($X247)+N($Z247))+N($Y247))))</f>
        <v>239502.48</v>
      </c>
      <c r="AJ247" s="865" t="str">
        <f>IF(TRIM($B247)="","",IF(IFERROR(INDEX(Lists!$AO$2:$AO$11,MATCH(ROW(),Lists!$AN$2:$AN$11,0)),"")&lt;&gt;"",IFERROR(INDEX(Lists!$AO$2:$AO$11,MATCH(ROW(),Lists!$AN$2:$AN$11,0)),""),IFERROR(INDEX(Lists!$U:$U,MATCH(TRIM($I247),Lists!$T:$T,0)),TRIM($I247))))</f>
        <v>EGI</v>
      </c>
      <c r="AK247" s="865" t="str">
        <f>IF(ISNUMBER(SEARCH("vacant",$B247)),"Vacant","Filled")</f>
        <v>Filled</v>
      </c>
      <c r="AL247" s="865" t="str">
        <f>IF($M247="NZ","NZ","AU")</f>
        <v>AU</v>
      </c>
      <c r="AM247" s="865">
        <f>COUNTIF($AJ$2:$AJ247,$AJ247)</f>
        <v>9</v>
      </c>
      <c r="AN247" s="865" t="str">
        <f>$AJ247&amp;"|"&amp;$AM247</f>
        <v>EGI|9</v>
      </c>
      <c r="AP247" s="865" t="str">
        <f>IF(TRIM($B247)="","",IF($AQ247=1,"Leadership",IFERROR(INDEX(Lists!$X:$X,MATCH(TRIM($K247),Lists!$W:$W,0)),IF(OR(TRIM($K247)="",LOWER(TRIM($K247))="na"),IF(TRIM($G247)="","Unassigned",TRIM($G247)),TRIM($K247)))))</f>
        <v>EGI</v>
      </c>
      <c r="AQ247" s="865" t="b">
        <f>IF(TRIM($B247)="","",--OR(TRIM($K247)="Leadership",TRIM($J247)="Leadership"))</f>
        <v>0</v>
      </c>
      <c r="AR247" s="1136" t="str">
        <f>IF(TRIM($B247)="","",IF(IFERROR(INDEX(Lists!$AQ$2:$AQ$11,MATCH(ROW(),Lists!$AN$2:$AN$11,0)),"")&lt;&gt;"",IFERROR(INDEX(Lists!$AQ$2:$AQ$11,MATCH(ROW(),Lists!$AN$2:$AN$11,0)),""),IF(ISNUMBER(SEARCH("head of ",$C247)),"Head of Technology",IF(ISNUMBER(SEARCH("TDD BP",$C247)),"Business Partner",IF(OR(ISNUMBER(SEARCH("domain architect",$C247)),ISNUMBER(SEARCH("enterprise architect",$C247))),"Domain Architect",IF(ISNUMBER(SEARCH("delivery man",$C247)),"Delivery Manager",IF(OR(ISNUMBER(SEARCH("technology manager",$C247)),ISNUMBER(SEARCH("technology manger",$C247)),ISNUMBER(SEARCH("tech manager",$C247))),"Technology Manager","Squad")))))))</f>
        <v>Squad</v>
      </c>
      <c r="AS247" s="1136" t="str">
        <f>IF(TRIM($B247)="","",IFERROR(INDEX(Lists!$AA:$AA,MATCH($AP247,Lists!$Z:$Z,0)),$AP247))</f>
        <v>EGI</v>
      </c>
      <c r="AT247" s="1136" t="str">
        <f>IF(TRIM($B247)="","",IF(IFERROR(INDEX(Lists!$AP$2:$AP$11,MATCH(ROW(),Lists!$AN$2:$AN$11,0)),"")&lt;&gt;"",IFERROR(INDEX(Lists!$AP$2:$AP$11,MATCH(ROW(),Lists!$AN$2:$AN$11,0)),""),IF(OR(LEFT($AJ247,3)="COE",$AJ247="EGI"),$AP247,IF($AR247&lt;&gt;"Squad",$AR247,$AP247))))</f>
        <v>EGI</v>
      </c>
    </row>
    <row r="248" ht="18" customHeight="1" s="866">
      <c r="A248" s="1235" t="inlineStr">
        <is>
          <t>c</t>
        </is>
      </c>
      <c r="B248" s="1236" t="inlineStr">
        <is>
          <t>Karl Reyneke</t>
        </is>
      </c>
      <c r="C248" s="1237" t="inlineStr">
        <is>
          <t>Strategic Delivery Consultant</t>
        </is>
      </c>
      <c r="D248" s="1236" t="inlineStr">
        <is>
          <t>Greg Cassis</t>
        </is>
      </c>
      <c r="E248" s="1238" t="inlineStr">
        <is>
          <t>GM TDD, EGI</t>
        </is>
      </c>
      <c r="F248" s="1236" t="inlineStr">
        <is>
          <t>EGI</t>
        </is>
      </c>
      <c r="G248" s="1238" t="inlineStr">
        <is>
          <t>EGI</t>
        </is>
      </c>
      <c r="H248" s="1136" t="inlineStr">
        <is>
          <t>EGI</t>
        </is>
      </c>
      <c r="I248" s="1238" t="inlineStr">
        <is>
          <t>EGI</t>
        </is>
      </c>
      <c r="J248" s="1238" t="inlineStr">
        <is>
          <t>EGI</t>
        </is>
      </c>
      <c r="K248" s="1238" t="inlineStr">
        <is>
          <t>EGI</t>
        </is>
      </c>
      <c r="L248" s="1238" t="n"/>
      <c r="M248" s="1239" t="inlineStr">
        <is>
          <t>australia</t>
        </is>
      </c>
      <c r="N248" s="1241" t="inlineStr">
        <is>
          <t>na</t>
        </is>
      </c>
      <c r="O248" s="1240" t="n">
        <v>1</v>
      </c>
      <c r="P248" s="1241" t="n"/>
      <c r="Q248" s="1241" t="inlineStr">
        <is>
          <t>cxc</t>
        </is>
      </c>
      <c r="R248" s="1249" t="inlineStr">
        <is>
          <t>daily</t>
        </is>
      </c>
      <c r="S248" s="1241" t="n">
        <v>1350</v>
      </c>
      <c r="T248" s="1242" t="n">
        <v>0</v>
      </c>
      <c r="U248" s="1242" t="n"/>
      <c r="V248" s="1238" t="n"/>
      <c r="W248" s="1238" t="n"/>
      <c r="X248" s="1238" t="n"/>
      <c r="Y248" s="1238" t="n"/>
      <c r="Z248" s="1238" t="n"/>
      <c r="AA248" s="1247">
        <f>IF(TRIM($B248)="","",IF(N($AU248)&gt;0,$AU248,IF(N($S248)&gt;0,$S248*Lists!$AG$15*(1+N($Z248)),N($U248)*(1+N($V248)+N($W248)+N($X248)+N($Z248))+N($Y248))))</f>
        <v>299700</v>
      </c>
      <c r="AJ248" s="865" t="str">
        <f>IF(TRIM($B248)="","",IF(IFERROR(INDEX(Lists!$AO$2:$AO$11,MATCH(ROW(),Lists!$AN$2:$AN$11,0)),"")&lt;&gt;"",IFERROR(INDEX(Lists!$AO$2:$AO$11,MATCH(ROW(),Lists!$AN$2:$AN$11,0)),""),IFERROR(INDEX(Lists!$U:$U,MATCH(TRIM($I248),Lists!$T:$T,0)),TRIM($I248))))</f>
        <v>EGI</v>
      </c>
      <c r="AK248" s="865" t="str">
        <f>IF(ISNUMBER(SEARCH("vacant",$B248)),"Vacant","Filled")</f>
        <v>Filled</v>
      </c>
      <c r="AL248" s="865" t="str">
        <f>IF($M248="NZ","NZ","AU")</f>
        <v>AU</v>
      </c>
      <c r="AM248" s="865">
        <f>COUNTIF($AJ$2:$AJ248,$AJ248)</f>
        <v>10</v>
      </c>
      <c r="AN248" s="865" t="str">
        <f>$AJ248&amp;"|"&amp;$AM248</f>
        <v>EGI|10</v>
      </c>
      <c r="AP248" s="865" t="str">
        <f>IF(TRIM($B248)="","",IF($AQ248=1,"Leadership",IFERROR(INDEX(Lists!$X:$X,MATCH(TRIM($K248),Lists!$W:$W,0)),IF(OR(TRIM($K248)="",LOWER(TRIM($K248))="na"),IF(TRIM($G248)="","Unassigned",TRIM($G248)),TRIM($K248)))))</f>
        <v>EGI</v>
      </c>
      <c r="AQ248" s="865" t="b">
        <f>IF(TRIM($B248)="","",--OR(TRIM($K248)="Leadership",TRIM($J248)="Leadership"))</f>
        <v>0</v>
      </c>
      <c r="AR248" s="1136" t="str">
        <f>IF(TRIM($B248)="","",IF(IFERROR(INDEX(Lists!$AQ$2:$AQ$11,MATCH(ROW(),Lists!$AN$2:$AN$11,0)),"")&lt;&gt;"",IFERROR(INDEX(Lists!$AQ$2:$AQ$11,MATCH(ROW(),Lists!$AN$2:$AN$11,0)),""),IF(ISNUMBER(SEARCH("head of ",$C248)),"Head of Technology",IF(ISNUMBER(SEARCH("TDD BP",$C248)),"Business Partner",IF(OR(ISNUMBER(SEARCH("domain architect",$C248)),ISNUMBER(SEARCH("enterprise architect",$C248))),"Domain Architect",IF(ISNUMBER(SEARCH("delivery man",$C248)),"Delivery Manager",IF(OR(ISNUMBER(SEARCH("technology manager",$C248)),ISNUMBER(SEARCH("technology manger",$C248)),ISNUMBER(SEARCH("tech manager",$C248))),"Technology Manager","Squad")))))))</f>
        <v>Squad</v>
      </c>
      <c r="AS248" s="1136" t="str">
        <f>IF(TRIM($B248)="","",IFERROR(INDEX(Lists!$AA:$AA,MATCH($AP248,Lists!$Z:$Z,0)),$AP248))</f>
        <v>EGI</v>
      </c>
      <c r="AT248" s="1136" t="str">
        <f>IF(TRIM($B248)="","",IF(IFERROR(INDEX(Lists!$AP$2:$AP$11,MATCH(ROW(),Lists!$AN$2:$AN$11,0)),"")&lt;&gt;"",IFERROR(INDEX(Lists!$AP$2:$AP$11,MATCH(ROW(),Lists!$AN$2:$AN$11,0)),""),IF(OR(LEFT($AJ248,3)="COE",$AJ248="EGI"),$AP248,IF($AR248&lt;&gt;"Squad",$AR248,$AP248))))</f>
        <v>EGI</v>
      </c>
    </row>
    <row r="249" ht="18" customHeight="1" s="866">
      <c r="A249" s="1235" t="inlineStr">
        <is>
          <t>c</t>
        </is>
      </c>
      <c r="B249" s="1236" t="inlineStr">
        <is>
          <t>michelle Siegman</t>
        </is>
      </c>
      <c r="C249" s="1237" t="inlineStr">
        <is>
          <t>Strategic Delivery Consultant</t>
        </is>
      </c>
      <c r="D249" s="1236" t="inlineStr">
        <is>
          <t>Greg Cassis</t>
        </is>
      </c>
      <c r="E249" s="1238" t="inlineStr">
        <is>
          <t>GM TDD, EGI</t>
        </is>
      </c>
      <c r="F249" s="1236" t="inlineStr">
        <is>
          <t>EGI</t>
        </is>
      </c>
      <c r="G249" s="1238" t="inlineStr">
        <is>
          <t>EGI</t>
        </is>
      </c>
      <c r="H249" s="1238" t="inlineStr">
        <is>
          <t>EGI</t>
        </is>
      </c>
      <c r="I249" s="1238" t="inlineStr">
        <is>
          <t>EGI</t>
        </is>
      </c>
      <c r="J249" s="1238" t="inlineStr">
        <is>
          <t>EGI</t>
        </is>
      </c>
      <c r="K249" s="1238" t="inlineStr">
        <is>
          <t>EGI</t>
        </is>
      </c>
      <c r="L249" s="1238" t="n"/>
      <c r="M249" s="1239" t="inlineStr">
        <is>
          <t>Australia</t>
        </is>
      </c>
      <c r="N249" s="1240" t="inlineStr">
        <is>
          <t>na</t>
        </is>
      </c>
      <c r="O249" s="1252" t="n">
        <v>1</v>
      </c>
      <c r="P249" s="1240" t="n"/>
      <c r="Q249" s="1241" t="inlineStr">
        <is>
          <t>cxc</t>
        </is>
      </c>
      <c r="R249" s="1241" t="inlineStr">
        <is>
          <t>Daily</t>
        </is>
      </c>
      <c r="S249" s="1241" t="n">
        <v>1038</v>
      </c>
      <c r="T249" s="1242" t="n">
        <v>0</v>
      </c>
      <c r="U249" s="1243" t="n"/>
      <c r="V249" s="1253" t="n"/>
      <c r="W249" s="1241" t="n"/>
      <c r="X249" s="1244" t="n"/>
      <c r="Y249" s="1912" t="n"/>
      <c r="Z249" s="1244" t="n"/>
      <c r="AA249" s="1247">
        <f>IF(TRIM($B249)="","",IF(N($AU249)&gt;0,$AU249,IF(N($S249)&gt;0,$S249*Lists!$AG$15*(1+N($Z249)),N($U249)*(1+N($V249)+N($W249)+N($X249)+N($Z249))+N($Y249))))</f>
        <v>230436</v>
      </c>
      <c r="AB249" s="1248" t="n"/>
      <c r="AJ249" s="865" t="str">
        <f>IF(TRIM($B249)="","",IF(IFERROR(INDEX(Lists!$AO$2:$AO$11,MATCH(ROW(),Lists!$AN$2:$AN$11,0)),"")&lt;&gt;"",IFERROR(INDEX(Lists!$AO$2:$AO$11,MATCH(ROW(),Lists!$AN$2:$AN$11,0)),""),IFERROR(INDEX(Lists!$U:$U,MATCH(TRIM($I249),Lists!$T:$T,0)),TRIM($I249))))</f>
        <v>EGI</v>
      </c>
      <c r="AK249" s="865" t="str">
        <f>IF(ISNUMBER(SEARCH("vacant",$B249)),"Vacant","Filled")</f>
        <v>Filled</v>
      </c>
      <c r="AL249" s="865" t="str">
        <f>IF($M249="NZ","NZ","AU")</f>
        <v>AU</v>
      </c>
      <c r="AM249" s="865">
        <f>COUNTIF($AJ$2:$AJ249,$AJ249)</f>
        <v>11</v>
      </c>
      <c r="AN249" s="865" t="str">
        <f>$AJ249&amp;"|"&amp;$AM249</f>
        <v>EGI|11</v>
      </c>
      <c r="AP249" s="865" t="str">
        <f>IF(TRIM($B249)="","",IF($AQ249=1,"Leadership",IFERROR(INDEX(Lists!$X:$X,MATCH(TRIM($K249),Lists!$W:$W,0)),IF(OR(TRIM($K249)="",LOWER(TRIM($K249))="na"),IF(TRIM($G249)="","Unassigned",TRIM($G249)),TRIM($K249)))))</f>
        <v>EGI</v>
      </c>
      <c r="AQ249" s="865" t="b">
        <f>IF(TRIM($B249)="","",--OR(TRIM($K249)="Leadership",TRIM($J249)="Leadership"))</f>
        <v>0</v>
      </c>
      <c r="AR249" s="1136" t="str">
        <f>IF(TRIM($B249)="","",IF(IFERROR(INDEX(Lists!$AQ$2:$AQ$11,MATCH(ROW(),Lists!$AN$2:$AN$11,0)),"")&lt;&gt;"",IFERROR(INDEX(Lists!$AQ$2:$AQ$11,MATCH(ROW(),Lists!$AN$2:$AN$11,0)),""),IF(ISNUMBER(SEARCH("head of ",$C249)),"Head of Technology",IF(ISNUMBER(SEARCH("TDD BP",$C249)),"Business Partner",IF(OR(ISNUMBER(SEARCH("domain architect",$C249)),ISNUMBER(SEARCH("enterprise architect",$C249))),"Domain Architect",IF(ISNUMBER(SEARCH("delivery man",$C249)),"Delivery Manager",IF(OR(ISNUMBER(SEARCH("technology manager",$C249)),ISNUMBER(SEARCH("technology manger",$C249)),ISNUMBER(SEARCH("tech manager",$C249))),"Technology Manager","Squad")))))))</f>
        <v>Squad</v>
      </c>
      <c r="AS249" s="1136" t="str">
        <f>IF(TRIM($B249)="","",IFERROR(INDEX(Lists!$AA:$AA,MATCH($AP249,Lists!$Z:$Z,0)),$AP249))</f>
        <v>EGI</v>
      </c>
      <c r="AT249" s="1136" t="str">
        <f>IF(TRIM($B249)="","",IF(IFERROR(INDEX(Lists!$AP$2:$AP$11,MATCH(ROW(),Lists!$AN$2:$AN$11,0)),"")&lt;&gt;"",IFERROR(INDEX(Lists!$AP$2:$AP$11,MATCH(ROW(),Lists!$AN$2:$AN$11,0)),""),IF(OR(LEFT($AJ249,3)="COE",$AJ249="EGI"),$AP249,IF($AR249&lt;&gt;"Squad",$AR249,$AP249))))</f>
        <v>EGI</v>
      </c>
    </row>
    <row r="250" ht="18" customHeight="1" s="866">
      <c r="A250" s="1254" t="n">
        <v>106830</v>
      </c>
      <c r="B250" s="1236" t="inlineStr">
        <is>
          <t>Moitri Pal</t>
        </is>
      </c>
      <c r="C250" s="1237" t="inlineStr">
        <is>
          <t>Portfolio Mnager</t>
        </is>
      </c>
      <c r="D250" s="1236" t="inlineStr">
        <is>
          <t>Greg Cassis</t>
        </is>
      </c>
      <c r="E250" s="1236" t="inlineStr">
        <is>
          <t>GM TDD, EGI</t>
        </is>
      </c>
      <c r="F250" s="1236" t="inlineStr">
        <is>
          <t>EGI</t>
        </is>
      </c>
      <c r="G250" s="1238" t="inlineStr">
        <is>
          <t>EGI</t>
        </is>
      </c>
      <c r="H250" s="1238" t="inlineStr">
        <is>
          <t>EGI</t>
        </is>
      </c>
      <c r="I250" s="1238" t="inlineStr">
        <is>
          <t>EGI</t>
        </is>
      </c>
      <c r="J250" s="1238" t="inlineStr">
        <is>
          <t>EGI</t>
        </is>
      </c>
      <c r="K250" s="1238" t="inlineStr">
        <is>
          <t>EGI</t>
        </is>
      </c>
      <c r="L250" s="1238" t="n"/>
      <c r="M250" s="1239" t="inlineStr">
        <is>
          <t>Australia</t>
        </is>
      </c>
      <c r="N250" s="1240" t="inlineStr">
        <is>
          <t>CSC</t>
        </is>
      </c>
      <c r="O250" s="1240" t="n">
        <v>1</v>
      </c>
      <c r="P250" s="1240" t="n"/>
      <c r="Q250" s="1240" t="inlineStr">
        <is>
          <t>Permanent - Full Time</t>
        </is>
      </c>
      <c r="R250" s="1241" t="n"/>
      <c r="S250" s="1241" t="n"/>
      <c r="T250" s="1242" t="n">
        <v>230010</v>
      </c>
      <c r="U250" s="1243">
        <f>T250</f>
        <v>230010</v>
      </c>
      <c r="V250" s="1244" t="n">
        <v>0.2</v>
      </c>
      <c r="W250" s="1245" t="n">
        <v>0.055</v>
      </c>
      <c r="X250" s="1245" t="n">
        <v>0.12</v>
      </c>
      <c r="Y250" s="1246" t="n"/>
      <c r="Z250" s="1245" t="n">
        <v>0.04</v>
      </c>
      <c r="AA250" s="1255">
        <f>IF(TRIM($B250)="","",IF(N($AU250)&gt;0,$AU250,IF(N($S250)&gt;0,$S250*Lists!$AG$15*(1+N($Z250)),N($U250)*(1+N($V250)+N($W250)+N($X250)+N($Z250))+N($Y250))))</f>
        <v>325464.15</v>
      </c>
      <c r="AJ250" s="865" t="str">
        <f>IF(TRIM($B250)="","",IF(IFERROR(INDEX(Lists!$AO$2:$AO$11,MATCH(ROW(),Lists!$AN$2:$AN$11,0)),"")&lt;&gt;"",IFERROR(INDEX(Lists!$AO$2:$AO$11,MATCH(ROW(),Lists!$AN$2:$AN$11,0)),""),IFERROR(INDEX(Lists!$U:$U,MATCH(TRIM($I250),Lists!$T:$T,0)),TRIM($I250))))</f>
        <v>EGI</v>
      </c>
      <c r="AK250" s="865" t="str">
        <f>IF(ISNUMBER(SEARCH("vacant",$B250)),"Vacant","Filled")</f>
        <v>Filled</v>
      </c>
      <c r="AL250" s="865" t="str">
        <f>IF($M250="NZ","NZ","AU")</f>
        <v>AU</v>
      </c>
      <c r="AM250" s="865">
        <f>COUNTIF($AJ$2:$AJ250,$AJ250)</f>
        <v>12</v>
      </c>
      <c r="AN250" s="865" t="str">
        <f>$AJ250&amp;"|"&amp;$AM250</f>
        <v>EGI|12</v>
      </c>
      <c r="AP250" s="865" t="str">
        <f>IF(TRIM($B250)="","",IF($AQ250=1,"Leadership",IFERROR(INDEX(Lists!$X:$X,MATCH(TRIM($K250),Lists!$W:$W,0)),IF(OR(TRIM($K250)="",LOWER(TRIM($K250))="na"),IF(TRIM($G250)="","Unassigned",TRIM($G250)),TRIM($K250)))))</f>
        <v>EGI</v>
      </c>
      <c r="AQ250" s="865" t="b">
        <f>IF(TRIM($B250)="","",--OR(TRIM($K250)="Leadership",TRIM($J250)="Leadership"))</f>
        <v>0</v>
      </c>
      <c r="AR250" s="1136" t="str">
        <f>IF(TRIM($B250)="","",IF(IFERROR(INDEX(Lists!$AQ$2:$AQ$11,MATCH(ROW(),Lists!$AN$2:$AN$11,0)),"")&lt;&gt;"",IFERROR(INDEX(Lists!$AQ$2:$AQ$11,MATCH(ROW(),Lists!$AN$2:$AN$11,0)),""),IF(ISNUMBER(SEARCH("head of ",$C250)),"Head of Technology",IF(ISNUMBER(SEARCH("TDD BP",$C250)),"Business Partner",IF(OR(ISNUMBER(SEARCH("domain architect",$C250)),ISNUMBER(SEARCH("enterprise architect",$C250))),"Domain Architect",IF(ISNUMBER(SEARCH("delivery man",$C250)),"Delivery Manager",IF(OR(ISNUMBER(SEARCH("technology manager",$C250)),ISNUMBER(SEARCH("technology manger",$C250)),ISNUMBER(SEARCH("tech manager",$C250))),"Technology Manager","Squad")))))))</f>
        <v>Squad</v>
      </c>
      <c r="AS250" s="1136" t="str">
        <f>IF(TRIM($B250)="","",IFERROR(INDEX(Lists!$AA:$AA,MATCH($AP250,Lists!$Z:$Z,0)),$AP250))</f>
        <v>EGI</v>
      </c>
      <c r="AT250" s="1136" t="str">
        <f>IF(TRIM($B250)="","",IF(IFERROR(INDEX(Lists!$AP$2:$AP$11,MATCH(ROW(),Lists!$AN$2:$AN$11,0)),"")&lt;&gt;"",IFERROR(INDEX(Lists!$AP$2:$AP$11,MATCH(ROW(),Lists!$AN$2:$AN$11,0)),""),IF(OR(LEFT($AJ250,3)="COE",$AJ250="EGI"),$AP250,IF($AR250&lt;&gt;"Squad",$AR250,$AP250))))</f>
        <v>EGI</v>
      </c>
    </row>
    <row r="251" ht="18" customHeight="1" s="866">
      <c r="A251" s="1235" t="inlineStr">
        <is>
          <t>C</t>
        </is>
      </c>
      <c r="B251" s="1236" t="inlineStr">
        <is>
          <t>Niall Greene</t>
        </is>
      </c>
      <c r="C251" s="1237" t="inlineStr">
        <is>
          <t>Project Manager (PEP13-EGI-UKG)</t>
        </is>
      </c>
      <c r="D251" s="1236" t="inlineStr">
        <is>
          <t>Areum Kim-Lee</t>
        </is>
      </c>
      <c r="E251" s="1238" t="inlineStr">
        <is>
          <t>GM TDD, EGI</t>
        </is>
      </c>
      <c r="F251" s="1236" t="inlineStr">
        <is>
          <t>EGI</t>
        </is>
      </c>
      <c r="G251" s="1238" t="inlineStr">
        <is>
          <t>EGI</t>
        </is>
      </c>
      <c r="H251" s="1238" t="inlineStr">
        <is>
          <t>EGI</t>
        </is>
      </c>
      <c r="I251" s="1238" t="inlineStr">
        <is>
          <t>EGI</t>
        </is>
      </c>
      <c r="J251" s="1238" t="inlineStr">
        <is>
          <t>EGI</t>
        </is>
      </c>
      <c r="K251" s="1236" t="inlineStr">
        <is>
          <t>EGI</t>
        </is>
      </c>
      <c r="L251" s="1238" t="n"/>
      <c r="M251" s="1239" t="inlineStr">
        <is>
          <t>Australia</t>
        </is>
      </c>
      <c r="N251" s="1241" t="inlineStr">
        <is>
          <t>NA</t>
        </is>
      </c>
      <c r="O251" s="1240" t="n">
        <v>1</v>
      </c>
      <c r="P251" s="1241" t="n"/>
      <c r="Q251" s="1241" t="inlineStr">
        <is>
          <t>cxc</t>
        </is>
      </c>
      <c r="R251" s="1249" t="inlineStr">
        <is>
          <t>Daily</t>
        </is>
      </c>
      <c r="S251" s="1241" t="n">
        <v>1100</v>
      </c>
      <c r="T251" s="1242" t="n">
        <v>0</v>
      </c>
      <c r="U251" s="1242" t="n"/>
      <c r="V251" s="1238" t="n"/>
      <c r="W251" s="1238" t="n"/>
      <c r="X251" s="1238" t="n"/>
      <c r="Y251" s="1238" t="n"/>
      <c r="Z251" s="1238" t="n"/>
      <c r="AA251" s="1247">
        <f>IF(TRIM($B251)="","",IF(N($AU251)&gt;0,$AU251,IF(N($S251)&gt;0,$S251*Lists!$AG$15*(1+N($Z251)),N($U251)*(1+N($V251)+N($W251)+N($X251)+N($Z251))+N($Y251))))</f>
        <v>244200</v>
      </c>
      <c r="AJ251" s="865" t="str">
        <f>IF(TRIM($B251)="","",IF(IFERROR(INDEX(Lists!$AO$2:$AO$11,MATCH(ROW(),Lists!$AN$2:$AN$11,0)),"")&lt;&gt;"",IFERROR(INDEX(Lists!$AO$2:$AO$11,MATCH(ROW(),Lists!$AN$2:$AN$11,0)),""),IFERROR(INDEX(Lists!$U:$U,MATCH(TRIM($I251),Lists!$T:$T,0)),TRIM($I251))))</f>
        <v>EGI</v>
      </c>
      <c r="AK251" s="865" t="str">
        <f>IF(ISNUMBER(SEARCH("vacant",$B251)),"Vacant","Filled")</f>
        <v>Filled</v>
      </c>
      <c r="AL251" s="865" t="str">
        <f>IF($M251="NZ","NZ","AU")</f>
        <v>AU</v>
      </c>
      <c r="AM251" s="865">
        <f>COUNTIF($AJ$2:$AJ251,$AJ251)</f>
        <v>13</v>
      </c>
      <c r="AN251" s="865" t="str">
        <f>$AJ251&amp;"|"&amp;$AM251</f>
        <v>EGI|13</v>
      </c>
      <c r="AP251" s="865" t="str">
        <f>IF(TRIM($B251)="","",IF($AQ251=1,"Leadership",IFERROR(INDEX(Lists!$X:$X,MATCH(TRIM($K251),Lists!$W:$W,0)),IF(OR(TRIM($K251)="",LOWER(TRIM($K251))="na"),IF(TRIM($G251)="","Unassigned",TRIM($G251)),TRIM($K251)))))</f>
        <v>EGI</v>
      </c>
      <c r="AQ251" s="865" t="b">
        <f>IF(TRIM($B251)="","",--OR(TRIM($K251)="Leadership",TRIM($J251)="Leadership"))</f>
        <v>0</v>
      </c>
      <c r="AR251" s="1136" t="str">
        <f>IF(TRIM($B251)="","",IF(IFERROR(INDEX(Lists!$AQ$2:$AQ$11,MATCH(ROW(),Lists!$AN$2:$AN$11,0)),"")&lt;&gt;"",IFERROR(INDEX(Lists!$AQ$2:$AQ$11,MATCH(ROW(),Lists!$AN$2:$AN$11,0)),""),IF(ISNUMBER(SEARCH("head of ",$C251)),"Head of Technology",IF(ISNUMBER(SEARCH("TDD BP",$C251)),"Business Partner",IF(OR(ISNUMBER(SEARCH("domain architect",$C251)),ISNUMBER(SEARCH("enterprise architect",$C251))),"Domain Architect",IF(ISNUMBER(SEARCH("delivery man",$C251)),"Delivery Manager",IF(OR(ISNUMBER(SEARCH("technology manager",$C251)),ISNUMBER(SEARCH("technology manger",$C251)),ISNUMBER(SEARCH("tech manager",$C251))),"Technology Manager","Squad")))))))</f>
        <v>Squad</v>
      </c>
      <c r="AS251" s="1136" t="str">
        <f>IF(TRIM($B251)="","",IFERROR(INDEX(Lists!$AA:$AA,MATCH($AP251,Lists!$Z:$Z,0)),$AP251))</f>
        <v>EGI</v>
      </c>
      <c r="AT251" s="1136" t="str">
        <f>IF(TRIM($B251)="","",IF(IFERROR(INDEX(Lists!$AP$2:$AP$11,MATCH(ROW(),Lists!$AN$2:$AN$11,0)),"")&lt;&gt;"",IFERROR(INDEX(Lists!$AP$2:$AP$11,MATCH(ROW(),Lists!$AN$2:$AN$11,0)),""),IF(OR(LEFT($AJ251,3)="COE",$AJ251="EGI"),$AP251,IF($AR251&lt;&gt;"Squad",$AR251,$AP251))))</f>
        <v>EGI</v>
      </c>
    </row>
    <row r="252" ht="18" customHeight="1" s="866">
      <c r="A252" s="1235" t="inlineStr">
        <is>
          <t>c</t>
        </is>
      </c>
      <c r="B252" s="1236" t="inlineStr">
        <is>
          <t>Paul Hassey</t>
        </is>
      </c>
      <c r="C252" s="1237" t="inlineStr">
        <is>
          <t>Program Architect</t>
        </is>
      </c>
      <c r="D252" s="1238" t="inlineStr">
        <is>
          <t>Ed Tacey</t>
        </is>
      </c>
      <c r="E252" s="1236" t="n"/>
      <c r="F252" s="1236" t="inlineStr">
        <is>
          <t>EGI</t>
        </is>
      </c>
      <c r="G252" s="1238" t="inlineStr">
        <is>
          <t>EGI</t>
        </is>
      </c>
      <c r="H252" s="1238" t="inlineStr">
        <is>
          <t>EGI</t>
        </is>
      </c>
      <c r="I252" s="1238" t="inlineStr">
        <is>
          <t>EGI</t>
        </is>
      </c>
      <c r="J252" s="1238" t="inlineStr">
        <is>
          <t>EGI</t>
        </is>
      </c>
      <c r="K252" s="1238" t="inlineStr">
        <is>
          <t>EGI</t>
        </is>
      </c>
      <c r="L252" s="1236" t="n"/>
      <c r="M252" s="1239" t="inlineStr">
        <is>
          <t>Australia</t>
        </is>
      </c>
      <c r="N252" s="1240" t="inlineStr">
        <is>
          <t>na</t>
        </is>
      </c>
      <c r="O252" s="1240" t="n">
        <v>1</v>
      </c>
      <c r="P252" s="1240" t="n"/>
      <c r="Q252" s="1241" t="inlineStr">
        <is>
          <t>cxc</t>
        </is>
      </c>
      <c r="R252" s="1241" t="inlineStr">
        <is>
          <t>Daily</t>
        </is>
      </c>
      <c r="S252" s="1241" t="n">
        <v>1400</v>
      </c>
      <c r="T252" s="1242" t="n">
        <v>0</v>
      </c>
      <c r="U252" s="1243" t="n"/>
      <c r="V252" s="1244" t="n"/>
      <c r="W252" s="1245" t="n"/>
      <c r="X252" s="1245" t="n"/>
      <c r="Y252" s="1246" t="n"/>
      <c r="Z252" s="1245" t="n"/>
      <c r="AA252" s="1247">
        <f>IF(TRIM($B252)="","",IF(N($AU252)&gt;0,$AU252,IF(N($S252)&gt;0,$S252*Lists!$AG$15*(1+N($Z252)),N($U252)*(1+N($V252)+N($W252)+N($X252)+N($Z252))+N($Y252))))</f>
        <v>310800</v>
      </c>
      <c r="AJ252" s="865" t="str">
        <f>IF(TRIM($B252)="","",IF(IFERROR(INDEX(Lists!$AO$2:$AO$11,MATCH(ROW(),Lists!$AN$2:$AN$11,0)),"")&lt;&gt;"",IFERROR(INDEX(Lists!$AO$2:$AO$11,MATCH(ROW(),Lists!$AN$2:$AN$11,0)),""),IFERROR(INDEX(Lists!$U:$U,MATCH(TRIM($I252),Lists!$T:$T,0)),TRIM($I252))))</f>
        <v>EGI</v>
      </c>
      <c r="AK252" s="865" t="str">
        <f>IF(ISNUMBER(SEARCH("vacant",$B252)),"Vacant","Filled")</f>
        <v>Filled</v>
      </c>
      <c r="AL252" s="865" t="str">
        <f>IF($M252="NZ","NZ","AU")</f>
        <v>AU</v>
      </c>
      <c r="AM252" s="865">
        <f>COUNTIF($AJ$2:$AJ252,$AJ252)</f>
        <v>14</v>
      </c>
      <c r="AN252" s="865" t="str">
        <f>$AJ252&amp;"|"&amp;$AM252</f>
        <v>EGI|14</v>
      </c>
      <c r="AP252" s="865" t="str">
        <f>IF(TRIM($B252)="","",IF($AQ252=1,"Leadership",IFERROR(INDEX(Lists!$X:$X,MATCH(TRIM($K252),Lists!$W:$W,0)),IF(OR(TRIM($K252)="",LOWER(TRIM($K252))="na"),IF(TRIM($G252)="","Unassigned",TRIM($G252)),TRIM($K252)))))</f>
        <v>EGI</v>
      </c>
      <c r="AQ252" s="865" t="b">
        <f>IF(TRIM($B252)="","",--OR(TRIM($K252)="Leadership",TRIM($J252)="Leadership"))</f>
        <v>0</v>
      </c>
      <c r="AR252" s="1136" t="str">
        <f>IF(TRIM($B252)="","",IF(IFERROR(INDEX(Lists!$AQ$2:$AQ$11,MATCH(ROW(),Lists!$AN$2:$AN$11,0)),"")&lt;&gt;"",IFERROR(INDEX(Lists!$AQ$2:$AQ$11,MATCH(ROW(),Lists!$AN$2:$AN$11,0)),""),IF(ISNUMBER(SEARCH("head of ",$C252)),"Head of Technology",IF(ISNUMBER(SEARCH("TDD BP",$C252)),"Business Partner",IF(OR(ISNUMBER(SEARCH("domain architect",$C252)),ISNUMBER(SEARCH("enterprise architect",$C252))),"Domain Architect",IF(ISNUMBER(SEARCH("delivery man",$C252)),"Delivery Manager",IF(OR(ISNUMBER(SEARCH("technology manager",$C252)),ISNUMBER(SEARCH("technology manger",$C252)),ISNUMBER(SEARCH("tech manager",$C252))),"Technology Manager","Squad")))))))</f>
        <v>Squad</v>
      </c>
      <c r="AS252" s="1136" t="str">
        <f>IF(TRIM($B252)="","",IFERROR(INDEX(Lists!$AA:$AA,MATCH($AP252,Lists!$Z:$Z,0)),$AP252))</f>
        <v>EGI</v>
      </c>
      <c r="AT252" s="1136" t="str">
        <f>IF(TRIM($B252)="","",IF(IFERROR(INDEX(Lists!$AP$2:$AP$11,MATCH(ROW(),Lists!$AN$2:$AN$11,0)),"")&lt;&gt;"",IFERROR(INDEX(Lists!$AP$2:$AP$11,MATCH(ROW(),Lists!$AN$2:$AN$11,0)),""),IF(OR(LEFT($AJ252,3)="COE",$AJ252="EGI"),$AP252,IF($AR252&lt;&gt;"Squad",$AR252,$AP252))))</f>
        <v>EGI</v>
      </c>
    </row>
    <row r="253" ht="18" customHeight="1" s="866">
      <c r="A253" s="1235" t="inlineStr">
        <is>
          <t>c</t>
        </is>
      </c>
      <c r="B253" s="1236" t="inlineStr">
        <is>
          <t>vijay Solanki</t>
        </is>
      </c>
      <c r="C253" s="1237" t="inlineStr">
        <is>
          <t>Project Manager Deployment</t>
        </is>
      </c>
      <c r="D253" s="1236" t="inlineStr">
        <is>
          <t>greg Cassis</t>
        </is>
      </c>
      <c r="E253" s="1236" t="n"/>
      <c r="F253" s="1236" t="inlineStr">
        <is>
          <t>EGI</t>
        </is>
      </c>
      <c r="G253" s="1238" t="n"/>
      <c r="H253" s="1236" t="n"/>
      <c r="I253" s="1236" t="inlineStr">
        <is>
          <t>EGI</t>
        </is>
      </c>
      <c r="J253" s="1238" t="inlineStr">
        <is>
          <t>EGI</t>
        </is>
      </c>
      <c r="K253" s="1236" t="inlineStr">
        <is>
          <t>EGI</t>
        </is>
      </c>
      <c r="L253" s="1238" t="n"/>
      <c r="M253" s="1239" t="inlineStr">
        <is>
          <t>Australia</t>
        </is>
      </c>
      <c r="N253" s="1240" t="inlineStr">
        <is>
          <t>na</t>
        </is>
      </c>
      <c r="O253" s="1240" t="n">
        <v>1</v>
      </c>
      <c r="P253" s="1240" t="n"/>
      <c r="Q253" s="1241" t="inlineStr">
        <is>
          <t>cxc</t>
        </is>
      </c>
      <c r="R253" s="1241" t="inlineStr">
        <is>
          <t>Daily</t>
        </is>
      </c>
      <c r="S253" s="1241" t="n">
        <v>1200</v>
      </c>
      <c r="T253" s="1242" t="n">
        <v>0</v>
      </c>
      <c r="U253" s="1243" t="n"/>
      <c r="V253" s="1244" t="n"/>
      <c r="W253" s="1245" t="n"/>
      <c r="X253" s="1245" t="n"/>
      <c r="Y253" s="1246" t="n"/>
      <c r="Z253" s="1245" t="n"/>
      <c r="AA253" s="1247">
        <f>IF(TRIM($B253)="","",IF(N($AU253)&gt;0,$AU253,IF(N($S253)&gt;0,$S253*Lists!$AG$15*(1+N($Z253)),N($U253)*(1+N($V253)+N($W253)+N($X253)+N($Z253))+N($Y253))))</f>
        <v>266400</v>
      </c>
      <c r="AJ253" s="865" t="str">
        <f>IF(TRIM($B253)="","",IF(IFERROR(INDEX(Lists!$AO$2:$AO$11,MATCH(ROW(),Lists!$AN$2:$AN$11,0)),"")&lt;&gt;"",IFERROR(INDEX(Lists!$AO$2:$AO$11,MATCH(ROW(),Lists!$AN$2:$AN$11,0)),""),IFERROR(INDEX(Lists!$U:$U,MATCH(TRIM($I253),Lists!$T:$T,0)),TRIM($I253))))</f>
        <v>EGI</v>
      </c>
      <c r="AK253" s="865" t="str">
        <f>IF(ISNUMBER(SEARCH("vacant",$B253)),"Vacant","Filled")</f>
        <v>Filled</v>
      </c>
      <c r="AL253" s="865" t="str">
        <f>IF($M253="NZ","NZ","AU")</f>
        <v>AU</v>
      </c>
      <c r="AM253" s="865">
        <f>COUNTIF($AJ$2:$AJ253,$AJ253)</f>
        <v>15</v>
      </c>
      <c r="AN253" s="865" t="str">
        <f>$AJ253&amp;"|"&amp;$AM253</f>
        <v>EGI|15</v>
      </c>
      <c r="AP253" s="865" t="str">
        <f>IF(TRIM($B253)="","",IF($AQ253=1,"Leadership",IFERROR(INDEX(Lists!$X:$X,MATCH(TRIM($K253),Lists!$W:$W,0)),IF(OR(TRIM($K253)="",LOWER(TRIM($K253))="na"),IF(TRIM($G253)="","Unassigned",TRIM($G253)),TRIM($K253)))))</f>
        <v>EGI</v>
      </c>
      <c r="AQ253" s="865" t="b">
        <f>IF(TRIM($B253)="","",--OR(TRIM($K253)="Leadership",TRIM($J253)="Leadership"))</f>
        <v>0</v>
      </c>
      <c r="AR253" s="1136" t="str">
        <f>IF(TRIM($B253)="","",IF(IFERROR(INDEX(Lists!$AQ$2:$AQ$11,MATCH(ROW(),Lists!$AN$2:$AN$11,0)),"")&lt;&gt;"",IFERROR(INDEX(Lists!$AQ$2:$AQ$11,MATCH(ROW(),Lists!$AN$2:$AN$11,0)),""),IF(ISNUMBER(SEARCH("head of ",$C253)),"Head of Technology",IF(ISNUMBER(SEARCH("TDD BP",$C253)),"Business Partner",IF(OR(ISNUMBER(SEARCH("domain architect",$C253)),ISNUMBER(SEARCH("enterprise architect",$C253))),"Domain Architect",IF(ISNUMBER(SEARCH("delivery man",$C253)),"Delivery Manager",IF(OR(ISNUMBER(SEARCH("technology manager",$C253)),ISNUMBER(SEARCH("technology manger",$C253)),ISNUMBER(SEARCH("tech manager",$C253))),"Technology Manager","Squad")))))))</f>
        <v>Squad</v>
      </c>
      <c r="AS253" s="1136" t="str">
        <f>IF(TRIM($B253)="","",IFERROR(INDEX(Lists!$AA:$AA,MATCH($AP253,Lists!$Z:$Z,0)),$AP253))</f>
        <v>EGI</v>
      </c>
      <c r="AT253" s="1136" t="str">
        <f>IF(TRIM($B253)="","",IF(IFERROR(INDEX(Lists!$AP$2:$AP$11,MATCH(ROW(),Lists!$AN$2:$AN$11,0)),"")&lt;&gt;"",IFERROR(INDEX(Lists!$AP$2:$AP$11,MATCH(ROW(),Lists!$AN$2:$AN$11,0)),""),IF(OR(LEFT($AJ253,3)="COE",$AJ253="EGI"),$AP253,IF($AR253&lt;&gt;"Squad",$AR253,$AP253))))</f>
        <v>EGI</v>
      </c>
    </row>
    <row r="254" ht="18" customHeight="1" s="866">
      <c r="A254" s="1235" t="inlineStr">
        <is>
          <t>C</t>
        </is>
      </c>
      <c r="B254" s="1236" t="inlineStr">
        <is>
          <t>Winnie Fernandes</t>
        </is>
      </c>
      <c r="C254" s="1237" t="inlineStr">
        <is>
          <t>Delivery Lead - Integration</t>
        </is>
      </c>
      <c r="D254" s="1236" t="inlineStr">
        <is>
          <t>Moitri Pal</t>
        </is>
      </c>
      <c r="E254" s="1236" t="inlineStr">
        <is>
          <t>Program Manager - EGI</t>
        </is>
      </c>
      <c r="F254" s="1236" t="inlineStr">
        <is>
          <t>EGI</t>
        </is>
      </c>
      <c r="G254" s="1238" t="inlineStr">
        <is>
          <t>EGI</t>
        </is>
      </c>
      <c r="H254" s="1136" t="inlineStr">
        <is>
          <t>EGI</t>
        </is>
      </c>
      <c r="I254" s="1238" t="inlineStr">
        <is>
          <t>EGI</t>
        </is>
      </c>
      <c r="J254" s="1238" t="inlineStr">
        <is>
          <t>EGI</t>
        </is>
      </c>
      <c r="K254" s="1236" t="inlineStr">
        <is>
          <t>EGI</t>
        </is>
      </c>
      <c r="L254" s="1238" t="n"/>
      <c r="M254" s="1239" t="inlineStr">
        <is>
          <t>Australia</t>
        </is>
      </c>
      <c r="N254" s="1241" t="inlineStr">
        <is>
          <t>NA</t>
        </is>
      </c>
      <c r="O254" s="1240" t="n">
        <v>1</v>
      </c>
      <c r="P254" s="1241" t="n"/>
      <c r="Q254" s="1241" t="inlineStr">
        <is>
          <t>cxc</t>
        </is>
      </c>
      <c r="R254" s="1249" t="inlineStr">
        <is>
          <t>Daily</t>
        </is>
      </c>
      <c r="S254" s="1241" t="n">
        <v>1232</v>
      </c>
      <c r="T254" s="1242" t="n">
        <v>0</v>
      </c>
      <c r="U254" s="1242" t="n"/>
      <c r="V254" s="1238" t="n"/>
      <c r="W254" s="1238" t="n"/>
      <c r="X254" s="1238" t="n"/>
      <c r="Y254" s="1238" t="n"/>
      <c r="Z254" s="1238" t="n"/>
      <c r="AA254" s="1247">
        <f>IF(TRIM($B254)="","",IF(N($AU254)&gt;0,$AU254,IF(N($S254)&gt;0,$S254*Lists!$AG$15*(1+N($Z254)),N($U254)*(1+N($V254)+N($W254)+N($X254)+N($Z254))+N($Y254))))</f>
        <v>273504</v>
      </c>
      <c r="AJ254" s="865" t="str">
        <f>IF(TRIM($B254)="","",IF(IFERROR(INDEX(Lists!$AO$2:$AO$11,MATCH(ROW(),Lists!$AN$2:$AN$11,0)),"")&lt;&gt;"",IFERROR(INDEX(Lists!$AO$2:$AO$11,MATCH(ROW(),Lists!$AN$2:$AN$11,0)),""),IFERROR(INDEX(Lists!$U:$U,MATCH(TRIM($I254),Lists!$T:$T,0)),TRIM($I254))))</f>
        <v>EGI</v>
      </c>
      <c r="AK254" s="865" t="str">
        <f>IF(ISNUMBER(SEARCH("vacant",$B254)),"Vacant","Filled")</f>
        <v>Filled</v>
      </c>
      <c r="AL254" s="865" t="str">
        <f>IF($M254="NZ","NZ","AU")</f>
        <v>AU</v>
      </c>
      <c r="AM254" s="865">
        <f>COUNTIF($AJ$2:$AJ254,$AJ254)</f>
        <v>16</v>
      </c>
      <c r="AN254" s="865" t="str">
        <f>$AJ254&amp;"|"&amp;$AM254</f>
        <v>EGI|16</v>
      </c>
      <c r="AP254" s="865" t="str">
        <f>IF(TRIM($B254)="","",IF($AQ254=1,"Leadership",IFERROR(INDEX(Lists!$X:$X,MATCH(TRIM($K254),Lists!$W:$W,0)),IF(OR(TRIM($K254)="",LOWER(TRIM($K254))="na"),IF(TRIM($G254)="","Unassigned",TRIM($G254)),TRIM($K254)))))</f>
        <v>EGI</v>
      </c>
      <c r="AQ254" s="865" t="b">
        <f>IF(TRIM($B254)="","",--OR(TRIM($K254)="Leadership",TRIM($J254)="Leadership"))</f>
        <v>0</v>
      </c>
      <c r="AR254" s="1136" t="str">
        <f>IF(TRIM($B254)="","",IF(IFERROR(INDEX(Lists!$AQ$2:$AQ$11,MATCH(ROW(),Lists!$AN$2:$AN$11,0)),"")&lt;&gt;"",IFERROR(INDEX(Lists!$AQ$2:$AQ$11,MATCH(ROW(),Lists!$AN$2:$AN$11,0)),""),IF(ISNUMBER(SEARCH("head of ",$C254)),"Head of Technology",IF(ISNUMBER(SEARCH("TDD BP",$C254)),"Business Partner",IF(OR(ISNUMBER(SEARCH("domain architect",$C254)),ISNUMBER(SEARCH("enterprise architect",$C254))),"Domain Architect",IF(ISNUMBER(SEARCH("delivery man",$C254)),"Delivery Manager",IF(OR(ISNUMBER(SEARCH("technology manager",$C254)),ISNUMBER(SEARCH("technology manger",$C254)),ISNUMBER(SEARCH("tech manager",$C254))),"Technology Manager","Squad")))))))</f>
        <v>Squad</v>
      </c>
      <c r="AS254" s="1136" t="str">
        <f>IF(TRIM($B254)="","",IFERROR(INDEX(Lists!$AA:$AA,MATCH($AP254,Lists!$Z:$Z,0)),$AP254))</f>
        <v>EGI</v>
      </c>
      <c r="AT254" s="1136" t="str">
        <f>IF(TRIM($B254)="","",IF(IFERROR(INDEX(Lists!$AP$2:$AP$11,MATCH(ROW(),Lists!$AN$2:$AN$11,0)),"")&lt;&gt;"",IFERROR(INDEX(Lists!$AP$2:$AP$11,MATCH(ROW(),Lists!$AN$2:$AN$11,0)),""),IF(OR(LEFT($AJ254,3)="COE",$AJ254="EGI"),$AP254,IF($AR254&lt;&gt;"Squad",$AR254,$AP254))))</f>
        <v>EGI</v>
      </c>
    </row>
    <row r="255" ht="18" customHeight="1" s="866">
      <c r="A255" s="1155" t="n">
        <v>95835</v>
      </c>
      <c r="B255" s="1156" t="inlineStr">
        <is>
          <t>Briony Scott</t>
        </is>
      </c>
      <c r="C255" s="1156" t="inlineStr">
        <is>
          <t>Service &amp; Contract Specialist AU</t>
        </is>
      </c>
      <c r="D255" s="1158" t="inlineStr">
        <is>
          <t>Vacant</t>
        </is>
      </c>
      <c r="E255" s="1156" t="inlineStr">
        <is>
          <t>Commercial Director</t>
        </is>
      </c>
      <c r="F255" s="1157" t="inlineStr">
        <is>
          <t>Partnering &amp; Transformation</t>
        </is>
      </c>
      <c r="G255" s="1156" t="inlineStr">
        <is>
          <t>Commercial</t>
        </is>
      </c>
      <c r="H255" s="1156" t="inlineStr">
        <is>
          <t>NA</t>
        </is>
      </c>
      <c r="I255" s="1156" t="inlineStr">
        <is>
          <t>COE - Partnering &amp; Transformation</t>
        </is>
      </c>
      <c r="J255" s="1156" t="inlineStr">
        <is>
          <t>NA</t>
        </is>
      </c>
      <c r="K255" s="1156" t="inlineStr">
        <is>
          <t>NA</t>
        </is>
      </c>
      <c r="L255" s="1158" t="n"/>
      <c r="M255" s="1159" t="inlineStr">
        <is>
          <t>Australia</t>
        </is>
      </c>
      <c r="N255" s="1160" t="inlineStr">
        <is>
          <t>CIB</t>
        </is>
      </c>
      <c r="O255" s="1160" t="n">
        <v>1</v>
      </c>
      <c r="P255" s="1160" t="n"/>
      <c r="Q255" s="1160" t="inlineStr">
        <is>
          <t>Permanent - Full Time</t>
        </is>
      </c>
      <c r="R255" s="1162" t="n"/>
      <c r="S255" s="1162" t="n"/>
      <c r="T255" s="1163" t="n">
        <v>153600</v>
      </c>
      <c r="U255" s="1164" t="n">
        <v>153600</v>
      </c>
      <c r="V255" s="1166" t="n">
        <v>0.12</v>
      </c>
      <c r="W255" s="1170" t="n">
        <v>0.055</v>
      </c>
      <c r="X255" s="1170" t="n">
        <v>0.12</v>
      </c>
      <c r="Y255" s="1171" t="n"/>
      <c r="Z255" s="1170" t="n">
        <v>0.04</v>
      </c>
      <c r="AA255" s="1168">
        <f>IF(TRIM($B255)="","",IF(N($AU255)&gt;0,$AU255,IF(N($S255)&gt;0,$S255*Lists!$AG$15*(1+N($Z255)),N($U255)*(1+N($V255)+N($W255)+N($X255)+N($Z255))+N($Y255))))</f>
        <v>205056</v>
      </c>
      <c r="AJ255" s="865" t="str">
        <f>IF(TRIM($B255)="","",IF(IFERROR(INDEX(Lists!$AO$2:$AO$11,MATCH(ROW(),Lists!$AN$2:$AN$11,0)),"")&lt;&gt;"",IFERROR(INDEX(Lists!$AO$2:$AO$11,MATCH(ROW(),Lists!$AN$2:$AN$11,0)),""),IFERROR(INDEX(Lists!$U:$U,MATCH(TRIM($I255),Lists!$T:$T,0)),TRIM($I255))))</f>
        <v>COE BP&amp;T</v>
      </c>
      <c r="AK255" s="865" t="str">
        <f>IF(ISNUMBER(SEARCH("vacant",$B255)),"Vacant","Filled")</f>
        <v>Filled</v>
      </c>
      <c r="AL255" s="865" t="str">
        <f>IF($M255="NZ","NZ","AU")</f>
        <v>AU</v>
      </c>
      <c r="AM255" s="865">
        <f>COUNTIF($AJ$2:$AJ255,$AJ255)</f>
        <v>1</v>
      </c>
      <c r="AN255" s="865" t="str">
        <f>$AJ255&amp;"|"&amp;$AM255</f>
        <v>COE BP&amp;T|1</v>
      </c>
      <c r="AP255" s="865" t="str">
        <f>IF(TRIM($B255)="","",IF($AQ255=1,"Leadership",IFERROR(INDEX(Lists!$X:$X,MATCH(TRIM($K255),Lists!$W:$W,0)),IF(OR(TRIM($K255)="",LOWER(TRIM($K255))="na"),IF(TRIM($G255)="","Unassigned",TRIM($G255)),TRIM($K255)))))</f>
        <v>Commercial</v>
      </c>
      <c r="AQ255" s="865" t="b">
        <f>IF(TRIM($B255)="","",--OR(TRIM($K255)="Leadership",TRIM($J255)="Leadership"))</f>
        <v>0</v>
      </c>
      <c r="AR255" s="1136" t="str">
        <f>IF(TRIM($B255)="","",IF(IFERROR(INDEX(Lists!$AQ$2:$AQ$11,MATCH(ROW(),Lists!$AN$2:$AN$11,0)),"")&lt;&gt;"",IFERROR(INDEX(Lists!$AQ$2:$AQ$11,MATCH(ROW(),Lists!$AN$2:$AN$11,0)),""),IF(ISNUMBER(SEARCH("head of ",$C255)),"Head of Technology",IF(ISNUMBER(SEARCH("TDD BP",$C255)),"Business Partner",IF(OR(ISNUMBER(SEARCH("domain architect",$C255)),ISNUMBER(SEARCH("enterprise architect",$C255))),"Domain Architect",IF(ISNUMBER(SEARCH("delivery man",$C255)),"Delivery Manager",IF(OR(ISNUMBER(SEARCH("technology manager",$C255)),ISNUMBER(SEARCH("technology manger",$C255)),ISNUMBER(SEARCH("tech manager",$C255))),"Technology Manager","Squad")))))))</f>
        <v>Squad</v>
      </c>
      <c r="AS255" s="1136" t="str">
        <f>IF(TRIM($B255)="","",IFERROR(INDEX(Lists!$AA:$AA,MATCH($AP255,Lists!$Z:$Z,0)),$AP255))</f>
        <v>Commercial</v>
      </c>
      <c r="AT255" s="1136" t="str">
        <f>IF(TRIM($B255)="","",IF(IFERROR(INDEX(Lists!$AP$2:$AP$11,MATCH(ROW(),Lists!$AN$2:$AN$11,0)),"")&lt;&gt;"",IFERROR(INDEX(Lists!$AP$2:$AP$11,MATCH(ROW(),Lists!$AN$2:$AN$11,0)),""),IF(OR(LEFT($AJ255,3)="COE",$AJ255="EGI"),$AP255,IF($AR255&lt;&gt;"Squad",$AR255,$AP255))))</f>
        <v>Commercial</v>
      </c>
    </row>
    <row r="256" ht="18" customHeight="1" s="866">
      <c r="A256" s="1155" t="n">
        <v>102411</v>
      </c>
      <c r="B256" s="1156" t="inlineStr">
        <is>
          <t>Conli Mills</t>
        </is>
      </c>
      <c r="C256" s="1156" t="inlineStr">
        <is>
          <t>TDD BP - Infrastructure</t>
        </is>
      </c>
      <c r="D256" s="1156" t="inlineStr">
        <is>
          <t>Michael Schofield</t>
        </is>
      </c>
      <c r="E256" s="1156" t="inlineStr">
        <is>
          <t>GM TDD, Partnering &amp; Transformation</t>
        </is>
      </c>
      <c r="F256" s="1157" t="inlineStr">
        <is>
          <t>Partnering &amp; Transformation</t>
        </is>
      </c>
      <c r="G256" s="1156" t="inlineStr">
        <is>
          <t>TDD Business Partner</t>
        </is>
      </c>
      <c r="H256" s="1156" t="inlineStr">
        <is>
          <t>NA</t>
        </is>
      </c>
      <c r="I256" s="1156" t="inlineStr">
        <is>
          <t>COE - Partnering &amp; Transformation</t>
        </is>
      </c>
      <c r="J256" s="1156" t="inlineStr">
        <is>
          <t>NA</t>
        </is>
      </c>
      <c r="K256" s="1156" t="inlineStr">
        <is>
          <t>NA</t>
        </is>
      </c>
      <c r="L256" s="1158" t="n"/>
      <c r="M256" s="1159" t="inlineStr">
        <is>
          <t>Australia</t>
        </is>
      </c>
      <c r="N256" s="1160" t="inlineStr">
        <is>
          <t>CSC</t>
        </is>
      </c>
      <c r="O256" s="1160" t="n">
        <v>1</v>
      </c>
      <c r="P256" s="1160" t="n"/>
      <c r="Q256" s="1160" t="inlineStr">
        <is>
          <t>Permanent - Full Time</t>
        </is>
      </c>
      <c r="R256" s="1162" t="n"/>
      <c r="S256" s="1162" t="n"/>
      <c r="T256" s="1163" t="n">
        <v>210000</v>
      </c>
      <c r="U256" s="1164" t="n">
        <v>210000</v>
      </c>
      <c r="V256" s="1166" t="n">
        <v>0.2</v>
      </c>
      <c r="W256" s="1170" t="n">
        <v>0.055</v>
      </c>
      <c r="X256" s="1170" t="n">
        <v>0.12</v>
      </c>
      <c r="Y256" s="1171" t="n"/>
      <c r="Z256" s="1170" t="n">
        <v>0.04</v>
      </c>
      <c r="AA256" s="1168">
        <f>IF(TRIM($B256)="","",IF(N($AU256)&gt;0,$AU256,IF(N($S256)&gt;0,$S256*Lists!$AG$15*(1+N($Z256)),N($U256)*(1+N($V256)+N($W256)+N($X256)+N($Z256))+N($Y256))))</f>
        <v>297150</v>
      </c>
      <c r="AJ256" s="865" t="str">
        <f>IF(TRIM($B256)="","",IF(IFERROR(INDEX(Lists!$AO$2:$AO$11,MATCH(ROW(),Lists!$AN$2:$AN$11,0)),"")&lt;&gt;"",IFERROR(INDEX(Lists!$AO$2:$AO$11,MATCH(ROW(),Lists!$AN$2:$AN$11,0)),""),IFERROR(INDEX(Lists!$U:$U,MATCH(TRIM($I256),Lists!$T:$T,0)),TRIM($I256))))</f>
        <v>COE BP&amp;T</v>
      </c>
      <c r="AK256" s="865" t="str">
        <f>IF(ISNUMBER(SEARCH("vacant",$B256)),"Vacant","Filled")</f>
        <v>Filled</v>
      </c>
      <c r="AL256" s="865" t="str">
        <f>IF($M256="NZ","NZ","AU")</f>
        <v>AU</v>
      </c>
      <c r="AM256" s="865">
        <f>COUNTIF($AJ$2:$AJ256,$AJ256)</f>
        <v>2</v>
      </c>
      <c r="AN256" s="865" t="str">
        <f>$AJ256&amp;"|"&amp;$AM256</f>
        <v>COE BP&amp;T|2</v>
      </c>
      <c r="AP256" s="865" t="str">
        <f>IF(TRIM($B256)="","",IF($AQ256=1,"Leadership",IFERROR(INDEX(Lists!$X:$X,MATCH(TRIM($K256),Lists!$W:$W,0)),IF(OR(TRIM($K256)="",LOWER(TRIM($K256))="na"),IF(TRIM($G256)="","Unassigned",TRIM($G256)),TRIM($K256)))))</f>
        <v>TDD Business Partner</v>
      </c>
      <c r="AQ256" s="865" t="b">
        <f>IF(TRIM($B256)="","",--OR(TRIM($K256)="Leadership",TRIM($J256)="Leadership"))</f>
        <v>0</v>
      </c>
      <c r="AR256" s="1136" t="str">
        <f>IF(TRIM($B256)="","",IF(IFERROR(INDEX(Lists!$AQ$2:$AQ$11,MATCH(ROW(),Lists!$AN$2:$AN$11,0)),"")&lt;&gt;"",IFERROR(INDEX(Lists!$AQ$2:$AQ$11,MATCH(ROW(),Lists!$AN$2:$AN$11,0)),""),IF(ISNUMBER(SEARCH("head of ",$C256)),"Head of Technology",IF(ISNUMBER(SEARCH("TDD BP",$C256)),"Business Partner",IF(OR(ISNUMBER(SEARCH("domain architect",$C256)),ISNUMBER(SEARCH("enterprise architect",$C256))),"Domain Architect",IF(ISNUMBER(SEARCH("delivery man",$C256)),"Delivery Manager",IF(OR(ISNUMBER(SEARCH("technology manager",$C256)),ISNUMBER(SEARCH("technology manger",$C256)),ISNUMBER(SEARCH("tech manager",$C256))),"Technology Manager","Squad")))))))</f>
        <v>Business Partner</v>
      </c>
      <c r="AS256" s="1136" t="str">
        <f>IF(TRIM($B256)="","",IFERROR(INDEX(Lists!$AA:$AA,MATCH($AP256,Lists!$Z:$Z,0)),$AP256))</f>
        <v>TDD Business Partner</v>
      </c>
      <c r="AT256" s="1136" t="str">
        <f>IF(TRIM($B256)="","",IF(IFERROR(INDEX(Lists!$AP$2:$AP$11,MATCH(ROW(),Lists!$AN$2:$AN$11,0)),"")&lt;&gt;"",IFERROR(INDEX(Lists!$AP$2:$AP$11,MATCH(ROW(),Lists!$AN$2:$AN$11,0)),""),IF(OR(LEFT($AJ256,3)="COE",$AJ256="EGI"),$AP256,IF($AR256&lt;&gt;"Squad",$AR256,$AP256))))</f>
        <v>TDD Business Partner</v>
      </c>
    </row>
    <row r="257" ht="18" customHeight="1" s="866">
      <c r="A257" s="1155" t="n">
        <v>99999170371</v>
      </c>
      <c r="B257" s="1156" t="inlineStr">
        <is>
          <t>Helen Ngu</t>
        </is>
      </c>
      <c r="C257" s="1156" t="inlineStr">
        <is>
          <t>Service &amp; Contract Specialist NZ</t>
        </is>
      </c>
      <c r="D257" s="1158" t="inlineStr">
        <is>
          <t>Vacant</t>
        </is>
      </c>
      <c r="E257" s="1156" t="inlineStr">
        <is>
          <t>Commercial Director</t>
        </is>
      </c>
      <c r="F257" s="1157" t="inlineStr">
        <is>
          <t>Partnering &amp; Transformation</t>
        </is>
      </c>
      <c r="G257" s="1156" t="inlineStr">
        <is>
          <t>Commercial</t>
        </is>
      </c>
      <c r="H257" s="1156" t="inlineStr">
        <is>
          <t>NA</t>
        </is>
      </c>
      <c r="I257" s="1156" t="inlineStr">
        <is>
          <t>COE - Partnering &amp; Transformation</t>
        </is>
      </c>
      <c r="J257" s="1156" t="inlineStr">
        <is>
          <t>NA</t>
        </is>
      </c>
      <c r="K257" s="1156" t="inlineStr">
        <is>
          <t>NA</t>
        </is>
      </c>
      <c r="L257" s="1158" t="n"/>
      <c r="M257" s="1159" t="inlineStr">
        <is>
          <t>NZ</t>
        </is>
      </c>
      <c r="N257" s="1160" t="inlineStr">
        <is>
          <t>CIA</t>
        </is>
      </c>
      <c r="O257" s="1161" t="n">
        <v>1</v>
      </c>
      <c r="P257" s="1160" t="n"/>
      <c r="Q257" s="1161" t="inlineStr">
        <is>
          <t>Permanent - Full Time</t>
        </is>
      </c>
      <c r="R257" s="1162" t="n"/>
      <c r="S257" s="1162" t="n"/>
      <c r="T257" s="1163" t="n">
        <v>130870</v>
      </c>
      <c r="U257" s="1164" t="n">
        <v>120400.4</v>
      </c>
      <c r="V257" s="1165" t="n">
        <v>0.15</v>
      </c>
      <c r="W257" s="1161" t="n"/>
      <c r="X257" s="1166" t="n">
        <v>0.05</v>
      </c>
      <c r="Y257" s="1907" t="n">
        <v>2910</v>
      </c>
      <c r="Z257" s="1166" t="n">
        <v>0.03</v>
      </c>
      <c r="AA257" s="1168">
        <f>IF(TRIM($B257)="","",IF(N($AU257)&gt;0,$AU257,IF(N($S257)&gt;0,$S257*Lists!$AG$15*(1+N($Z257)),N($U257)*(1+N($V257)+N($W257)+N($X257)+N($Z257))+N($Y257))))</f>
        <v>151002.492</v>
      </c>
      <c r="AJ257" s="865" t="str">
        <f>IF(TRIM($B257)="","",IF(IFERROR(INDEX(Lists!$AO$2:$AO$11,MATCH(ROW(),Lists!$AN$2:$AN$11,0)),"")&lt;&gt;"",IFERROR(INDEX(Lists!$AO$2:$AO$11,MATCH(ROW(),Lists!$AN$2:$AN$11,0)),""),IFERROR(INDEX(Lists!$U:$U,MATCH(TRIM($I257),Lists!$T:$T,0)),TRIM($I257))))</f>
        <v>COE BP&amp;T</v>
      </c>
      <c r="AK257" s="865" t="str">
        <f>IF(ISNUMBER(SEARCH("vacant",$B257)),"Vacant","Filled")</f>
        <v>Filled</v>
      </c>
      <c r="AL257" s="865" t="str">
        <f>IF($M257="NZ","NZ","AU")</f>
        <v>NZ</v>
      </c>
      <c r="AM257" s="865">
        <f>COUNTIF($AJ$2:$AJ257,$AJ257)</f>
        <v>3</v>
      </c>
      <c r="AN257" s="865" t="str">
        <f>$AJ257&amp;"|"&amp;$AM257</f>
        <v>COE BP&amp;T|3</v>
      </c>
      <c r="AP257" s="865" t="str">
        <f>IF(TRIM($B257)="","",IF($AQ257=1,"Leadership",IFERROR(INDEX(Lists!$X:$X,MATCH(TRIM($K257),Lists!$W:$W,0)),IF(OR(TRIM($K257)="",LOWER(TRIM($K257))="na"),IF(TRIM($G257)="","Unassigned",TRIM($G257)),TRIM($K257)))))</f>
        <v>Commercial</v>
      </c>
      <c r="AQ257" s="865" t="b">
        <f>IF(TRIM($B257)="","",--OR(TRIM($K257)="Leadership",TRIM($J257)="Leadership"))</f>
        <v>0</v>
      </c>
      <c r="AR257" s="1136" t="str">
        <f>IF(TRIM($B257)="","",IF(IFERROR(INDEX(Lists!$AQ$2:$AQ$11,MATCH(ROW(),Lists!$AN$2:$AN$11,0)),"")&lt;&gt;"",IFERROR(INDEX(Lists!$AQ$2:$AQ$11,MATCH(ROW(),Lists!$AN$2:$AN$11,0)),""),IF(ISNUMBER(SEARCH("head of ",$C257)),"Head of Technology",IF(ISNUMBER(SEARCH("TDD BP",$C257)),"Business Partner",IF(OR(ISNUMBER(SEARCH("domain architect",$C257)),ISNUMBER(SEARCH("enterprise architect",$C257))),"Domain Architect",IF(ISNUMBER(SEARCH("delivery man",$C257)),"Delivery Manager",IF(OR(ISNUMBER(SEARCH("technology manager",$C257)),ISNUMBER(SEARCH("technology manger",$C257)),ISNUMBER(SEARCH("tech manager",$C257))),"Technology Manager","Squad")))))))</f>
        <v>Squad</v>
      </c>
      <c r="AS257" s="1136" t="str">
        <f>IF(TRIM($B257)="","",IFERROR(INDEX(Lists!$AA:$AA,MATCH($AP257,Lists!$Z:$Z,0)),$AP257))</f>
        <v>Commercial</v>
      </c>
      <c r="AT257" s="1136" t="str">
        <f>IF(TRIM($B257)="","",IF(IFERROR(INDEX(Lists!$AP$2:$AP$11,MATCH(ROW(),Lists!$AN$2:$AN$11,0)),"")&lt;&gt;"",IFERROR(INDEX(Lists!$AP$2:$AP$11,MATCH(ROW(),Lists!$AN$2:$AN$11,0)),""),IF(OR(LEFT($AJ257,3)="COE",$AJ257="EGI"),$AP257,IF($AR257&lt;&gt;"Squad",$AR257,$AP257))))</f>
        <v>Commercial</v>
      </c>
    </row>
    <row r="258" ht="18" customHeight="1" s="866">
      <c r="A258" s="1155" t="n">
        <v>113362</v>
      </c>
      <c r="B258" s="1156" t="inlineStr">
        <is>
          <t>Jane Esclandra</t>
        </is>
      </c>
      <c r="C258" s="1156" t="inlineStr">
        <is>
          <t>Software Asset Specialist</t>
        </is>
      </c>
      <c r="D258" s="1158" t="inlineStr">
        <is>
          <t>Vacant</t>
        </is>
      </c>
      <c r="E258" s="1156" t="inlineStr">
        <is>
          <t>Commercial Director</t>
        </is>
      </c>
      <c r="F258" s="1157" t="inlineStr">
        <is>
          <t>Partnering &amp; Transformation</t>
        </is>
      </c>
      <c r="G258" s="1156" t="inlineStr">
        <is>
          <t>Commercial</t>
        </is>
      </c>
      <c r="H258" s="1156" t="inlineStr">
        <is>
          <t>NA</t>
        </is>
      </c>
      <c r="I258" s="1156" t="inlineStr">
        <is>
          <t>COE - Partnering &amp; Transformation</t>
        </is>
      </c>
      <c r="J258" s="1156" t="inlineStr">
        <is>
          <t>NA</t>
        </is>
      </c>
      <c r="K258" s="1156" t="inlineStr">
        <is>
          <t>NA</t>
        </is>
      </c>
      <c r="L258" s="1158" t="n"/>
      <c r="M258" s="1159" t="inlineStr">
        <is>
          <t>Australia</t>
        </is>
      </c>
      <c r="N258" s="1160" t="inlineStr">
        <is>
          <t>CIB</t>
        </is>
      </c>
      <c r="O258" s="1160" t="n">
        <v>1</v>
      </c>
      <c r="P258" s="1160" t="n"/>
      <c r="Q258" s="1160" t="inlineStr">
        <is>
          <t>Permanent - Full Time</t>
        </is>
      </c>
      <c r="R258" s="1162" t="n"/>
      <c r="S258" s="1162" t="n"/>
      <c r="T258" s="1163" t="n">
        <v>137420</v>
      </c>
      <c r="U258" s="1164" t="n">
        <v>137420</v>
      </c>
      <c r="V258" s="1166" t="n">
        <v>0.12</v>
      </c>
      <c r="W258" s="1170" t="n">
        <v>0.055</v>
      </c>
      <c r="X258" s="1170" t="n">
        <v>0.12</v>
      </c>
      <c r="Y258" s="1171" t="n"/>
      <c r="Z258" s="1170" t="n">
        <v>0.04</v>
      </c>
      <c r="AA258" s="1168">
        <f>IF(TRIM($B258)="","",IF(N($AU258)&gt;0,$AU258,IF(N($S258)&gt;0,$S258*Lists!$AG$15*(1+N($Z258)),N($U258)*(1+N($V258)+N($W258)+N($X258)+N($Z258))+N($Y258))))</f>
        <v>183455.7</v>
      </c>
      <c r="AJ258" s="865" t="str">
        <f>IF(TRIM($B258)="","",IF(IFERROR(INDEX(Lists!$AO$2:$AO$11,MATCH(ROW(),Lists!$AN$2:$AN$11,0)),"")&lt;&gt;"",IFERROR(INDEX(Lists!$AO$2:$AO$11,MATCH(ROW(),Lists!$AN$2:$AN$11,0)),""),IFERROR(INDEX(Lists!$U:$U,MATCH(TRIM($I258),Lists!$T:$T,0)),TRIM($I258))))</f>
        <v>COE BP&amp;T</v>
      </c>
      <c r="AK258" s="865" t="str">
        <f>IF(ISNUMBER(SEARCH("vacant",$B258)),"Vacant","Filled")</f>
        <v>Filled</v>
      </c>
      <c r="AL258" s="865" t="str">
        <f>IF($M258="NZ","NZ","AU")</f>
        <v>AU</v>
      </c>
      <c r="AM258" s="865">
        <f>COUNTIF($AJ$2:$AJ258,$AJ258)</f>
        <v>4</v>
      </c>
      <c r="AN258" s="865" t="str">
        <f>$AJ258&amp;"|"&amp;$AM258</f>
        <v>COE BP&amp;T|4</v>
      </c>
      <c r="AP258" s="865" t="str">
        <f>IF(TRIM($B258)="","",IF($AQ258=1,"Leadership",IFERROR(INDEX(Lists!$X:$X,MATCH(TRIM($K258),Lists!$W:$W,0)),IF(OR(TRIM($K258)="",LOWER(TRIM($K258))="na"),IF(TRIM($G258)="","Unassigned",TRIM($G258)),TRIM($K258)))))</f>
        <v>Commercial</v>
      </c>
      <c r="AQ258" s="865" t="b">
        <f>IF(TRIM($B258)="","",--OR(TRIM($K258)="Leadership",TRIM($J258)="Leadership"))</f>
        <v>0</v>
      </c>
      <c r="AR258" s="1136" t="str">
        <f>IF(TRIM($B258)="","",IF(IFERROR(INDEX(Lists!$AQ$2:$AQ$11,MATCH(ROW(),Lists!$AN$2:$AN$11,0)),"")&lt;&gt;"",IFERROR(INDEX(Lists!$AQ$2:$AQ$11,MATCH(ROW(),Lists!$AN$2:$AN$11,0)),""),IF(ISNUMBER(SEARCH("head of ",$C258)),"Head of Technology",IF(ISNUMBER(SEARCH("TDD BP",$C258)),"Business Partner",IF(OR(ISNUMBER(SEARCH("domain architect",$C258)),ISNUMBER(SEARCH("enterprise architect",$C258))),"Domain Architect",IF(ISNUMBER(SEARCH("delivery man",$C258)),"Delivery Manager",IF(OR(ISNUMBER(SEARCH("technology manager",$C258)),ISNUMBER(SEARCH("technology manger",$C258)),ISNUMBER(SEARCH("tech manager",$C258))),"Technology Manager","Squad")))))))</f>
        <v>Squad</v>
      </c>
      <c r="AS258" s="1136" t="str">
        <f>IF(TRIM($B258)="","",IFERROR(INDEX(Lists!$AA:$AA,MATCH($AP258,Lists!$Z:$Z,0)),$AP258))</f>
        <v>Commercial</v>
      </c>
      <c r="AT258" s="1136" t="str">
        <f>IF(TRIM($B258)="","",IF(IFERROR(INDEX(Lists!$AP$2:$AP$11,MATCH(ROW(),Lists!$AN$2:$AN$11,0)),"")&lt;&gt;"",IFERROR(INDEX(Lists!$AP$2:$AP$11,MATCH(ROW(),Lists!$AN$2:$AN$11,0)),""),IF(OR(LEFT($AJ258,3)="COE",$AJ258="EGI"),$AP258,IF($AR258&lt;&gt;"Squad",$AR258,$AP258))))</f>
        <v>Commercial</v>
      </c>
    </row>
    <row r="259" ht="18" customHeight="1" s="866">
      <c r="A259" s="1155" t="n">
        <v>12992</v>
      </c>
      <c r="B259" s="1156" t="inlineStr">
        <is>
          <t>Jeannie Chu</t>
        </is>
      </c>
      <c r="C259" s="1156" t="inlineStr">
        <is>
          <t>Snr Finance Support Administrator</t>
        </is>
      </c>
      <c r="D259" s="1156" t="inlineStr">
        <is>
          <t>Sam Chan</t>
        </is>
      </c>
      <c r="E259" s="1156" t="inlineStr">
        <is>
          <t>Fin Ops Manager</t>
        </is>
      </c>
      <c r="F259" s="1157" t="inlineStr">
        <is>
          <t>Partnering &amp; Transformation</t>
        </is>
      </c>
      <c r="G259" s="1156" t="inlineStr">
        <is>
          <t>Transformation</t>
        </is>
      </c>
      <c r="H259" s="1156" t="inlineStr">
        <is>
          <t>NA</t>
        </is>
      </c>
      <c r="I259" s="1156" t="inlineStr">
        <is>
          <t>COE - Partnering &amp; Transformation</t>
        </is>
      </c>
      <c r="J259" s="1156" t="inlineStr">
        <is>
          <t>NA</t>
        </is>
      </c>
      <c r="K259" s="1156" t="inlineStr">
        <is>
          <t>NA</t>
        </is>
      </c>
      <c r="L259" s="1158" t="n"/>
      <c r="M259" s="1159" t="inlineStr">
        <is>
          <t>Australia</t>
        </is>
      </c>
      <c r="N259" s="1162" t="inlineStr">
        <is>
          <t>CDC</t>
        </is>
      </c>
      <c r="O259" s="1162" t="n">
        <v>1</v>
      </c>
      <c r="P259" s="1162" t="n"/>
      <c r="Q259" s="1162" t="inlineStr">
        <is>
          <t>Permanent - Full Time</t>
        </is>
      </c>
      <c r="R259" s="1162" t="n"/>
      <c r="S259" s="1162" t="n"/>
      <c r="T259" s="1163" t="n">
        <v>112310</v>
      </c>
      <c r="U259" s="1164" t="n">
        <v>112310</v>
      </c>
      <c r="V259" s="1166" t="n">
        <v>0.1</v>
      </c>
      <c r="W259" s="1170" t="n">
        <v>0.055</v>
      </c>
      <c r="X259" s="1170" t="n">
        <v>0.12</v>
      </c>
      <c r="Y259" s="1171" t="n"/>
      <c r="Z259" s="1170" t="n">
        <v>0.04</v>
      </c>
      <c r="AA259" s="1168">
        <f>IF(TRIM($B259)="","",IF(N($AU259)&gt;0,$AU259,IF(N($S259)&gt;0,$S259*Lists!$AG$15*(1+N($Z259)),N($U259)*(1+N($V259)+N($W259)+N($X259)+N($Z259))+N($Y259))))</f>
        <v>147687.65</v>
      </c>
      <c r="AJ259" s="865" t="str">
        <f>IF(TRIM($B259)="","",IF(IFERROR(INDEX(Lists!$AO$2:$AO$11,MATCH(ROW(),Lists!$AN$2:$AN$11,0)),"")&lt;&gt;"",IFERROR(INDEX(Lists!$AO$2:$AO$11,MATCH(ROW(),Lists!$AN$2:$AN$11,0)),""),IFERROR(INDEX(Lists!$U:$U,MATCH(TRIM($I259),Lists!$T:$T,0)),TRIM($I259))))</f>
        <v>COE BP&amp;T</v>
      </c>
      <c r="AK259" s="865" t="str">
        <f>IF(ISNUMBER(SEARCH("vacant",$B259)),"Vacant","Filled")</f>
        <v>Filled</v>
      </c>
      <c r="AL259" s="865" t="str">
        <f>IF($M259="NZ","NZ","AU")</f>
        <v>AU</v>
      </c>
      <c r="AM259" s="865">
        <f>COUNTIF($AJ$2:$AJ259,$AJ259)</f>
        <v>5</v>
      </c>
      <c r="AN259" s="865" t="str">
        <f>$AJ259&amp;"|"&amp;$AM259</f>
        <v>COE BP&amp;T|5</v>
      </c>
      <c r="AP259" s="865" t="str">
        <f>IF(TRIM($B259)="","",IF($AQ259=1,"Leadership",IFERROR(INDEX(Lists!$X:$X,MATCH(TRIM($K259),Lists!$W:$W,0)),IF(OR(TRIM($K259)="",LOWER(TRIM($K259))="na"),IF(TRIM($G259)="","Unassigned",TRIM($G259)),TRIM($K259)))))</f>
        <v>Transformation</v>
      </c>
      <c r="AQ259" s="865" t="b">
        <f>IF(TRIM($B259)="","",--OR(TRIM($K259)="Leadership",TRIM($J259)="Leadership"))</f>
        <v>0</v>
      </c>
      <c r="AR259" s="1136" t="str">
        <f>IF(TRIM($B259)="","",IF(IFERROR(INDEX(Lists!$AQ$2:$AQ$11,MATCH(ROW(),Lists!$AN$2:$AN$11,0)),"")&lt;&gt;"",IFERROR(INDEX(Lists!$AQ$2:$AQ$11,MATCH(ROW(),Lists!$AN$2:$AN$11,0)),""),IF(ISNUMBER(SEARCH("head of ",$C259)),"Head of Technology",IF(ISNUMBER(SEARCH("TDD BP",$C259)),"Business Partner",IF(OR(ISNUMBER(SEARCH("domain architect",$C259)),ISNUMBER(SEARCH("enterprise architect",$C259))),"Domain Architect",IF(ISNUMBER(SEARCH("delivery man",$C259)),"Delivery Manager",IF(OR(ISNUMBER(SEARCH("technology manager",$C259)),ISNUMBER(SEARCH("technology manger",$C259)),ISNUMBER(SEARCH("tech manager",$C259))),"Technology Manager","Squad")))))))</f>
        <v>Squad</v>
      </c>
      <c r="AS259" s="1136" t="str">
        <f>IF(TRIM($B259)="","",IFERROR(INDEX(Lists!$AA:$AA,MATCH($AP259,Lists!$Z:$Z,0)),$AP259))</f>
        <v>Transformation</v>
      </c>
      <c r="AT259" s="1136" t="str">
        <f>IF(TRIM($B259)="","",IF(IFERROR(INDEX(Lists!$AP$2:$AP$11,MATCH(ROW(),Lists!$AN$2:$AN$11,0)),"")&lt;&gt;"",IFERROR(INDEX(Lists!$AP$2:$AP$11,MATCH(ROW(),Lists!$AN$2:$AN$11,0)),""),IF(OR(LEFT($AJ259,3)="COE",$AJ259="EGI"),$AP259,IF($AR259&lt;&gt;"Squad",$AR259,$AP259))))</f>
        <v>Transformation</v>
      </c>
    </row>
    <row r="260" ht="18" customHeight="1" s="866">
      <c r="A260" s="1155" t="n">
        <v>82561</v>
      </c>
      <c r="B260" s="1156" t="inlineStr">
        <is>
          <t>Jenny Chan</t>
        </is>
      </c>
      <c r="C260" s="1156" t="inlineStr">
        <is>
          <t>Project Finance Lead</t>
        </is>
      </c>
      <c r="D260" s="1202" t="inlineStr">
        <is>
          <t>Sam Chan</t>
        </is>
      </c>
      <c r="E260" s="1202" t="inlineStr">
        <is>
          <t xml:space="preserve">Manager Risk &amp; Resilience </t>
        </is>
      </c>
      <c r="F260" s="1157" t="inlineStr">
        <is>
          <t>Partnering &amp; Transformation</t>
        </is>
      </c>
      <c r="G260" s="1156" t="inlineStr">
        <is>
          <t>Transformation</t>
        </is>
      </c>
      <c r="H260" s="1156" t="inlineStr">
        <is>
          <t>NA</t>
        </is>
      </c>
      <c r="I260" s="1156" t="inlineStr">
        <is>
          <t>COE - Partnering &amp; Transformation</t>
        </is>
      </c>
      <c r="J260" s="1156" t="inlineStr">
        <is>
          <t>NA</t>
        </is>
      </c>
      <c r="K260" s="1156" t="inlineStr">
        <is>
          <t>NA</t>
        </is>
      </c>
      <c r="L260" s="1158" t="n"/>
      <c r="M260" s="1159" t="inlineStr">
        <is>
          <t>Australia</t>
        </is>
      </c>
      <c r="N260" s="1162" t="inlineStr">
        <is>
          <t>CIB</t>
        </is>
      </c>
      <c r="O260" s="1162" t="n">
        <v>1</v>
      </c>
      <c r="P260" s="1162" t="n"/>
      <c r="Q260" s="1162" t="inlineStr">
        <is>
          <t>Permanent - Full Time</t>
        </is>
      </c>
      <c r="R260" s="1162" t="n"/>
      <c r="S260" s="1162" t="n"/>
      <c r="T260" s="1163" t="n">
        <v>154400</v>
      </c>
      <c r="U260" s="1164" t="n">
        <v>154400</v>
      </c>
      <c r="V260" s="1166" t="n">
        <v>0.12</v>
      </c>
      <c r="W260" s="1170" t="n">
        <v>0.055</v>
      </c>
      <c r="X260" s="1170" t="n">
        <v>0.12</v>
      </c>
      <c r="Y260" s="1171" t="n"/>
      <c r="Z260" s="1170" t="n">
        <v>0.04</v>
      </c>
      <c r="AA260" s="1168">
        <f>IF(TRIM($B260)="","",IF(N($AU260)&gt;0,$AU260,IF(N($S260)&gt;0,$S260*Lists!$AG$15*(1+N($Z260)),N($U260)*(1+N($V260)+N($W260)+N($X260)+N($Z260))+N($Y260))))</f>
        <v>206124</v>
      </c>
      <c r="AJ260" s="865" t="str">
        <f>IF(TRIM($B260)="","",IF(IFERROR(INDEX(Lists!$AO$2:$AO$11,MATCH(ROW(),Lists!$AN$2:$AN$11,0)),"")&lt;&gt;"",IFERROR(INDEX(Lists!$AO$2:$AO$11,MATCH(ROW(),Lists!$AN$2:$AN$11,0)),""),IFERROR(INDEX(Lists!$U:$U,MATCH(TRIM($I260),Lists!$T:$T,0)),TRIM($I260))))</f>
        <v>COE BP&amp;T</v>
      </c>
      <c r="AK260" s="865" t="str">
        <f>IF(ISNUMBER(SEARCH("vacant",$B260)),"Vacant","Filled")</f>
        <v>Filled</v>
      </c>
      <c r="AL260" s="865" t="str">
        <f>IF($M260="NZ","NZ","AU")</f>
        <v>AU</v>
      </c>
      <c r="AM260" s="865">
        <f>COUNTIF($AJ$2:$AJ260,$AJ260)</f>
        <v>6</v>
      </c>
      <c r="AN260" s="865" t="str">
        <f>$AJ260&amp;"|"&amp;$AM260</f>
        <v>COE BP&amp;T|6</v>
      </c>
      <c r="AP260" s="865" t="str">
        <f>IF(TRIM($B260)="","",IF($AQ260=1,"Leadership",IFERROR(INDEX(Lists!$X:$X,MATCH(TRIM($K260),Lists!$W:$W,0)),IF(OR(TRIM($K260)="",LOWER(TRIM($K260))="na"),IF(TRIM($G260)="","Unassigned",TRIM($G260)),TRIM($K260)))))</f>
        <v>Transformation</v>
      </c>
      <c r="AQ260" s="865" t="b">
        <f>IF(TRIM($B260)="","",--OR(TRIM($K260)="Leadership",TRIM($J260)="Leadership"))</f>
        <v>0</v>
      </c>
      <c r="AR260" s="1136" t="str">
        <f>IF(TRIM($B260)="","",IF(IFERROR(INDEX(Lists!$AQ$2:$AQ$11,MATCH(ROW(),Lists!$AN$2:$AN$11,0)),"")&lt;&gt;"",IFERROR(INDEX(Lists!$AQ$2:$AQ$11,MATCH(ROW(),Lists!$AN$2:$AN$11,0)),""),IF(ISNUMBER(SEARCH("head of ",$C260)),"Head of Technology",IF(ISNUMBER(SEARCH("TDD BP",$C260)),"Business Partner",IF(OR(ISNUMBER(SEARCH("domain architect",$C260)),ISNUMBER(SEARCH("enterprise architect",$C260))),"Domain Architect",IF(ISNUMBER(SEARCH("delivery man",$C260)),"Delivery Manager",IF(OR(ISNUMBER(SEARCH("technology manager",$C260)),ISNUMBER(SEARCH("technology manger",$C260)),ISNUMBER(SEARCH("tech manager",$C260))),"Technology Manager","Squad")))))))</f>
        <v>Squad</v>
      </c>
      <c r="AS260" s="1136" t="str">
        <f>IF(TRIM($B260)="","",IFERROR(INDEX(Lists!$AA:$AA,MATCH($AP260,Lists!$Z:$Z,0)),$AP260))</f>
        <v>Transformation</v>
      </c>
      <c r="AT260" s="1136" t="str">
        <f>IF(TRIM($B260)="","",IF(IFERROR(INDEX(Lists!$AP$2:$AP$11,MATCH(ROW(),Lists!$AN$2:$AN$11,0)),"")&lt;&gt;"",IFERROR(INDEX(Lists!$AP$2:$AP$11,MATCH(ROW(),Lists!$AN$2:$AN$11,0)),""),IF(OR(LEFT($AJ260,3)="COE",$AJ260="EGI"),$AP260,IF($AR260&lt;&gt;"Squad",$AR260,$AP260))))</f>
        <v>Transformation</v>
      </c>
    </row>
    <row r="261" ht="18" customHeight="1" s="866">
      <c r="A261" s="1155" t="inlineStr">
        <is>
          <t>tbc</t>
        </is>
      </c>
      <c r="B261" s="1156" t="inlineStr">
        <is>
          <t>Malcolm Deare</t>
        </is>
      </c>
      <c r="C261" s="1156" t="inlineStr">
        <is>
          <t>TDD BP, Group Functions</t>
        </is>
      </c>
      <c r="D261" s="1202" t="inlineStr">
        <is>
          <t>Michael Schofield</t>
        </is>
      </c>
      <c r="E261" s="1202" t="inlineStr">
        <is>
          <t>GM TDD, Partnering &amp; Transformation</t>
        </is>
      </c>
      <c r="F261" s="1157" t="inlineStr">
        <is>
          <t>Partnering &amp; Transformation</t>
        </is>
      </c>
      <c r="G261" s="1156" t="inlineStr">
        <is>
          <t>TDD Business Partner</t>
        </is>
      </c>
      <c r="H261" s="1156" t="inlineStr">
        <is>
          <t>NA</t>
        </is>
      </c>
      <c r="I261" s="1156" t="inlineStr">
        <is>
          <t>COE - Partnering &amp; Transformation</t>
        </is>
      </c>
      <c r="J261" s="1156" t="inlineStr">
        <is>
          <t>NA</t>
        </is>
      </c>
      <c r="K261" s="1156" t="inlineStr">
        <is>
          <t>NA</t>
        </is>
      </c>
      <c r="L261" s="1158" t="n"/>
      <c r="M261" s="1159" t="inlineStr">
        <is>
          <t>Australia</t>
        </is>
      </c>
      <c r="N261" s="1160" t="inlineStr">
        <is>
          <t>CSB</t>
        </is>
      </c>
      <c r="O261" s="1160" t="n">
        <v>1</v>
      </c>
      <c r="P261" s="1160" t="n"/>
      <c r="Q261" s="1160" t="inlineStr">
        <is>
          <t>Permanent - Full Time</t>
        </is>
      </c>
      <c r="R261" s="1162" t="n"/>
      <c r="S261" s="1162" t="n"/>
      <c r="T261" s="1163" t="n">
        <v>220000</v>
      </c>
      <c r="U261" s="1164" t="n">
        <v>220000</v>
      </c>
      <c r="V261" s="1166" t="n">
        <v>0.14</v>
      </c>
      <c r="W261" s="1170" t="n">
        <v>0.055</v>
      </c>
      <c r="X261" s="1170" t="n">
        <v>0.12</v>
      </c>
      <c r="Y261" s="1171" t="n"/>
      <c r="Z261" s="1170" t="n">
        <v>0.04</v>
      </c>
      <c r="AA261" s="1168">
        <f>IF(TRIM($B261)="","",IF(N($AU261)&gt;0,$AU261,IF(N($S261)&gt;0,$S261*Lists!$AG$15*(1+N($Z261)),N($U261)*(1+N($V261)+N($W261)+N($X261)+N($Z261))+N($Y261))))</f>
        <v>298100</v>
      </c>
      <c r="AJ261" s="865" t="str">
        <f>IF(TRIM($B261)="","",IF(IFERROR(INDEX(Lists!$AO$2:$AO$11,MATCH(ROW(),Lists!$AN$2:$AN$11,0)),"")&lt;&gt;"",IFERROR(INDEX(Lists!$AO$2:$AO$11,MATCH(ROW(),Lists!$AN$2:$AN$11,0)),""),IFERROR(INDEX(Lists!$U:$U,MATCH(TRIM($I261),Lists!$T:$T,0)),TRIM($I261))))</f>
        <v>COE BP&amp;T</v>
      </c>
      <c r="AK261" s="865" t="str">
        <f>IF(ISNUMBER(SEARCH("vacant",$B261)),"Vacant","Filled")</f>
        <v>Filled</v>
      </c>
      <c r="AL261" s="865" t="str">
        <f>IF($M261="NZ","NZ","AU")</f>
        <v>AU</v>
      </c>
      <c r="AM261" s="865">
        <f>COUNTIF($AJ$2:$AJ261,$AJ261)</f>
        <v>7</v>
      </c>
      <c r="AN261" s="865" t="str">
        <f>$AJ261&amp;"|"&amp;$AM261</f>
        <v>COE BP&amp;T|7</v>
      </c>
      <c r="AP261" s="865" t="str">
        <f>IF(TRIM($B261)="","",IF($AQ261=1,"Leadership",IFERROR(INDEX(Lists!$X:$X,MATCH(TRIM($K261),Lists!$W:$W,0)),IF(OR(TRIM($K261)="",LOWER(TRIM($K261))="na"),IF(TRIM($G261)="","Unassigned",TRIM($G261)),TRIM($K261)))))</f>
        <v>TDD Business Partner</v>
      </c>
      <c r="AQ261" s="865" t="b">
        <f>IF(TRIM($B261)="","",--OR(TRIM($K261)="Leadership",TRIM($J261)="Leadership"))</f>
        <v>0</v>
      </c>
      <c r="AR261" s="1136" t="str">
        <f>IF(TRIM($B261)="","",IF(IFERROR(INDEX(Lists!$AQ$2:$AQ$11,MATCH(ROW(),Lists!$AN$2:$AN$11,0)),"")&lt;&gt;"",IFERROR(INDEX(Lists!$AQ$2:$AQ$11,MATCH(ROW(),Lists!$AN$2:$AN$11,0)),""),IF(ISNUMBER(SEARCH("head of ",$C261)),"Head of Technology",IF(ISNUMBER(SEARCH("TDD BP",$C261)),"Business Partner",IF(OR(ISNUMBER(SEARCH("domain architect",$C261)),ISNUMBER(SEARCH("enterprise architect",$C261))),"Domain Architect",IF(ISNUMBER(SEARCH("delivery man",$C261)),"Delivery Manager",IF(OR(ISNUMBER(SEARCH("technology manager",$C261)),ISNUMBER(SEARCH("technology manger",$C261)),ISNUMBER(SEARCH("tech manager",$C261))),"Technology Manager","Squad")))))))</f>
        <v>Business Partner</v>
      </c>
      <c r="AS261" s="1136" t="str">
        <f>IF(TRIM($B261)="","",IFERROR(INDEX(Lists!$AA:$AA,MATCH($AP261,Lists!$Z:$Z,0)),$AP261))</f>
        <v>TDD Business Partner</v>
      </c>
      <c r="AT261" s="1136" t="str">
        <f>IF(TRIM($B261)="","",IF(IFERROR(INDEX(Lists!$AP$2:$AP$11,MATCH(ROW(),Lists!$AN$2:$AN$11,0)),"")&lt;&gt;"",IFERROR(INDEX(Lists!$AP$2:$AP$11,MATCH(ROW(),Lists!$AN$2:$AN$11,0)),""),IF(OR(LEFT($AJ261,3)="COE",$AJ261="EGI"),$AP261,IF($AR261&lt;&gt;"Squad",$AR261,$AP261))))</f>
        <v>TDD Business Partner</v>
      </c>
    </row>
    <row r="262" ht="18" customHeight="1" s="866">
      <c r="A262" s="1155" t="n">
        <v>5607</v>
      </c>
      <c r="B262" s="1156" t="inlineStr">
        <is>
          <t>Maria Somera</t>
        </is>
      </c>
      <c r="C262" s="1179" t="inlineStr">
        <is>
          <t>Technology Finance Analyst</t>
        </is>
      </c>
      <c r="D262" s="1202" t="inlineStr">
        <is>
          <t>Sam Chan</t>
        </is>
      </c>
      <c r="E262" s="1202" t="inlineStr">
        <is>
          <t>Fin Ops Manager</t>
        </is>
      </c>
      <c r="F262" s="1157" t="inlineStr">
        <is>
          <t>Partnering &amp; Transformation</t>
        </is>
      </c>
      <c r="G262" s="1156" t="inlineStr">
        <is>
          <t>Transformation</t>
        </is>
      </c>
      <c r="H262" s="1156" t="inlineStr">
        <is>
          <t>NA</t>
        </is>
      </c>
      <c r="I262" s="1156" t="inlineStr">
        <is>
          <t>COE - Partnering &amp; Transformation</t>
        </is>
      </c>
      <c r="J262" s="1156" t="inlineStr">
        <is>
          <t>NA</t>
        </is>
      </c>
      <c r="K262" s="1156" t="inlineStr">
        <is>
          <t>NA</t>
        </is>
      </c>
      <c r="L262" s="1158" t="n"/>
      <c r="M262" s="1159" t="inlineStr">
        <is>
          <t>Australia</t>
        </is>
      </c>
      <c r="N262" s="1162" t="inlineStr">
        <is>
          <t>CIA</t>
        </is>
      </c>
      <c r="O262" s="1162" t="n">
        <v>1</v>
      </c>
      <c r="P262" s="1162" t="n"/>
      <c r="Q262" s="1162" t="inlineStr">
        <is>
          <t>Permanent - Full Time</t>
        </is>
      </c>
      <c r="R262" s="1162" t="n"/>
      <c r="S262" s="1162" t="n"/>
      <c r="T262" s="1163" t="n">
        <v>136360</v>
      </c>
      <c r="U262" s="1164" t="n">
        <v>136360</v>
      </c>
      <c r="V262" s="1166" t="n">
        <v>0.1</v>
      </c>
      <c r="W262" s="1170" t="n">
        <v>0.055</v>
      </c>
      <c r="X262" s="1170" t="n">
        <v>0.12</v>
      </c>
      <c r="Y262" s="1171" t="n"/>
      <c r="Z262" s="1170" t="n">
        <v>0.04</v>
      </c>
      <c r="AA262" s="1168">
        <f>IF(TRIM($B262)="","",IF(N($AU262)&gt;0,$AU262,IF(N($S262)&gt;0,$S262*Lists!$AG$15*(1+N($Z262)),N($U262)*(1+N($V262)+N($W262)+N($X262)+N($Z262))+N($Y262))))</f>
        <v>179313.4</v>
      </c>
      <c r="AJ262" s="865" t="str">
        <f>IF(TRIM($B262)="","",IF(IFERROR(INDEX(Lists!$AO$2:$AO$11,MATCH(ROW(),Lists!$AN$2:$AN$11,0)),"")&lt;&gt;"",IFERROR(INDEX(Lists!$AO$2:$AO$11,MATCH(ROW(),Lists!$AN$2:$AN$11,0)),""),IFERROR(INDEX(Lists!$U:$U,MATCH(TRIM($I262),Lists!$T:$T,0)),TRIM($I262))))</f>
        <v>COE BP&amp;T</v>
      </c>
      <c r="AK262" s="865" t="str">
        <f>IF(ISNUMBER(SEARCH("vacant",$B262)),"Vacant","Filled")</f>
        <v>Filled</v>
      </c>
      <c r="AL262" s="865" t="str">
        <f>IF($M262="NZ","NZ","AU")</f>
        <v>AU</v>
      </c>
      <c r="AM262" s="865">
        <f>COUNTIF($AJ$2:$AJ262,$AJ262)</f>
        <v>8</v>
      </c>
      <c r="AN262" s="865" t="str">
        <f>$AJ262&amp;"|"&amp;$AM262</f>
        <v>COE BP&amp;T|8</v>
      </c>
      <c r="AP262" s="865" t="str">
        <f>IF(TRIM($B262)="","",IF($AQ262=1,"Leadership",IFERROR(INDEX(Lists!$X:$X,MATCH(TRIM($K262),Lists!$W:$W,0)),IF(OR(TRIM($K262)="",LOWER(TRIM($K262))="na"),IF(TRIM($G262)="","Unassigned",TRIM($G262)),TRIM($K262)))))</f>
        <v>Transformation</v>
      </c>
      <c r="AQ262" s="865" t="b">
        <f>IF(TRIM($B262)="","",--OR(TRIM($K262)="Leadership",TRIM($J262)="Leadership"))</f>
        <v>0</v>
      </c>
      <c r="AR262" s="1136" t="str">
        <f>IF(TRIM($B262)="","",IF(IFERROR(INDEX(Lists!$AQ$2:$AQ$11,MATCH(ROW(),Lists!$AN$2:$AN$11,0)),"")&lt;&gt;"",IFERROR(INDEX(Lists!$AQ$2:$AQ$11,MATCH(ROW(),Lists!$AN$2:$AN$11,0)),""),IF(ISNUMBER(SEARCH("head of ",$C262)),"Head of Technology",IF(ISNUMBER(SEARCH("TDD BP",$C262)),"Business Partner",IF(OR(ISNUMBER(SEARCH("domain architect",$C262)),ISNUMBER(SEARCH("enterprise architect",$C262))),"Domain Architect",IF(ISNUMBER(SEARCH("delivery man",$C262)),"Delivery Manager",IF(OR(ISNUMBER(SEARCH("technology manager",$C262)),ISNUMBER(SEARCH("technology manger",$C262)),ISNUMBER(SEARCH("tech manager",$C262))),"Technology Manager","Squad")))))))</f>
        <v>Squad</v>
      </c>
      <c r="AS262" s="1136" t="str">
        <f>IF(TRIM($B262)="","",IFERROR(INDEX(Lists!$AA:$AA,MATCH($AP262,Lists!$Z:$Z,0)),$AP262))</f>
        <v>Transformation</v>
      </c>
      <c r="AT262" s="1136" t="str">
        <f>IF(TRIM($B262)="","",IF(IFERROR(INDEX(Lists!$AP$2:$AP$11,MATCH(ROW(),Lists!$AN$2:$AN$11,0)),"")&lt;&gt;"",IFERROR(INDEX(Lists!$AP$2:$AP$11,MATCH(ROW(),Lists!$AN$2:$AN$11,0)),""),IF(OR(LEFT($AJ262,3)="COE",$AJ262="EGI"),$AP262,IF($AR262&lt;&gt;"Squad",$AR262,$AP262))))</f>
        <v>Transformation</v>
      </c>
    </row>
    <row r="263" ht="18" customHeight="1" s="866">
      <c r="A263" s="1155" t="n">
        <v>99999102029</v>
      </c>
      <c r="B263" s="1156" t="inlineStr">
        <is>
          <t>Matt Saunders</t>
        </is>
      </c>
      <c r="C263" s="1156" t="inlineStr">
        <is>
          <t>Scrum Master</t>
        </is>
      </c>
      <c r="D263" s="1158" t="inlineStr">
        <is>
          <t>Vacant</t>
        </is>
      </c>
      <c r="E263" s="1156" t="inlineStr">
        <is>
          <t xml:space="preserve">Lead Technology Support </t>
        </is>
      </c>
      <c r="F263" s="1157" t="inlineStr">
        <is>
          <t>Partnering &amp; Transformation</t>
        </is>
      </c>
      <c r="G263" s="1156" t="inlineStr">
        <is>
          <t>Transformation</t>
        </is>
      </c>
      <c r="H263" s="1156" t="inlineStr">
        <is>
          <t>NA</t>
        </is>
      </c>
      <c r="I263" s="1156" t="inlineStr">
        <is>
          <t>COE - Partnering &amp; Transformation</t>
        </is>
      </c>
      <c r="J263" s="1156" t="inlineStr">
        <is>
          <t>NA</t>
        </is>
      </c>
      <c r="K263" s="1156" t="inlineStr">
        <is>
          <t>NA</t>
        </is>
      </c>
      <c r="L263" s="1158" t="n"/>
      <c r="M263" s="1159" t="inlineStr">
        <is>
          <t>NZ</t>
        </is>
      </c>
      <c r="N263" s="1160" t="inlineStr">
        <is>
          <t>CIA</t>
        </is>
      </c>
      <c r="O263" s="1161" t="n">
        <v>1</v>
      </c>
      <c r="P263" s="1160" t="n"/>
      <c r="Q263" s="1161" t="inlineStr">
        <is>
          <t>Permanent - Full Time</t>
        </is>
      </c>
      <c r="R263" s="1162" t="n"/>
      <c r="S263" s="1162" t="n"/>
      <c r="T263" s="1163" t="n">
        <v>128000</v>
      </c>
      <c r="U263" s="1164" t="n">
        <v>117760</v>
      </c>
      <c r="V263" s="1165" t="n">
        <v>0.15</v>
      </c>
      <c r="W263" s="1162" t="n"/>
      <c r="X263" s="1166" t="n">
        <v>0.05</v>
      </c>
      <c r="Y263" s="1907" t="n">
        <v>2910</v>
      </c>
      <c r="Z263" s="1166" t="n">
        <v>0.03</v>
      </c>
      <c r="AA263" s="1168">
        <f>IF(TRIM($B263)="","",IF(N($AU263)&gt;0,$AU263,IF(N($S263)&gt;0,$S263*Lists!$AG$15*(1+N($Z263)),N($U263)*(1+N($V263)+N($W263)+N($X263)+N($Z263))+N($Y263))))</f>
        <v>147754.8</v>
      </c>
      <c r="AJ263" s="865" t="str">
        <f>IF(TRIM($B263)="","",IF(IFERROR(INDEX(Lists!$AO$2:$AO$11,MATCH(ROW(),Lists!$AN$2:$AN$11,0)),"")&lt;&gt;"",IFERROR(INDEX(Lists!$AO$2:$AO$11,MATCH(ROW(),Lists!$AN$2:$AN$11,0)),""),IFERROR(INDEX(Lists!$U:$U,MATCH(TRIM($I263),Lists!$T:$T,0)),TRIM($I263))))</f>
        <v>COE BP&amp;T</v>
      </c>
      <c r="AK263" s="865" t="str">
        <f>IF(ISNUMBER(SEARCH("vacant",$B263)),"Vacant","Filled")</f>
        <v>Filled</v>
      </c>
      <c r="AL263" s="865" t="str">
        <f>IF($M263="NZ","NZ","AU")</f>
        <v>NZ</v>
      </c>
      <c r="AM263" s="865">
        <f>COUNTIF($AJ$2:$AJ263,$AJ263)</f>
        <v>9</v>
      </c>
      <c r="AN263" s="865" t="str">
        <f>$AJ263&amp;"|"&amp;$AM263</f>
        <v>COE BP&amp;T|9</v>
      </c>
      <c r="AP263" s="865" t="str">
        <f>IF(TRIM($B263)="","",IF($AQ263=1,"Leadership",IFERROR(INDEX(Lists!$X:$X,MATCH(TRIM($K263),Lists!$W:$W,0)),IF(OR(TRIM($K263)="",LOWER(TRIM($K263))="na"),IF(TRIM($G263)="","Unassigned",TRIM($G263)),TRIM($K263)))))</f>
        <v>Transformation</v>
      </c>
      <c r="AQ263" s="865" t="b">
        <f>IF(TRIM($B263)="","",--OR(TRIM($K263)="Leadership",TRIM($J263)="Leadership"))</f>
        <v>0</v>
      </c>
      <c r="AR263" s="1136" t="str">
        <f>IF(TRIM($B263)="","",IF(IFERROR(INDEX(Lists!$AQ$2:$AQ$11,MATCH(ROW(),Lists!$AN$2:$AN$11,0)),"")&lt;&gt;"",IFERROR(INDEX(Lists!$AQ$2:$AQ$11,MATCH(ROW(),Lists!$AN$2:$AN$11,0)),""),IF(ISNUMBER(SEARCH("head of ",$C263)),"Head of Technology",IF(ISNUMBER(SEARCH("TDD BP",$C263)),"Business Partner",IF(OR(ISNUMBER(SEARCH("domain architect",$C263)),ISNUMBER(SEARCH("enterprise architect",$C263))),"Domain Architect",IF(ISNUMBER(SEARCH("delivery man",$C263)),"Delivery Manager",IF(OR(ISNUMBER(SEARCH("technology manager",$C263)),ISNUMBER(SEARCH("technology manger",$C263)),ISNUMBER(SEARCH("tech manager",$C263))),"Technology Manager","Squad")))))))</f>
        <v>Squad</v>
      </c>
      <c r="AS263" s="1136" t="str">
        <f>IF(TRIM($B263)="","",IFERROR(INDEX(Lists!$AA:$AA,MATCH($AP263,Lists!$Z:$Z,0)),$AP263))</f>
        <v>Transformation</v>
      </c>
      <c r="AT263" s="1136" t="str">
        <f>IF(TRIM($B263)="","",IF(IFERROR(INDEX(Lists!$AP$2:$AP$11,MATCH(ROW(),Lists!$AN$2:$AN$11,0)),"")&lt;&gt;"",IFERROR(INDEX(Lists!$AP$2:$AP$11,MATCH(ROW(),Lists!$AN$2:$AN$11,0)),""),IF(OR(LEFT($AJ263,3)="COE",$AJ263="EGI"),$AP263,IF($AR263&lt;&gt;"Squad",$AR263,$AP263))))</f>
        <v>Transformation</v>
      </c>
    </row>
    <row r="264" ht="18" customHeight="1" s="866">
      <c r="A264" s="1155" t="n">
        <v>116540</v>
      </c>
      <c r="B264" s="1156" t="inlineStr">
        <is>
          <t>Neil Reilly</t>
        </is>
      </c>
      <c r="C264" s="1156" t="inlineStr">
        <is>
          <t>TDD BP - T&amp;S</t>
        </is>
      </c>
      <c r="D264" s="1156" t="inlineStr">
        <is>
          <t>Michael Schofield</t>
        </is>
      </c>
      <c r="E264" s="1156" t="inlineStr">
        <is>
          <t>GM TDD, Partnering &amp; Transformation</t>
        </is>
      </c>
      <c r="F264" s="1157" t="inlineStr">
        <is>
          <t>Partnering &amp; Transformation</t>
        </is>
      </c>
      <c r="G264" s="1156" t="inlineStr">
        <is>
          <t>TDD Business Partner</t>
        </is>
      </c>
      <c r="H264" s="1156" t="inlineStr">
        <is>
          <t>NA</t>
        </is>
      </c>
      <c r="I264" s="1156" t="inlineStr">
        <is>
          <t>COE - Partnering &amp; Transformation</t>
        </is>
      </c>
      <c r="J264" s="1156" t="inlineStr">
        <is>
          <t>NA</t>
        </is>
      </c>
      <c r="K264" s="1156" t="inlineStr">
        <is>
          <t>NA</t>
        </is>
      </c>
      <c r="L264" s="1158" t="n"/>
      <c r="M264" s="1159" t="inlineStr">
        <is>
          <t>Singapore</t>
        </is>
      </c>
      <c r="N264" s="1160" t="inlineStr">
        <is>
          <t>CSC</t>
        </is>
      </c>
      <c r="O264" s="1160" t="n">
        <v>1</v>
      </c>
      <c r="P264" s="1160" t="n"/>
      <c r="Q264" s="1160" t="inlineStr">
        <is>
          <t>Permanent - Full Time</t>
        </is>
      </c>
      <c r="R264" s="1162" t="n"/>
      <c r="S264" s="1162" t="n"/>
      <c r="T264" s="1163" t="n">
        <v>350000</v>
      </c>
      <c r="U264" s="1164" t="n">
        <v>423500</v>
      </c>
      <c r="V264" s="1166" t="n">
        <v>0.35</v>
      </c>
      <c r="W264" s="1162" t="n"/>
      <c r="X264" s="1166" t="n">
        <v>0.17</v>
      </c>
      <c r="Y264" s="1907" t="n">
        <v>3310</v>
      </c>
      <c r="Z264" s="1207" t="n">
        <v>0.045</v>
      </c>
      <c r="AA264" s="1168">
        <f>IF(TRIM($B264)="","",IF(N($AU264)&gt;0,$AU264,IF(N($S264)&gt;0,$S264*Lists!$AG$15*(1+N($Z264)),N($U264)*(1+N($V264)+N($W264)+N($X264)+N($Z264))+N($Y264))))</f>
        <v>666087.5</v>
      </c>
      <c r="AJ264" s="865" t="str">
        <f>IF(TRIM($B264)="","",IF(IFERROR(INDEX(Lists!$AO$2:$AO$11,MATCH(ROW(),Lists!$AN$2:$AN$11,0)),"")&lt;&gt;"",IFERROR(INDEX(Lists!$AO$2:$AO$11,MATCH(ROW(),Lists!$AN$2:$AN$11,0)),""),IFERROR(INDEX(Lists!$U:$U,MATCH(TRIM($I264),Lists!$T:$T,0)),TRIM($I264))))</f>
        <v>COE BP&amp;T</v>
      </c>
      <c r="AK264" s="865" t="str">
        <f>IF(ISNUMBER(SEARCH("vacant",$B264)),"Vacant","Filled")</f>
        <v>Filled</v>
      </c>
      <c r="AL264" s="865" t="str">
        <f>IF($M264="NZ","NZ","AU")</f>
        <v>AU</v>
      </c>
      <c r="AM264" s="865">
        <f>COUNTIF($AJ$2:$AJ264,$AJ264)</f>
        <v>10</v>
      </c>
      <c r="AN264" s="865" t="str">
        <f>$AJ264&amp;"|"&amp;$AM264</f>
        <v>COE BP&amp;T|10</v>
      </c>
      <c r="AP264" s="865" t="str">
        <f>IF(TRIM($B264)="","",IF($AQ264=1,"Leadership",IFERROR(INDEX(Lists!$X:$X,MATCH(TRIM($K264),Lists!$W:$W,0)),IF(OR(TRIM($K264)="",LOWER(TRIM($K264))="na"),IF(TRIM($G264)="","Unassigned",TRIM($G264)),TRIM($K264)))))</f>
        <v>TDD Business Partner</v>
      </c>
      <c r="AQ264" s="865" t="b">
        <f>IF(TRIM($B264)="","",--OR(TRIM($K264)="Leadership",TRIM($J264)="Leadership"))</f>
        <v>0</v>
      </c>
      <c r="AR264" s="1136" t="str">
        <f>IF(TRIM($B264)="","",IF(IFERROR(INDEX(Lists!$AQ$2:$AQ$11,MATCH(ROW(),Lists!$AN$2:$AN$11,0)),"")&lt;&gt;"",IFERROR(INDEX(Lists!$AQ$2:$AQ$11,MATCH(ROW(),Lists!$AN$2:$AN$11,0)),""),IF(ISNUMBER(SEARCH("head of ",$C264)),"Head of Technology",IF(ISNUMBER(SEARCH("TDD BP",$C264)),"Business Partner",IF(OR(ISNUMBER(SEARCH("domain architect",$C264)),ISNUMBER(SEARCH("enterprise architect",$C264))),"Domain Architect",IF(ISNUMBER(SEARCH("delivery man",$C264)),"Delivery Manager",IF(OR(ISNUMBER(SEARCH("technology manager",$C264)),ISNUMBER(SEARCH("technology manger",$C264)),ISNUMBER(SEARCH("tech manager",$C264))),"Technology Manager","Squad")))))))</f>
        <v>Business Partner</v>
      </c>
      <c r="AS264" s="1136" t="str">
        <f>IF(TRIM($B264)="","",IFERROR(INDEX(Lists!$AA:$AA,MATCH($AP264,Lists!$Z:$Z,0)),$AP264))</f>
        <v>TDD Business Partner</v>
      </c>
      <c r="AT264" s="1136" t="str">
        <f>IF(TRIM($B264)="","",IF(IFERROR(INDEX(Lists!$AP$2:$AP$11,MATCH(ROW(),Lists!$AN$2:$AN$11,0)),"")&lt;&gt;"",IFERROR(INDEX(Lists!$AP$2:$AP$11,MATCH(ROW(),Lists!$AN$2:$AN$11,0)),""),IF(OR(LEFT($AJ264,3)="COE",$AJ264="EGI"),$AP264,IF($AR264&lt;&gt;"Squad",$AR264,$AP264))))</f>
        <v>TDD Business Partner</v>
      </c>
    </row>
    <row r="265" ht="18" customHeight="1" s="866">
      <c r="A265" s="1155" t="n">
        <v>113835</v>
      </c>
      <c r="B265" s="1156" t="inlineStr">
        <is>
          <t>Ruth Chou</t>
        </is>
      </c>
      <c r="C265" s="1156" t="inlineStr">
        <is>
          <t>Portfolio Reporting Manager</t>
        </is>
      </c>
      <c r="D265" s="1158" t="inlineStr">
        <is>
          <t>Vacant</t>
        </is>
      </c>
      <c r="E265" s="1156" t="inlineStr">
        <is>
          <t xml:space="preserve">Manager Service Perforance &amp; Assurance </t>
        </is>
      </c>
      <c r="F265" s="1157" t="inlineStr">
        <is>
          <t>Partnering &amp; Transformation</t>
        </is>
      </c>
      <c r="G265" s="1156" t="inlineStr">
        <is>
          <t>Transformation</t>
        </is>
      </c>
      <c r="H265" s="1156" t="inlineStr">
        <is>
          <t>NA</t>
        </is>
      </c>
      <c r="I265" s="1156" t="inlineStr">
        <is>
          <t>COE - Partnering &amp; Transformation</t>
        </is>
      </c>
      <c r="J265" s="1156" t="inlineStr">
        <is>
          <t>NA</t>
        </is>
      </c>
      <c r="K265" s="1156" t="inlineStr">
        <is>
          <t>NA</t>
        </is>
      </c>
      <c r="L265" s="1158" t="n"/>
      <c r="M265" s="1159" t="inlineStr">
        <is>
          <t>Australia</t>
        </is>
      </c>
      <c r="N265" s="1160" t="inlineStr">
        <is>
          <t>CSB</t>
        </is>
      </c>
      <c r="O265" s="1160" t="n">
        <v>1</v>
      </c>
      <c r="P265" s="1160" t="n"/>
      <c r="Q265" s="1160" t="inlineStr">
        <is>
          <t>Permanent - Full Time</t>
        </is>
      </c>
      <c r="R265" s="1162" t="n"/>
      <c r="S265" s="1162" t="n"/>
      <c r="T265" s="1163" t="n">
        <v>216470</v>
      </c>
      <c r="U265" s="1164" t="n">
        <v>216470</v>
      </c>
      <c r="V265" s="1166" t="n">
        <v>0.14</v>
      </c>
      <c r="W265" s="1170" t="n">
        <v>0.055</v>
      </c>
      <c r="X265" s="1170" t="n">
        <v>0.12</v>
      </c>
      <c r="Y265" s="1171" t="n"/>
      <c r="Z265" s="1170" t="n">
        <v>0.04</v>
      </c>
      <c r="AA265" s="1168">
        <f>IF(TRIM($B265)="","",IF(N($AU265)&gt;0,$AU265,IF(N($S265)&gt;0,$S265*Lists!$AG$15*(1+N($Z265)),N($U265)*(1+N($V265)+N($W265)+N($X265)+N($Z265))+N($Y265))))</f>
        <v>293316.85</v>
      </c>
      <c r="AJ265" s="865" t="str">
        <f>IF(TRIM($B265)="","",IF(IFERROR(INDEX(Lists!$AO$2:$AO$11,MATCH(ROW(),Lists!$AN$2:$AN$11,0)),"")&lt;&gt;"",IFERROR(INDEX(Lists!$AO$2:$AO$11,MATCH(ROW(),Lists!$AN$2:$AN$11,0)),""),IFERROR(INDEX(Lists!$U:$U,MATCH(TRIM($I265),Lists!$T:$T,0)),TRIM($I265))))</f>
        <v>COE BP&amp;T</v>
      </c>
      <c r="AK265" s="865" t="str">
        <f>IF(ISNUMBER(SEARCH("vacant",$B265)),"Vacant","Filled")</f>
        <v>Filled</v>
      </c>
      <c r="AL265" s="865" t="str">
        <f>IF($M265="NZ","NZ","AU")</f>
        <v>AU</v>
      </c>
      <c r="AM265" s="865">
        <f>COUNTIF($AJ$2:$AJ265,$AJ265)</f>
        <v>11</v>
      </c>
      <c r="AN265" s="865" t="str">
        <f>$AJ265&amp;"|"&amp;$AM265</f>
        <v>COE BP&amp;T|11</v>
      </c>
      <c r="AP265" s="865" t="str">
        <f>IF(TRIM($B265)="","",IF($AQ265=1,"Leadership",IFERROR(INDEX(Lists!$X:$X,MATCH(TRIM($K265),Lists!$W:$W,0)),IF(OR(TRIM($K265)="",LOWER(TRIM($K265))="na"),IF(TRIM($G265)="","Unassigned",TRIM($G265)),TRIM($K265)))))</f>
        <v>Transformation</v>
      </c>
      <c r="AQ265" s="865" t="b">
        <f>IF(TRIM($B265)="","",--OR(TRIM($K265)="Leadership",TRIM($J265)="Leadership"))</f>
        <v>0</v>
      </c>
      <c r="AR265" s="1136" t="str">
        <f>IF(TRIM($B265)="","",IF(IFERROR(INDEX(Lists!$AQ$2:$AQ$11,MATCH(ROW(),Lists!$AN$2:$AN$11,0)),"")&lt;&gt;"",IFERROR(INDEX(Lists!$AQ$2:$AQ$11,MATCH(ROW(),Lists!$AN$2:$AN$11,0)),""),IF(ISNUMBER(SEARCH("head of ",$C265)),"Head of Technology",IF(ISNUMBER(SEARCH("TDD BP",$C265)),"Business Partner",IF(OR(ISNUMBER(SEARCH("domain architect",$C265)),ISNUMBER(SEARCH("enterprise architect",$C265))),"Domain Architect",IF(ISNUMBER(SEARCH("delivery man",$C265)),"Delivery Manager",IF(OR(ISNUMBER(SEARCH("technology manager",$C265)),ISNUMBER(SEARCH("technology manger",$C265)),ISNUMBER(SEARCH("tech manager",$C265))),"Technology Manager","Squad")))))))</f>
        <v>Squad</v>
      </c>
      <c r="AS265" s="1136" t="str">
        <f>IF(TRIM($B265)="","",IFERROR(INDEX(Lists!$AA:$AA,MATCH($AP265,Lists!$Z:$Z,0)),$AP265))</f>
        <v>Transformation</v>
      </c>
      <c r="AT265" s="1136" t="str">
        <f>IF(TRIM($B265)="","",IF(IFERROR(INDEX(Lists!$AP$2:$AP$11,MATCH(ROW(),Lists!$AN$2:$AN$11,0)),"")&lt;&gt;"",IFERROR(INDEX(Lists!$AP$2:$AP$11,MATCH(ROW(),Lists!$AN$2:$AN$11,0)),""),IF(OR(LEFT($AJ265,3)="COE",$AJ265="EGI"),$AP265,IF($AR265&lt;&gt;"Squad",$AR265,$AP265))))</f>
        <v>Transformation</v>
      </c>
    </row>
    <row r="266" ht="18" customHeight="1" s="866">
      <c r="A266" s="1155" t="n">
        <v>83658</v>
      </c>
      <c r="B266" s="1156" t="inlineStr">
        <is>
          <t>Sam Chan</t>
        </is>
      </c>
      <c r="C266" s="1156" t="inlineStr">
        <is>
          <t>FinOps Manager</t>
        </is>
      </c>
      <c r="D266" s="1158" t="inlineStr">
        <is>
          <t>Vacant</t>
        </is>
      </c>
      <c r="E266" s="1156" t="inlineStr">
        <is>
          <t xml:space="preserve">Manager Cyber Security Operations </t>
        </is>
      </c>
      <c r="F266" s="1157" t="inlineStr">
        <is>
          <t>Partnering &amp; Transformation</t>
        </is>
      </c>
      <c r="G266" s="1156" t="inlineStr">
        <is>
          <t>Transformation</t>
        </is>
      </c>
      <c r="H266" s="1156" t="inlineStr">
        <is>
          <t>NA</t>
        </is>
      </c>
      <c r="I266" s="1156" t="inlineStr">
        <is>
          <t>COE - Partnering &amp; Transformation</t>
        </is>
      </c>
      <c r="J266" s="1156" t="inlineStr">
        <is>
          <t>NA</t>
        </is>
      </c>
      <c r="K266" s="1156" t="inlineStr">
        <is>
          <t>NA</t>
        </is>
      </c>
      <c r="L266" s="1158" t="n"/>
      <c r="M266" s="1159" t="inlineStr">
        <is>
          <t>Australia</t>
        </is>
      </c>
      <c r="N266" s="1162" t="inlineStr">
        <is>
          <t>CIC</t>
        </is>
      </c>
      <c r="O266" s="1162" t="n">
        <v>1</v>
      </c>
      <c r="P266" s="1162" t="n"/>
      <c r="Q266" s="1162" t="inlineStr">
        <is>
          <t>Permanent - Full Time</t>
        </is>
      </c>
      <c r="R266" s="1162" t="n"/>
      <c r="S266" s="1162" t="n"/>
      <c r="T266" s="1163" t="n">
        <v>169130</v>
      </c>
      <c r="U266" s="1164" t="n">
        <v>169130</v>
      </c>
      <c r="V266" s="1166" t="n">
        <v>0.12</v>
      </c>
      <c r="W266" s="1170" t="n">
        <v>0.055</v>
      </c>
      <c r="X266" s="1170" t="n">
        <v>0.12</v>
      </c>
      <c r="Y266" s="1171" t="n"/>
      <c r="Z266" s="1170" t="n">
        <v>0.04</v>
      </c>
      <c r="AA266" s="1168">
        <f>IF(TRIM($B266)="","",IF(N($AU266)&gt;0,$AU266,IF(N($S266)&gt;0,$S266*Lists!$AG$15*(1+N($Z266)),N($U266)*(1+N($V266)+N($W266)+N($X266)+N($Z266))+N($Y266))))</f>
        <v>225788.55</v>
      </c>
      <c r="AJ266" s="865" t="str">
        <f>IF(TRIM($B266)="","",IF(IFERROR(INDEX(Lists!$AO$2:$AO$11,MATCH(ROW(),Lists!$AN$2:$AN$11,0)),"")&lt;&gt;"",IFERROR(INDEX(Lists!$AO$2:$AO$11,MATCH(ROW(),Lists!$AN$2:$AN$11,0)),""),IFERROR(INDEX(Lists!$U:$U,MATCH(TRIM($I266),Lists!$T:$T,0)),TRIM($I266))))</f>
        <v>COE BP&amp;T</v>
      </c>
      <c r="AK266" s="865" t="str">
        <f>IF(ISNUMBER(SEARCH("vacant",$B266)),"Vacant","Filled")</f>
        <v>Filled</v>
      </c>
      <c r="AL266" s="865" t="str">
        <f>IF($M266="NZ","NZ","AU")</f>
        <v>AU</v>
      </c>
      <c r="AM266" s="865">
        <f>COUNTIF($AJ$2:$AJ266,$AJ266)</f>
        <v>12</v>
      </c>
      <c r="AN266" s="865" t="str">
        <f>$AJ266&amp;"|"&amp;$AM266</f>
        <v>COE BP&amp;T|12</v>
      </c>
      <c r="AP266" s="865" t="str">
        <f>IF(TRIM($B266)="","",IF($AQ266=1,"Leadership",IFERROR(INDEX(Lists!$X:$X,MATCH(TRIM($K266),Lists!$W:$W,0)),IF(OR(TRIM($K266)="",LOWER(TRIM($K266))="na"),IF(TRIM($G266)="","Unassigned",TRIM($G266)),TRIM($K266)))))</f>
        <v>Transformation</v>
      </c>
      <c r="AQ266" s="865" t="b">
        <f>IF(TRIM($B266)="","",--OR(TRIM($K266)="Leadership",TRIM($J266)="Leadership"))</f>
        <v>0</v>
      </c>
      <c r="AR266" s="1136" t="str">
        <f>IF(TRIM($B266)="","",IF(IFERROR(INDEX(Lists!$AQ$2:$AQ$11,MATCH(ROW(),Lists!$AN$2:$AN$11,0)),"")&lt;&gt;"",IFERROR(INDEX(Lists!$AQ$2:$AQ$11,MATCH(ROW(),Lists!$AN$2:$AN$11,0)),""),IF(ISNUMBER(SEARCH("head of ",$C266)),"Head of Technology",IF(ISNUMBER(SEARCH("TDD BP",$C266)),"Business Partner",IF(OR(ISNUMBER(SEARCH("domain architect",$C266)),ISNUMBER(SEARCH("enterprise architect",$C266))),"Domain Architect",IF(ISNUMBER(SEARCH("delivery man",$C266)),"Delivery Manager",IF(OR(ISNUMBER(SEARCH("technology manager",$C266)),ISNUMBER(SEARCH("technology manger",$C266)),ISNUMBER(SEARCH("tech manager",$C266))),"Technology Manager","Squad")))))))</f>
        <v>Squad</v>
      </c>
      <c r="AS266" s="1136" t="str">
        <f>IF(TRIM($B266)="","",IFERROR(INDEX(Lists!$AA:$AA,MATCH($AP266,Lists!$Z:$Z,0)),$AP266))</f>
        <v>Transformation</v>
      </c>
      <c r="AT266" s="1136" t="str">
        <f>IF(TRIM($B266)="","",IF(IFERROR(INDEX(Lists!$AP$2:$AP$11,MATCH(ROW(),Lists!$AN$2:$AN$11,0)),"")&lt;&gt;"",IFERROR(INDEX(Lists!$AP$2:$AP$11,MATCH(ROW(),Lists!$AN$2:$AN$11,0)),""),IF(OR(LEFT($AJ266,3)="COE",$AJ266="EGI"),$AP266,IF($AR266&lt;&gt;"Squad",$AR266,$AP266))))</f>
        <v>Transformation</v>
      </c>
    </row>
    <row r="267" ht="18" customHeight="1" s="866">
      <c r="A267" s="1155" t="n">
        <v>99999102144</v>
      </c>
      <c r="B267" s="1156" t="inlineStr">
        <is>
          <t>Shelley Crawford</t>
        </is>
      </c>
      <c r="C267" s="1156" t="inlineStr">
        <is>
          <t>TDD BP - Z</t>
        </is>
      </c>
      <c r="D267" s="1156" t="inlineStr">
        <is>
          <t>Michael Schofield</t>
        </is>
      </c>
      <c r="E267" s="1156" t="inlineStr">
        <is>
          <t>GM TDD, Partnering &amp; Transformation</t>
        </is>
      </c>
      <c r="F267" s="1157" t="inlineStr">
        <is>
          <t>Partnering &amp; Transformation</t>
        </is>
      </c>
      <c r="G267" s="1156" t="inlineStr">
        <is>
          <t>TDD Business Partner</t>
        </is>
      </c>
      <c r="H267" s="1156" t="inlineStr">
        <is>
          <t>NA</t>
        </is>
      </c>
      <c r="I267" s="1156" t="inlineStr">
        <is>
          <t>COE - Partnering &amp; Transformation</t>
        </is>
      </c>
      <c r="J267" s="1156" t="inlineStr">
        <is>
          <t>NA</t>
        </is>
      </c>
      <c r="K267" s="1156" t="inlineStr">
        <is>
          <t>NA</t>
        </is>
      </c>
      <c r="L267" s="1158" t="n"/>
      <c r="M267" s="1159" t="inlineStr">
        <is>
          <t>NZ</t>
        </is>
      </c>
      <c r="N267" s="1160" t="inlineStr">
        <is>
          <t>CSC</t>
        </is>
      </c>
      <c r="O267" s="1161" t="n">
        <v>1</v>
      </c>
      <c r="P267" s="1160" t="n"/>
      <c r="Q267" s="1161" t="inlineStr">
        <is>
          <t>Permanent - Full Time</t>
        </is>
      </c>
      <c r="R267" s="1162" t="n"/>
      <c r="S267" s="1162" t="n"/>
      <c r="T267" s="1163" t="n">
        <v>245000</v>
      </c>
      <c r="U267" s="1164" t="n">
        <v>225400</v>
      </c>
      <c r="V267" s="1165" t="n">
        <v>0.2</v>
      </c>
      <c r="W267" s="1162" t="n"/>
      <c r="X267" s="1166" t="n">
        <v>0.05</v>
      </c>
      <c r="Y267" s="1907" t="n">
        <v>2910</v>
      </c>
      <c r="Z267" s="1166" t="n">
        <v>0.03</v>
      </c>
      <c r="AA267" s="1168">
        <f>IF(TRIM($B267)="","",IF(N($AU267)&gt;0,$AU267,IF(N($S267)&gt;0,$S267*Lists!$AG$15*(1+N($Z267)),N($U267)*(1+N($V267)+N($W267)+N($X267)+N($Z267))+N($Y267))))</f>
        <v>291422</v>
      </c>
      <c r="AJ267" s="865" t="str">
        <f>IF(TRIM($B267)="","",IF(IFERROR(INDEX(Lists!$AO$2:$AO$11,MATCH(ROW(),Lists!$AN$2:$AN$11,0)),"")&lt;&gt;"",IFERROR(INDEX(Lists!$AO$2:$AO$11,MATCH(ROW(),Lists!$AN$2:$AN$11,0)),""),IFERROR(INDEX(Lists!$U:$U,MATCH(TRIM($I267),Lists!$T:$T,0)),TRIM($I267))))</f>
        <v>COE BP&amp;T</v>
      </c>
      <c r="AK267" s="865" t="str">
        <f>IF(ISNUMBER(SEARCH("vacant",$B267)),"Vacant","Filled")</f>
        <v>Filled</v>
      </c>
      <c r="AL267" s="865" t="str">
        <f>IF($M267="NZ","NZ","AU")</f>
        <v>NZ</v>
      </c>
      <c r="AM267" s="865">
        <f>COUNTIF($AJ$2:$AJ267,$AJ267)</f>
        <v>13</v>
      </c>
      <c r="AN267" s="865" t="str">
        <f>$AJ267&amp;"|"&amp;$AM267</f>
        <v>COE BP&amp;T|13</v>
      </c>
      <c r="AP267" s="865" t="str">
        <f>IF(TRIM($B267)="","",IF($AQ267=1,"Leadership",IFERROR(INDEX(Lists!$X:$X,MATCH(TRIM($K267),Lists!$W:$W,0)),IF(OR(TRIM($K267)="",LOWER(TRIM($K267))="na"),IF(TRIM($G267)="","Unassigned",TRIM($G267)),TRIM($K267)))))</f>
        <v>TDD Business Partner</v>
      </c>
      <c r="AQ267" s="865" t="b">
        <f>IF(TRIM($B267)="","",--OR(TRIM($K267)="Leadership",TRIM($J267)="Leadership"))</f>
        <v>0</v>
      </c>
      <c r="AR267" s="1136" t="str">
        <f>IF(TRIM($B267)="","",IF(IFERROR(INDEX(Lists!$AQ$2:$AQ$11,MATCH(ROW(),Lists!$AN$2:$AN$11,0)),"")&lt;&gt;"",IFERROR(INDEX(Lists!$AQ$2:$AQ$11,MATCH(ROW(),Lists!$AN$2:$AN$11,0)),""),IF(ISNUMBER(SEARCH("head of ",$C267)),"Head of Technology",IF(ISNUMBER(SEARCH("TDD BP",$C267)),"Business Partner",IF(OR(ISNUMBER(SEARCH("domain architect",$C267)),ISNUMBER(SEARCH("enterprise architect",$C267))),"Domain Architect",IF(ISNUMBER(SEARCH("delivery man",$C267)),"Delivery Manager",IF(OR(ISNUMBER(SEARCH("technology manager",$C267)),ISNUMBER(SEARCH("technology manger",$C267)),ISNUMBER(SEARCH("tech manager",$C267))),"Technology Manager","Squad")))))))</f>
        <v>Business Partner</v>
      </c>
      <c r="AS267" s="1136" t="str">
        <f>IF(TRIM($B267)="","",IFERROR(INDEX(Lists!$AA:$AA,MATCH($AP267,Lists!$Z:$Z,0)),$AP267))</f>
        <v>TDD Business Partner</v>
      </c>
      <c r="AT267" s="1136" t="str">
        <f>IF(TRIM($B267)="","",IF(IFERROR(INDEX(Lists!$AP$2:$AP$11,MATCH(ROW(),Lists!$AN$2:$AN$11,0)),"")&lt;&gt;"",IFERROR(INDEX(Lists!$AP$2:$AP$11,MATCH(ROW(),Lists!$AN$2:$AN$11,0)),""),IF(OR(LEFT($AJ267,3)="COE",$AJ267="EGI"),$AP267,IF($AR267&lt;&gt;"Squad",$AR267,$AP267))))</f>
        <v>TDD Business Partner</v>
      </c>
    </row>
    <row r="268" ht="18" customHeight="1" s="866">
      <c r="A268" s="1155" t="n">
        <v>113935</v>
      </c>
      <c r="B268" s="1156" t="inlineStr">
        <is>
          <t>Thomas Reid</t>
        </is>
      </c>
      <c r="C268" s="1156" t="inlineStr">
        <is>
          <t>TDD BP - Retail &amp; Customer - Store Digital</t>
        </is>
      </c>
      <c r="D268" s="1156" t="inlineStr">
        <is>
          <t>Michael Schofield</t>
        </is>
      </c>
      <c r="E268" s="1156" t="inlineStr">
        <is>
          <t>GM TDD, Partnering &amp; Transformation</t>
        </is>
      </c>
      <c r="F268" s="1157" t="inlineStr">
        <is>
          <t>Partnering &amp; Transformation</t>
        </is>
      </c>
      <c r="G268" s="1156" t="inlineStr">
        <is>
          <t>TDD Business Partner</t>
        </is>
      </c>
      <c r="H268" s="1156" t="inlineStr">
        <is>
          <t>NA</t>
        </is>
      </c>
      <c r="I268" s="1156" t="inlineStr">
        <is>
          <t>COE - Partnering &amp; Transformation</t>
        </is>
      </c>
      <c r="J268" s="1156" t="inlineStr">
        <is>
          <t>NA</t>
        </is>
      </c>
      <c r="K268" s="1156" t="inlineStr">
        <is>
          <t>NA</t>
        </is>
      </c>
      <c r="L268" s="1158" t="n"/>
      <c r="M268" s="1159" t="inlineStr">
        <is>
          <t>Australia</t>
        </is>
      </c>
      <c r="N268" s="1160" t="inlineStr">
        <is>
          <t>CSC</t>
        </is>
      </c>
      <c r="O268" s="1160" t="n">
        <v>1</v>
      </c>
      <c r="P268" s="1160" t="n"/>
      <c r="Q268" s="1160" t="inlineStr">
        <is>
          <t>Permanent - Full Time</t>
        </is>
      </c>
      <c r="R268" s="1162" t="n"/>
      <c r="S268" s="1162" t="n"/>
      <c r="T268" s="1163" t="n">
        <v>295000</v>
      </c>
      <c r="U268" s="1164" t="n">
        <v>295000</v>
      </c>
      <c r="V268" s="1166" t="n">
        <v>0.2</v>
      </c>
      <c r="W268" s="1170" t="n">
        <v>0.055</v>
      </c>
      <c r="X268" s="1170" t="n">
        <v>0.12</v>
      </c>
      <c r="Y268" s="1171" t="n"/>
      <c r="Z268" s="1170" t="n">
        <v>0.04</v>
      </c>
      <c r="AA268" s="1168">
        <f>IF(TRIM($B268)="","",IF(N($AU268)&gt;0,$AU268,IF(N($S268)&gt;0,$S268*Lists!$AG$15*(1+N($Z268)),N($U268)*(1+N($V268)+N($W268)+N($X268)+N($Z268))+N($Y268))))</f>
        <v>417425</v>
      </c>
      <c r="AJ268" s="865" t="str">
        <f>IF(TRIM($B268)="","",IF(IFERROR(INDEX(Lists!$AO$2:$AO$11,MATCH(ROW(),Lists!$AN$2:$AN$11,0)),"")&lt;&gt;"",IFERROR(INDEX(Lists!$AO$2:$AO$11,MATCH(ROW(),Lists!$AN$2:$AN$11,0)),""),IFERROR(INDEX(Lists!$U:$U,MATCH(TRIM($I268),Lists!$T:$T,0)),TRIM($I268))))</f>
        <v>COE BP&amp;T</v>
      </c>
      <c r="AK268" s="865" t="str">
        <f>IF(ISNUMBER(SEARCH("vacant",$B268)),"Vacant","Filled")</f>
        <v>Filled</v>
      </c>
      <c r="AL268" s="865" t="str">
        <f>IF($M268="NZ","NZ","AU")</f>
        <v>AU</v>
      </c>
      <c r="AM268" s="865">
        <f>COUNTIF($AJ$2:$AJ268,$AJ268)</f>
        <v>14</v>
      </c>
      <c r="AN268" s="865" t="str">
        <f>$AJ268&amp;"|"&amp;$AM268</f>
        <v>COE BP&amp;T|14</v>
      </c>
      <c r="AP268" s="865" t="str">
        <f>IF(TRIM($B268)="","",IF($AQ268=1,"Leadership",IFERROR(INDEX(Lists!$X:$X,MATCH(TRIM($K268),Lists!$W:$W,0)),IF(OR(TRIM($K268)="",LOWER(TRIM($K268))="na"),IF(TRIM($G268)="","Unassigned",TRIM($G268)),TRIM($K268)))))</f>
        <v>TDD Business Partner</v>
      </c>
      <c r="AQ268" s="865" t="b">
        <f>IF(TRIM($B268)="","",--OR(TRIM($K268)="Leadership",TRIM($J268)="Leadership"))</f>
        <v>0</v>
      </c>
      <c r="AR268" s="1136" t="str">
        <f>IF(TRIM($B268)="","",IF(IFERROR(INDEX(Lists!$AQ$2:$AQ$11,MATCH(ROW(),Lists!$AN$2:$AN$11,0)),"")&lt;&gt;"",IFERROR(INDEX(Lists!$AQ$2:$AQ$11,MATCH(ROW(),Lists!$AN$2:$AN$11,0)),""),IF(ISNUMBER(SEARCH("head of ",$C268)),"Head of Technology",IF(ISNUMBER(SEARCH("TDD BP",$C268)),"Business Partner",IF(OR(ISNUMBER(SEARCH("domain architect",$C268)),ISNUMBER(SEARCH("enterprise architect",$C268))),"Domain Architect",IF(ISNUMBER(SEARCH("delivery man",$C268)),"Delivery Manager",IF(OR(ISNUMBER(SEARCH("technology manager",$C268)),ISNUMBER(SEARCH("technology manger",$C268)),ISNUMBER(SEARCH("tech manager",$C268))),"Technology Manager","Squad")))))))</f>
        <v>Business Partner</v>
      </c>
      <c r="AS268" s="1136" t="str">
        <f>IF(TRIM($B268)="","",IFERROR(INDEX(Lists!$AA:$AA,MATCH($AP268,Lists!$Z:$Z,0)),$AP268))</f>
        <v>TDD Business Partner</v>
      </c>
      <c r="AT268" s="1136" t="str">
        <f>IF(TRIM($B268)="","",IF(IFERROR(INDEX(Lists!$AP$2:$AP$11,MATCH(ROW(),Lists!$AN$2:$AN$11,0)),"")&lt;&gt;"",IFERROR(INDEX(Lists!$AP$2:$AP$11,MATCH(ROW(),Lists!$AN$2:$AN$11,0)),""),IF(OR(LEFT($AJ268,3)="COE",$AJ268="EGI"),$AP268,IF($AR268&lt;&gt;"Squad",$AR268,$AP268))))</f>
        <v>TDD Business Partner</v>
      </c>
    </row>
    <row r="269" ht="18" customHeight="1" s="866">
      <c r="A269" s="1155" t="inlineStr">
        <is>
          <t>V</t>
        </is>
      </c>
      <c r="B269" s="1156" t="inlineStr">
        <is>
          <t>Vacant</t>
        </is>
      </c>
      <c r="C269" s="1156" t="inlineStr">
        <is>
          <t>Commercial Director</t>
        </is>
      </c>
      <c r="D269" s="1156" t="inlineStr">
        <is>
          <t>Michael Schofield</t>
        </is>
      </c>
      <c r="E269" s="1156" t="inlineStr">
        <is>
          <t>GM TDD, Partnering &amp; Transformation</t>
        </is>
      </c>
      <c r="F269" s="1157" t="inlineStr">
        <is>
          <t>Partnering &amp; Transformation</t>
        </is>
      </c>
      <c r="G269" s="1156" t="inlineStr">
        <is>
          <t>Commercial</t>
        </is>
      </c>
      <c r="H269" s="1156" t="inlineStr">
        <is>
          <t>NA</t>
        </is>
      </c>
      <c r="I269" s="1156" t="inlineStr">
        <is>
          <t>COE - Partnering &amp; Transformation</t>
        </is>
      </c>
      <c r="J269" s="1156" t="inlineStr">
        <is>
          <t>NA</t>
        </is>
      </c>
      <c r="K269" s="1156" t="inlineStr">
        <is>
          <t>NA</t>
        </is>
      </c>
      <c r="L269" s="1158" t="n"/>
      <c r="M269" s="1159" t="inlineStr">
        <is>
          <t>Australia</t>
        </is>
      </c>
      <c r="N269" s="1160" t="inlineStr">
        <is>
          <t>LSB</t>
        </is>
      </c>
      <c r="O269" s="1160" t="n">
        <v>1</v>
      </c>
      <c r="P269" s="1160" t="n"/>
      <c r="Q269" s="1160" t="inlineStr">
        <is>
          <t>v</t>
        </is>
      </c>
      <c r="R269" s="1162" t="n"/>
      <c r="S269" s="1162" t="n"/>
      <c r="T269" s="1163" t="n">
        <v>300000</v>
      </c>
      <c r="U269" s="1164" t="n">
        <v>300000</v>
      </c>
      <c r="V269" s="1166" t="n">
        <v>0.25</v>
      </c>
      <c r="W269" s="1170" t="n">
        <v>0.055</v>
      </c>
      <c r="X269" s="1170" t="n">
        <v>0.12</v>
      </c>
      <c r="Y269" s="1171" t="n"/>
      <c r="Z269" s="1170" t="n">
        <v>0.04</v>
      </c>
      <c r="AA269" s="1168">
        <f>IF(TRIM($B269)="","",IF(N($AU269)&gt;0,$AU269,IF(N($S269)&gt;0,$S269*Lists!$AG$15*(1+N($Z269)),N($U269)*(1+N($V269)+N($W269)+N($X269)+N($Z269))+N($Y269))))</f>
        <v>439500</v>
      </c>
      <c r="AJ269" s="865" t="str">
        <f>IF(TRIM($B269)="","",IF(IFERROR(INDEX(Lists!$AO$2:$AO$11,MATCH(ROW(),Lists!$AN$2:$AN$11,0)),"")&lt;&gt;"",IFERROR(INDEX(Lists!$AO$2:$AO$11,MATCH(ROW(),Lists!$AN$2:$AN$11,0)),""),IFERROR(INDEX(Lists!$U:$U,MATCH(TRIM($I269),Lists!$T:$T,0)),TRIM($I269))))</f>
        <v>COE BP&amp;T</v>
      </c>
      <c r="AK269" s="865" t="str">
        <f>IF(ISNUMBER(SEARCH("vacant",$B269)),"Vacant","Filled")</f>
        <v>Vacant</v>
      </c>
      <c r="AL269" s="865" t="str">
        <f>IF($M269="NZ","NZ","AU")</f>
        <v>AU</v>
      </c>
      <c r="AM269" s="865">
        <f>COUNTIF($AJ$2:$AJ269,$AJ269)</f>
        <v>15</v>
      </c>
      <c r="AN269" s="865" t="str">
        <f>$AJ269&amp;"|"&amp;$AM269</f>
        <v>COE BP&amp;T|15</v>
      </c>
      <c r="AP269" s="865" t="str">
        <f>IF(TRIM($B269)="","",IF($AQ269=1,"Leadership",IFERROR(INDEX(Lists!$X:$X,MATCH(TRIM($K269),Lists!$W:$W,0)),IF(OR(TRIM($K269)="",LOWER(TRIM($K269))="na"),IF(TRIM($G269)="","Unassigned",TRIM($G269)),TRIM($K269)))))</f>
        <v>Commercial</v>
      </c>
      <c r="AQ269" s="865" t="b">
        <f>IF(TRIM($B269)="","",--OR(TRIM($K269)="Leadership",TRIM($J269)="Leadership"))</f>
        <v>0</v>
      </c>
      <c r="AR269" s="1136" t="str">
        <f>IF(TRIM($B269)="","",IF(IFERROR(INDEX(Lists!$AQ$2:$AQ$11,MATCH(ROW(),Lists!$AN$2:$AN$11,0)),"")&lt;&gt;"",IFERROR(INDEX(Lists!$AQ$2:$AQ$11,MATCH(ROW(),Lists!$AN$2:$AN$11,0)),""),IF(ISNUMBER(SEARCH("head of ",$C269)),"Head of Technology",IF(ISNUMBER(SEARCH("TDD BP",$C269)),"Business Partner",IF(OR(ISNUMBER(SEARCH("domain architect",$C269)),ISNUMBER(SEARCH("enterprise architect",$C269))),"Domain Architect",IF(ISNUMBER(SEARCH("delivery man",$C269)),"Delivery Manager",IF(OR(ISNUMBER(SEARCH("technology manager",$C269)),ISNUMBER(SEARCH("technology manger",$C269)),ISNUMBER(SEARCH("tech manager",$C269))),"Technology Manager","Squad")))))))</f>
        <v>Squad</v>
      </c>
      <c r="AS269" s="1136" t="str">
        <f>IF(TRIM($B269)="","",IFERROR(INDEX(Lists!$AA:$AA,MATCH($AP269,Lists!$Z:$Z,0)),$AP269))</f>
        <v>Commercial</v>
      </c>
      <c r="AT269" s="1136" t="str">
        <f>IF(TRIM($B269)="","",IF(IFERROR(INDEX(Lists!$AP$2:$AP$11,MATCH(ROW(),Lists!$AN$2:$AN$11,0)),"")&lt;&gt;"",IFERROR(INDEX(Lists!$AP$2:$AP$11,MATCH(ROW(),Lists!$AN$2:$AN$11,0)),""),IF(OR(LEFT($AJ269,3)="COE",$AJ269="EGI"),$AP269,IF($AR269&lt;&gt;"Squad",$AR269,$AP269))))</f>
        <v>Commercial</v>
      </c>
    </row>
    <row r="270" ht="18" customHeight="1" s="866">
      <c r="A270" s="1155" t="inlineStr">
        <is>
          <t>V</t>
        </is>
      </c>
      <c r="B270" s="1156" t="inlineStr">
        <is>
          <t>Vacant</t>
        </is>
      </c>
      <c r="C270" s="1156" t="inlineStr">
        <is>
          <t>Head of Transformation</t>
        </is>
      </c>
      <c r="D270" s="1156" t="inlineStr">
        <is>
          <t>Michael Schofield</t>
        </is>
      </c>
      <c r="E270" s="1156" t="inlineStr">
        <is>
          <t>Head of Service Operatoins &amp; Assurance</t>
        </is>
      </c>
      <c r="F270" s="1157" t="inlineStr">
        <is>
          <t>Partnering &amp; Transformation</t>
        </is>
      </c>
      <c r="G270" s="1156" t="inlineStr">
        <is>
          <t>Transformation</t>
        </is>
      </c>
      <c r="H270" s="1156" t="inlineStr">
        <is>
          <t>NA</t>
        </is>
      </c>
      <c r="I270" s="1156" t="inlineStr">
        <is>
          <t>COE - Partnering &amp; Transformation</t>
        </is>
      </c>
      <c r="J270" s="1156" t="inlineStr">
        <is>
          <t>NA</t>
        </is>
      </c>
      <c r="K270" s="1156" t="inlineStr">
        <is>
          <t>NA</t>
        </is>
      </c>
      <c r="L270" s="1158" t="n"/>
      <c r="M270" s="1159" t="inlineStr">
        <is>
          <t>Australia</t>
        </is>
      </c>
      <c r="N270" s="1160" t="inlineStr">
        <is>
          <t>CSC</t>
        </is>
      </c>
      <c r="O270" s="1160" t="n">
        <v>1</v>
      </c>
      <c r="P270" s="1160" t="n"/>
      <c r="Q270" s="1160" t="inlineStr">
        <is>
          <t>v</t>
        </is>
      </c>
      <c r="R270" s="1162" t="n"/>
      <c r="S270" s="1162" t="n"/>
      <c r="T270" s="1163" t="n">
        <v>260000</v>
      </c>
      <c r="U270" s="1164" t="n">
        <v>260000</v>
      </c>
      <c r="V270" s="1166" t="n">
        <v>0.2</v>
      </c>
      <c r="W270" s="1170" t="n">
        <v>0.055</v>
      </c>
      <c r="X270" s="1170" t="n">
        <v>0.12</v>
      </c>
      <c r="Y270" s="1171" t="n"/>
      <c r="Z270" s="1170" t="n">
        <v>0.04</v>
      </c>
      <c r="AA270" s="1168">
        <f>IF(TRIM($B270)="","",IF(N($AU270)&gt;0,$AU270,IF(N($S270)&gt;0,$S270*Lists!$AG$15*(1+N($Z270)),N($U270)*(1+N($V270)+N($W270)+N($X270)+N($Z270))+N($Y270))))</f>
        <v>367900</v>
      </c>
      <c r="AJ270" s="865" t="str">
        <f>IF(TRIM($B270)="","",IF(IFERROR(INDEX(Lists!$AO$2:$AO$11,MATCH(ROW(),Lists!$AN$2:$AN$11,0)),"")&lt;&gt;"",IFERROR(INDEX(Lists!$AO$2:$AO$11,MATCH(ROW(),Lists!$AN$2:$AN$11,0)),""),IFERROR(INDEX(Lists!$U:$U,MATCH(TRIM($I270),Lists!$T:$T,0)),TRIM($I270))))</f>
        <v>COE BP&amp;T</v>
      </c>
      <c r="AK270" s="865" t="str">
        <f>IF(ISNUMBER(SEARCH("vacant",$B270)),"Vacant","Filled")</f>
        <v>Vacant</v>
      </c>
      <c r="AL270" s="865" t="str">
        <f>IF($M270="NZ","NZ","AU")</f>
        <v>AU</v>
      </c>
      <c r="AM270" s="865">
        <f>COUNTIF($AJ$2:$AJ270,$AJ270)</f>
        <v>16</v>
      </c>
      <c r="AN270" s="865" t="str">
        <f>$AJ270&amp;"|"&amp;$AM270</f>
        <v>COE BP&amp;T|16</v>
      </c>
      <c r="AP270" s="865" t="str">
        <f>IF(TRIM($B270)="","",IF($AQ270=1,"Leadership",IFERROR(INDEX(Lists!$X:$X,MATCH(TRIM($K270),Lists!$W:$W,0)),IF(OR(TRIM($K270)="",LOWER(TRIM($K270))="na"),IF(TRIM($G270)="","Unassigned",TRIM($G270)),TRIM($K270)))))</f>
        <v>Transformation</v>
      </c>
      <c r="AQ270" s="865" t="b">
        <f>IF(TRIM($B270)="","",--OR(TRIM($K270)="Leadership",TRIM($J270)="Leadership"))</f>
        <v>0</v>
      </c>
      <c r="AR270" s="1136" t="str">
        <f>IF(TRIM($B270)="","",IF(IFERROR(INDEX(Lists!$AQ$2:$AQ$11,MATCH(ROW(),Lists!$AN$2:$AN$11,0)),"")&lt;&gt;"",IFERROR(INDEX(Lists!$AQ$2:$AQ$11,MATCH(ROW(),Lists!$AN$2:$AN$11,0)),""),IF(ISNUMBER(SEARCH("head of ",$C270)),"Head of Technology",IF(ISNUMBER(SEARCH("TDD BP",$C270)),"Business Partner",IF(OR(ISNUMBER(SEARCH("domain architect",$C270)),ISNUMBER(SEARCH("enterprise architect",$C270))),"Domain Architect",IF(ISNUMBER(SEARCH("delivery man",$C270)),"Delivery Manager",IF(OR(ISNUMBER(SEARCH("technology manager",$C270)),ISNUMBER(SEARCH("technology manger",$C270)),ISNUMBER(SEARCH("tech manager",$C270))),"Technology Manager","Squad")))))))</f>
        <v>Head of Technology</v>
      </c>
      <c r="AS270" s="1136" t="str">
        <f>IF(TRIM($B270)="","",IFERROR(INDEX(Lists!$AA:$AA,MATCH($AP270,Lists!$Z:$Z,0)),$AP270))</f>
        <v>Transformation</v>
      </c>
      <c r="AT270" s="1136" t="str">
        <f>IF(TRIM($B270)="","",IF(IFERROR(INDEX(Lists!$AP$2:$AP$11,MATCH(ROW(),Lists!$AN$2:$AN$11,0)),"")&lt;&gt;"",IFERROR(INDEX(Lists!$AP$2:$AP$11,MATCH(ROW(),Lists!$AN$2:$AN$11,0)),""),IF(OR(LEFT($AJ270,3)="COE",$AJ270="EGI"),$AP270,IF($AR270&lt;&gt;"Squad",$AR270,$AP270))))</f>
        <v>Transformation</v>
      </c>
    </row>
    <row r="271" ht="18" customHeight="1" s="866">
      <c r="A271" s="1155" t="inlineStr">
        <is>
          <t>V</t>
        </is>
      </c>
      <c r="B271" s="1156" t="inlineStr">
        <is>
          <t>Vacant</t>
        </is>
      </c>
      <c r="C271" s="1156" t="inlineStr">
        <is>
          <t>Delivery Systems Analyst</t>
        </is>
      </c>
      <c r="D271" s="1156" t="inlineStr">
        <is>
          <t>Ruth Chou</t>
        </is>
      </c>
      <c r="E271" s="1156" t="inlineStr">
        <is>
          <t>Portfolio Reporting Manger</t>
        </is>
      </c>
      <c r="F271" s="1157" t="inlineStr">
        <is>
          <t>Partnering &amp; Transformation</t>
        </is>
      </c>
      <c r="G271" s="1156" t="inlineStr">
        <is>
          <t>Transformation</t>
        </is>
      </c>
      <c r="H271" s="1156" t="inlineStr">
        <is>
          <t>NA</t>
        </is>
      </c>
      <c r="I271" s="1156" t="inlineStr">
        <is>
          <t>COE - Partnering &amp; Transformation</t>
        </is>
      </c>
      <c r="J271" s="1156" t="inlineStr">
        <is>
          <t>NA</t>
        </is>
      </c>
      <c r="K271" s="1156" t="inlineStr">
        <is>
          <t>NA</t>
        </is>
      </c>
      <c r="L271" s="1158" t="n"/>
      <c r="M271" s="1159" t="inlineStr">
        <is>
          <t>Australia</t>
        </is>
      </c>
      <c r="N271" s="1160" t="inlineStr">
        <is>
          <t>cib</t>
        </is>
      </c>
      <c r="O271" s="1160" t="n">
        <v>1</v>
      </c>
      <c r="P271" s="1160" t="n"/>
      <c r="Q271" s="1160" t="inlineStr">
        <is>
          <t>V</t>
        </is>
      </c>
      <c r="R271" s="1162" t="n"/>
      <c r="S271" s="1162" t="n"/>
      <c r="T271" s="1163" t="n">
        <v>151950</v>
      </c>
      <c r="U271" s="1164" t="n">
        <v>151950</v>
      </c>
      <c r="V271" s="1166" t="n">
        <v>0.12</v>
      </c>
      <c r="W271" s="1170" t="n">
        <v>0.055</v>
      </c>
      <c r="X271" s="1170" t="n">
        <v>0.12</v>
      </c>
      <c r="Y271" s="1171" t="n"/>
      <c r="Z271" s="1170" t="n">
        <v>0.04</v>
      </c>
      <c r="AA271" s="1168">
        <f>IF(TRIM($B271)="","",IF(N($AU271)&gt;0,$AU271,IF(N($S271)&gt;0,$S271*Lists!$AG$15*(1+N($Z271)),N($U271)*(1+N($V271)+N($W271)+N($X271)+N($Z271))+N($Y271))))</f>
        <v>202853.25</v>
      </c>
      <c r="AJ271" s="865" t="str">
        <f>IF(TRIM($B271)="","",IF(IFERROR(INDEX(Lists!$AO$2:$AO$11,MATCH(ROW(),Lists!$AN$2:$AN$11,0)),"")&lt;&gt;"",IFERROR(INDEX(Lists!$AO$2:$AO$11,MATCH(ROW(),Lists!$AN$2:$AN$11,0)),""),IFERROR(INDEX(Lists!$U:$U,MATCH(TRIM($I271),Lists!$T:$T,0)),TRIM($I271))))</f>
        <v>COE BP&amp;T</v>
      </c>
      <c r="AK271" s="865" t="str">
        <f>IF(ISNUMBER(SEARCH("vacant",$B271)),"Vacant","Filled")</f>
        <v>Vacant</v>
      </c>
      <c r="AL271" s="865" t="str">
        <f>IF($M271="NZ","NZ","AU")</f>
        <v>AU</v>
      </c>
      <c r="AM271" s="865">
        <f>COUNTIF($AJ$2:$AJ271,$AJ271)</f>
        <v>17</v>
      </c>
      <c r="AN271" s="865" t="str">
        <f>$AJ271&amp;"|"&amp;$AM271</f>
        <v>COE BP&amp;T|17</v>
      </c>
      <c r="AP271" s="865" t="str">
        <f>IF(TRIM($B271)="","",IF($AQ271=1,"Leadership",IFERROR(INDEX(Lists!$X:$X,MATCH(TRIM($K271),Lists!$W:$W,0)),IF(OR(TRIM($K271)="",LOWER(TRIM($K271))="na"),IF(TRIM($G271)="","Unassigned",TRIM($G271)),TRIM($K271)))))</f>
        <v>Transformation</v>
      </c>
      <c r="AQ271" s="865" t="b">
        <f>IF(TRIM($B271)="","",--OR(TRIM($K271)="Leadership",TRIM($J271)="Leadership"))</f>
        <v>0</v>
      </c>
      <c r="AR271" s="1136" t="str">
        <f>IF(TRIM($B271)="","",IF(IFERROR(INDEX(Lists!$AQ$2:$AQ$11,MATCH(ROW(),Lists!$AN$2:$AN$11,0)),"")&lt;&gt;"",IFERROR(INDEX(Lists!$AQ$2:$AQ$11,MATCH(ROW(),Lists!$AN$2:$AN$11,0)),""),IF(ISNUMBER(SEARCH("head of ",$C271)),"Head of Technology",IF(ISNUMBER(SEARCH("TDD BP",$C271)),"Business Partner",IF(OR(ISNUMBER(SEARCH("domain architect",$C271)),ISNUMBER(SEARCH("enterprise architect",$C271))),"Domain Architect",IF(ISNUMBER(SEARCH("delivery man",$C271)),"Delivery Manager",IF(OR(ISNUMBER(SEARCH("technology manager",$C271)),ISNUMBER(SEARCH("technology manger",$C271)),ISNUMBER(SEARCH("tech manager",$C271))),"Technology Manager","Squad")))))))</f>
        <v>Squad</v>
      </c>
      <c r="AS271" s="1136" t="str">
        <f>IF(TRIM($B271)="","",IFERROR(INDEX(Lists!$AA:$AA,MATCH($AP271,Lists!$Z:$Z,0)),$AP271))</f>
        <v>Transformation</v>
      </c>
      <c r="AT271" s="1136" t="str">
        <f>IF(TRIM($B271)="","",IF(IFERROR(INDEX(Lists!$AP$2:$AP$11,MATCH(ROW(),Lists!$AN$2:$AN$11,0)),"")&lt;&gt;"",IFERROR(INDEX(Lists!$AP$2:$AP$11,MATCH(ROW(),Lists!$AN$2:$AN$11,0)),""),IF(OR(LEFT($AJ271,3)="COE",$AJ271="EGI"),$AP271,IF($AR271&lt;&gt;"Squad",$AR271,$AP271))))</f>
        <v>Transformation</v>
      </c>
    </row>
    <row r="272" ht="18" customHeight="1" s="866">
      <c r="A272" s="1155" t="inlineStr">
        <is>
          <t>V</t>
        </is>
      </c>
      <c r="B272" s="1156" t="inlineStr">
        <is>
          <t>Vacant</t>
        </is>
      </c>
      <c r="C272" s="1156" t="inlineStr">
        <is>
          <t>Business Analysis Practice Lead</t>
        </is>
      </c>
      <c r="D272" s="1158" t="inlineStr">
        <is>
          <t>Vacant</t>
        </is>
      </c>
      <c r="E272" s="1156" t="inlineStr">
        <is>
          <t>Delivery Excellence Manager</t>
        </is>
      </c>
      <c r="F272" s="1157" t="inlineStr">
        <is>
          <t>Partnering &amp; Transformation</t>
        </is>
      </c>
      <c r="G272" s="1156" t="inlineStr">
        <is>
          <t>Transformation</t>
        </is>
      </c>
      <c r="H272" s="1156" t="inlineStr">
        <is>
          <t>NA</t>
        </is>
      </c>
      <c r="I272" s="1156" t="inlineStr">
        <is>
          <t>COE - Partnering &amp; Transformation</t>
        </is>
      </c>
      <c r="J272" s="1156" t="inlineStr">
        <is>
          <t>NA</t>
        </is>
      </c>
      <c r="K272" s="1156" t="inlineStr">
        <is>
          <t>NA</t>
        </is>
      </c>
      <c r="L272" s="1158" t="n"/>
      <c r="M272" s="1159" t="inlineStr">
        <is>
          <t>Australia</t>
        </is>
      </c>
      <c r="N272" s="1160" t="inlineStr">
        <is>
          <t>CIC</t>
        </is>
      </c>
      <c r="O272" s="1160" t="n">
        <v>1</v>
      </c>
      <c r="P272" s="1160" t="n"/>
      <c r="Q272" s="1160" t="inlineStr">
        <is>
          <t>V</t>
        </is>
      </c>
      <c r="R272" s="1162" t="n"/>
      <c r="S272" s="1162" t="n"/>
      <c r="T272" s="1163" t="n">
        <v>173550</v>
      </c>
      <c r="U272" s="1164" t="n">
        <v>173550</v>
      </c>
      <c r="V272" s="1166" t="n">
        <v>0.12</v>
      </c>
      <c r="W272" s="1170" t="n">
        <v>0.055</v>
      </c>
      <c r="X272" s="1170" t="n">
        <v>0.12</v>
      </c>
      <c r="Y272" s="1171" t="n"/>
      <c r="Z272" s="1170" t="n">
        <v>0.04</v>
      </c>
      <c r="AA272" s="1168">
        <f>IF(TRIM($B272)="","",IF(N($AU272)&gt;0,$AU272,IF(N($S272)&gt;0,$S272*Lists!$AG$15*(1+N($Z272)),N($U272)*(1+N($V272)+N($W272)+N($X272)+N($Z272))+N($Y272))))</f>
        <v>231689.25</v>
      </c>
      <c r="AJ272" s="865" t="str">
        <f>IF(TRIM($B272)="","",IF(IFERROR(INDEX(Lists!$AO$2:$AO$11,MATCH(ROW(),Lists!$AN$2:$AN$11,0)),"")&lt;&gt;"",IFERROR(INDEX(Lists!$AO$2:$AO$11,MATCH(ROW(),Lists!$AN$2:$AN$11,0)),""),IFERROR(INDEX(Lists!$U:$U,MATCH(TRIM($I272),Lists!$T:$T,0)),TRIM($I272))))</f>
        <v>COE BP&amp;T</v>
      </c>
      <c r="AK272" s="865" t="str">
        <f>IF(ISNUMBER(SEARCH("vacant",$B272)),"Vacant","Filled")</f>
        <v>Vacant</v>
      </c>
      <c r="AL272" s="865" t="str">
        <f>IF($M272="NZ","NZ","AU")</f>
        <v>AU</v>
      </c>
      <c r="AM272" s="865">
        <f>COUNTIF($AJ$2:$AJ272,$AJ272)</f>
        <v>18</v>
      </c>
      <c r="AN272" s="865" t="str">
        <f>$AJ272&amp;"|"&amp;$AM272</f>
        <v>COE BP&amp;T|18</v>
      </c>
      <c r="AP272" s="865" t="str">
        <f>IF(TRIM($B272)="","",IF($AQ272=1,"Leadership",IFERROR(INDEX(Lists!$X:$X,MATCH(TRIM($K272),Lists!$W:$W,0)),IF(OR(TRIM($K272)="",LOWER(TRIM($K272))="na"),IF(TRIM($G272)="","Unassigned",TRIM($G272)),TRIM($K272)))))</f>
        <v>Transformation</v>
      </c>
      <c r="AQ272" s="865" t="b">
        <f>IF(TRIM($B272)="","",--OR(TRIM($K272)="Leadership",TRIM($J272)="Leadership"))</f>
        <v>0</v>
      </c>
      <c r="AR272" s="1136" t="str">
        <f>IF(TRIM($B272)="","",IF(IFERROR(INDEX(Lists!$AQ$2:$AQ$11,MATCH(ROW(),Lists!$AN$2:$AN$11,0)),"")&lt;&gt;"",IFERROR(INDEX(Lists!$AQ$2:$AQ$11,MATCH(ROW(),Lists!$AN$2:$AN$11,0)),""),IF(ISNUMBER(SEARCH("head of ",$C272)),"Head of Technology",IF(ISNUMBER(SEARCH("TDD BP",$C272)),"Business Partner",IF(OR(ISNUMBER(SEARCH("domain architect",$C272)),ISNUMBER(SEARCH("enterprise architect",$C272))),"Domain Architect",IF(ISNUMBER(SEARCH("delivery man",$C272)),"Delivery Manager",IF(OR(ISNUMBER(SEARCH("technology manager",$C272)),ISNUMBER(SEARCH("technology manger",$C272)),ISNUMBER(SEARCH("tech manager",$C272))),"Technology Manager","Squad")))))))</f>
        <v>Squad</v>
      </c>
      <c r="AS272" s="1136" t="str">
        <f>IF(TRIM($B272)="","",IFERROR(INDEX(Lists!$AA:$AA,MATCH($AP272,Lists!$Z:$Z,0)),$AP272))</f>
        <v>Transformation</v>
      </c>
      <c r="AT272" s="1136" t="str">
        <f>IF(TRIM($B272)="","",IF(IFERROR(INDEX(Lists!$AP$2:$AP$11,MATCH(ROW(),Lists!$AN$2:$AN$11,0)),"")&lt;&gt;"",IFERROR(INDEX(Lists!$AP$2:$AP$11,MATCH(ROW(),Lists!$AN$2:$AN$11,0)),""),IF(OR(LEFT($AJ272,3)="COE",$AJ272="EGI"),$AP272,IF($AR272&lt;&gt;"Squad",$AR272,$AP272))))</f>
        <v>Transformation</v>
      </c>
    </row>
    <row r="273" ht="18" customHeight="1" s="866">
      <c r="A273" s="1155" t="inlineStr">
        <is>
          <t>V</t>
        </is>
      </c>
      <c r="B273" s="1156" t="inlineStr">
        <is>
          <t>Vacant</t>
        </is>
      </c>
      <c r="C273" s="1158" t="inlineStr">
        <is>
          <t>Delivery Assurance Manager</t>
        </is>
      </c>
      <c r="D273" s="1158" t="inlineStr">
        <is>
          <t>Vacant</t>
        </is>
      </c>
      <c r="E273" s="1158" t="inlineStr">
        <is>
          <t xml:space="preserve">Manager Identity &amp; Access Management </t>
        </is>
      </c>
      <c r="F273" s="1157" t="inlineStr">
        <is>
          <t>Partnering &amp; Transformation</t>
        </is>
      </c>
      <c r="G273" s="1158" t="inlineStr">
        <is>
          <t>Transformation</t>
        </is>
      </c>
      <c r="H273" s="1156" t="inlineStr">
        <is>
          <t>NA</t>
        </is>
      </c>
      <c r="I273" s="1156" t="inlineStr">
        <is>
          <t>COE - Partnering &amp; Transformation</t>
        </is>
      </c>
      <c r="J273" s="1156" t="inlineStr">
        <is>
          <t>NA</t>
        </is>
      </c>
      <c r="K273" s="1156" t="inlineStr">
        <is>
          <t>NA</t>
        </is>
      </c>
      <c r="L273" s="1158" t="n"/>
      <c r="M273" s="1159" t="inlineStr">
        <is>
          <t>Australia</t>
        </is>
      </c>
      <c r="N273" s="1160" t="inlineStr">
        <is>
          <t>CSB</t>
        </is>
      </c>
      <c r="O273" s="1160" t="n">
        <v>1</v>
      </c>
      <c r="P273" s="1160" t="n"/>
      <c r="Q273" s="1160" t="inlineStr">
        <is>
          <t>V</t>
        </is>
      </c>
      <c r="R273" s="1162" t="n"/>
      <c r="S273" s="1162" t="n"/>
      <c r="T273" s="1163" t="n">
        <v>203550</v>
      </c>
      <c r="U273" s="1164" t="n">
        <v>203550</v>
      </c>
      <c r="V273" s="1166" t="n">
        <v>0.14</v>
      </c>
      <c r="W273" s="1170" t="n">
        <v>0.055</v>
      </c>
      <c r="X273" s="1170" t="n">
        <v>0.12</v>
      </c>
      <c r="Y273" s="1171" t="n"/>
      <c r="Z273" s="1170" t="n">
        <v>0.04</v>
      </c>
      <c r="AA273" s="1168">
        <f>IF(TRIM($B273)="","",IF(N($AU273)&gt;0,$AU273,IF(N($S273)&gt;0,$S273*Lists!$AG$15*(1+N($Z273)),N($U273)*(1+N($V273)+N($W273)+N($X273)+N($Z273))+N($Y273))))</f>
        <v>275810.25</v>
      </c>
      <c r="AJ273" s="865" t="str">
        <f>IF(TRIM($B273)="","",IF(IFERROR(INDEX(Lists!$AO$2:$AO$11,MATCH(ROW(),Lists!$AN$2:$AN$11,0)),"")&lt;&gt;"",IFERROR(INDEX(Lists!$AO$2:$AO$11,MATCH(ROW(),Lists!$AN$2:$AN$11,0)),""),IFERROR(INDEX(Lists!$U:$U,MATCH(TRIM($I273),Lists!$T:$T,0)),TRIM($I273))))</f>
        <v>COE BP&amp;T</v>
      </c>
      <c r="AK273" s="865" t="str">
        <f>IF(ISNUMBER(SEARCH("vacant",$B273)),"Vacant","Filled")</f>
        <v>Vacant</v>
      </c>
      <c r="AL273" s="865" t="str">
        <f>IF($M273="NZ","NZ","AU")</f>
        <v>AU</v>
      </c>
      <c r="AM273" s="865">
        <f>COUNTIF($AJ$2:$AJ273,$AJ273)</f>
        <v>19</v>
      </c>
      <c r="AN273" s="865" t="str">
        <f>$AJ273&amp;"|"&amp;$AM273</f>
        <v>COE BP&amp;T|19</v>
      </c>
      <c r="AP273" s="865" t="str">
        <f>IF(TRIM($B273)="","",IF($AQ273=1,"Leadership",IFERROR(INDEX(Lists!$X:$X,MATCH(TRIM($K273),Lists!$W:$W,0)),IF(OR(TRIM($K273)="",LOWER(TRIM($K273))="na"),IF(TRIM($G273)="","Unassigned",TRIM($G273)),TRIM($K273)))))</f>
        <v>Transformation</v>
      </c>
      <c r="AQ273" s="865" t="b">
        <f>IF(TRIM($B273)="","",--OR(TRIM($K273)="Leadership",TRIM($J273)="Leadership"))</f>
        <v>0</v>
      </c>
      <c r="AR273" s="1136" t="str">
        <f>IF(TRIM($B273)="","",IF(IFERROR(INDEX(Lists!$AQ$2:$AQ$11,MATCH(ROW(),Lists!$AN$2:$AN$11,0)),"")&lt;&gt;"",IFERROR(INDEX(Lists!$AQ$2:$AQ$11,MATCH(ROW(),Lists!$AN$2:$AN$11,0)),""),IF(ISNUMBER(SEARCH("head of ",$C273)),"Head of Technology",IF(ISNUMBER(SEARCH("TDD BP",$C273)),"Business Partner",IF(OR(ISNUMBER(SEARCH("domain architect",$C273)),ISNUMBER(SEARCH("enterprise architect",$C273))),"Domain Architect",IF(ISNUMBER(SEARCH("delivery man",$C273)),"Delivery Manager",IF(OR(ISNUMBER(SEARCH("technology manager",$C273)),ISNUMBER(SEARCH("technology manger",$C273)),ISNUMBER(SEARCH("tech manager",$C273))),"Technology Manager","Squad")))))))</f>
        <v>Squad</v>
      </c>
      <c r="AS273" s="1136" t="str">
        <f>IF(TRIM($B273)="","",IFERROR(INDEX(Lists!$AA:$AA,MATCH($AP273,Lists!$Z:$Z,0)),$AP273))</f>
        <v>Transformation</v>
      </c>
      <c r="AT273" s="1136" t="str">
        <f>IF(TRIM($B273)="","",IF(IFERROR(INDEX(Lists!$AP$2:$AP$11,MATCH(ROW(),Lists!$AN$2:$AN$11,0)),"")&lt;&gt;"",IFERROR(INDEX(Lists!$AP$2:$AP$11,MATCH(ROW(),Lists!$AN$2:$AN$11,0)),""),IF(OR(LEFT($AJ273,3)="COE",$AJ273="EGI"),$AP273,IF($AR273&lt;&gt;"Squad",$AR273,$AP273))))</f>
        <v>Transformation</v>
      </c>
    </row>
    <row r="274" ht="18" customHeight="1" s="866">
      <c r="A274" s="1155" t="inlineStr">
        <is>
          <t>V</t>
        </is>
      </c>
      <c r="B274" s="1156" t="inlineStr">
        <is>
          <t>Vacant</t>
        </is>
      </c>
      <c r="C274" s="1156" t="inlineStr">
        <is>
          <t>Delivery Capacity &amp; Assurance Lead</t>
        </is>
      </c>
      <c r="D274" s="1158" t="inlineStr">
        <is>
          <t>Vacant</t>
        </is>
      </c>
      <c r="E274" s="1158" t="inlineStr">
        <is>
          <t>vacant</t>
        </is>
      </c>
      <c r="F274" s="1157" t="inlineStr">
        <is>
          <t>Partnering &amp; Transformation</t>
        </is>
      </c>
      <c r="G274" s="1156" t="inlineStr">
        <is>
          <t>Transformation</t>
        </is>
      </c>
      <c r="H274" s="1156" t="inlineStr">
        <is>
          <t>NA</t>
        </is>
      </c>
      <c r="I274" s="1156" t="inlineStr">
        <is>
          <t>COE - Partnering &amp; Transformation</t>
        </is>
      </c>
      <c r="J274" s="1156" t="inlineStr">
        <is>
          <t>NA</t>
        </is>
      </c>
      <c r="K274" s="1156" t="inlineStr">
        <is>
          <t>NA</t>
        </is>
      </c>
      <c r="L274" s="1158" t="n"/>
      <c r="M274" s="1159" t="inlineStr">
        <is>
          <t>Australia</t>
        </is>
      </c>
      <c r="N274" s="1160" t="inlineStr">
        <is>
          <t>CIC</t>
        </is>
      </c>
      <c r="O274" s="1160" t="n">
        <v>1</v>
      </c>
      <c r="P274" s="1160" t="n"/>
      <c r="Q274" s="1160" t="inlineStr">
        <is>
          <t>V</t>
        </is>
      </c>
      <c r="R274" s="1162" t="n"/>
      <c r="S274" s="1162" t="n"/>
      <c r="T274" s="1163" t="n">
        <v>173550</v>
      </c>
      <c r="U274" s="1164" t="n">
        <v>173550</v>
      </c>
      <c r="V274" s="1166" t="n">
        <v>0.12</v>
      </c>
      <c r="W274" s="1170" t="n">
        <v>0.055</v>
      </c>
      <c r="X274" s="1170" t="n">
        <v>0.12</v>
      </c>
      <c r="Y274" s="1171" t="n"/>
      <c r="Z274" s="1170" t="n">
        <v>0.04</v>
      </c>
      <c r="AA274" s="1168">
        <f>IF(TRIM($B274)="","",IF(N($AU274)&gt;0,$AU274,IF(N($S274)&gt;0,$S274*Lists!$AG$15*(1+N($Z274)),N($U274)*(1+N($V274)+N($W274)+N($X274)+N($Z274))+N($Y274))))</f>
        <v>231689.25</v>
      </c>
      <c r="AJ274" s="865" t="str">
        <f>IF(TRIM($B274)="","",IF(IFERROR(INDEX(Lists!$AO$2:$AO$11,MATCH(ROW(),Lists!$AN$2:$AN$11,0)),"")&lt;&gt;"",IFERROR(INDEX(Lists!$AO$2:$AO$11,MATCH(ROW(),Lists!$AN$2:$AN$11,0)),""),IFERROR(INDEX(Lists!$U:$U,MATCH(TRIM($I274),Lists!$T:$T,0)),TRIM($I274))))</f>
        <v>COE BP&amp;T</v>
      </c>
      <c r="AK274" s="865" t="str">
        <f>IF(ISNUMBER(SEARCH("vacant",$B274)),"Vacant","Filled")</f>
        <v>Vacant</v>
      </c>
      <c r="AL274" s="865" t="str">
        <f>IF($M274="NZ","NZ","AU")</f>
        <v>AU</v>
      </c>
      <c r="AM274" s="865">
        <f>COUNTIF($AJ$2:$AJ274,$AJ274)</f>
        <v>20</v>
      </c>
      <c r="AN274" s="865" t="str">
        <f>$AJ274&amp;"|"&amp;$AM274</f>
        <v>COE BP&amp;T|20</v>
      </c>
      <c r="AP274" s="865" t="str">
        <f>IF(TRIM($B274)="","",IF($AQ274=1,"Leadership",IFERROR(INDEX(Lists!$X:$X,MATCH(TRIM($K274),Lists!$W:$W,0)),IF(OR(TRIM($K274)="",LOWER(TRIM($K274))="na"),IF(TRIM($G274)="","Unassigned",TRIM($G274)),TRIM($K274)))))</f>
        <v>Transformation</v>
      </c>
      <c r="AQ274" s="865" t="b">
        <f>IF(TRIM($B274)="","",--OR(TRIM($K274)="Leadership",TRIM($J274)="Leadership"))</f>
        <v>0</v>
      </c>
      <c r="AR274" s="1136" t="str">
        <f>IF(TRIM($B274)="","",IF(IFERROR(INDEX(Lists!$AQ$2:$AQ$11,MATCH(ROW(),Lists!$AN$2:$AN$11,0)),"")&lt;&gt;"",IFERROR(INDEX(Lists!$AQ$2:$AQ$11,MATCH(ROW(),Lists!$AN$2:$AN$11,0)),""),IF(ISNUMBER(SEARCH("head of ",$C274)),"Head of Technology",IF(ISNUMBER(SEARCH("TDD BP",$C274)),"Business Partner",IF(OR(ISNUMBER(SEARCH("domain architect",$C274)),ISNUMBER(SEARCH("enterprise architect",$C274))),"Domain Architect",IF(ISNUMBER(SEARCH("delivery man",$C274)),"Delivery Manager",IF(OR(ISNUMBER(SEARCH("technology manager",$C274)),ISNUMBER(SEARCH("technology manger",$C274)),ISNUMBER(SEARCH("tech manager",$C274))),"Technology Manager","Squad")))))))</f>
        <v>Squad</v>
      </c>
      <c r="AS274" s="1136" t="str">
        <f>IF(TRIM($B274)="","",IFERROR(INDEX(Lists!$AA:$AA,MATCH($AP274,Lists!$Z:$Z,0)),$AP274))</f>
        <v>Transformation</v>
      </c>
      <c r="AT274" s="1136" t="str">
        <f>IF(TRIM($B274)="","",IF(IFERROR(INDEX(Lists!$AP$2:$AP$11,MATCH(ROW(),Lists!$AN$2:$AN$11,0)),"")&lt;&gt;"",IFERROR(INDEX(Lists!$AP$2:$AP$11,MATCH(ROW(),Lists!$AN$2:$AN$11,0)),""),IF(OR(LEFT($AJ274,3)="COE",$AJ274="EGI"),$AP274,IF($AR274&lt;&gt;"Squad",$AR274,$AP274))))</f>
        <v>Transformation</v>
      </c>
    </row>
    <row r="275" ht="18" customHeight="1" s="866">
      <c r="A275" s="1155" t="inlineStr">
        <is>
          <t>V</t>
        </is>
      </c>
      <c r="B275" s="1156" t="inlineStr">
        <is>
          <t>Vacant</t>
        </is>
      </c>
      <c r="C275" s="1156" t="inlineStr">
        <is>
          <t>Delivery Excellence Manager</t>
        </is>
      </c>
      <c r="D275" s="1158" t="inlineStr">
        <is>
          <t>Vacant</t>
        </is>
      </c>
      <c r="E275" s="1156" t="inlineStr">
        <is>
          <t xml:space="preserve">CISO </t>
        </is>
      </c>
      <c r="F275" s="1157" t="inlineStr">
        <is>
          <t>Partnering &amp; Transformation</t>
        </is>
      </c>
      <c r="G275" s="1156" t="inlineStr">
        <is>
          <t>Transformation</t>
        </is>
      </c>
      <c r="H275" s="1156" t="inlineStr">
        <is>
          <t>NA</t>
        </is>
      </c>
      <c r="I275" s="1156" t="inlineStr">
        <is>
          <t>COE - Partnering &amp; Transformation</t>
        </is>
      </c>
      <c r="J275" s="1156" t="inlineStr">
        <is>
          <t>NA</t>
        </is>
      </c>
      <c r="K275" s="1156" t="inlineStr">
        <is>
          <t>NA</t>
        </is>
      </c>
      <c r="L275" s="1158" t="n"/>
      <c r="M275" s="1159" t="inlineStr">
        <is>
          <t>Australia</t>
        </is>
      </c>
      <c r="N275" s="1160" t="inlineStr">
        <is>
          <t>CSB</t>
        </is>
      </c>
      <c r="O275" s="1160" t="n">
        <v>1</v>
      </c>
      <c r="P275" s="1160" t="n"/>
      <c r="Q275" s="1160" t="inlineStr">
        <is>
          <t>V</t>
        </is>
      </c>
      <c r="R275" s="1162" t="n"/>
      <c r="S275" s="1162" t="n"/>
      <c r="T275" s="1163" t="n">
        <v>203550</v>
      </c>
      <c r="U275" s="1164" t="n">
        <v>203550</v>
      </c>
      <c r="V275" s="1166" t="n">
        <v>0.14</v>
      </c>
      <c r="W275" s="1170" t="n">
        <v>0.055</v>
      </c>
      <c r="X275" s="1170" t="n">
        <v>0.12</v>
      </c>
      <c r="Y275" s="1171" t="n"/>
      <c r="Z275" s="1170" t="n">
        <v>0.04</v>
      </c>
      <c r="AA275" s="1168">
        <f>IF(TRIM($B275)="","",IF(N($AU275)&gt;0,$AU275,IF(N($S275)&gt;0,$S275*Lists!$AG$15*(1+N($Z275)),N($U275)*(1+N($V275)+N($W275)+N($X275)+N($Z275))+N($Y275))))</f>
        <v>275810.25</v>
      </c>
      <c r="AJ275" s="865" t="str">
        <f>IF(TRIM($B275)="","",IF(IFERROR(INDEX(Lists!$AO$2:$AO$11,MATCH(ROW(),Lists!$AN$2:$AN$11,0)),"")&lt;&gt;"",IFERROR(INDEX(Lists!$AO$2:$AO$11,MATCH(ROW(),Lists!$AN$2:$AN$11,0)),""),IFERROR(INDEX(Lists!$U:$U,MATCH(TRIM($I275),Lists!$T:$T,0)),TRIM($I275))))</f>
        <v>COE BP&amp;T</v>
      </c>
      <c r="AK275" s="865" t="str">
        <f>IF(ISNUMBER(SEARCH("vacant",$B275)),"Vacant","Filled")</f>
        <v>Vacant</v>
      </c>
      <c r="AL275" s="865" t="str">
        <f>IF($M275="NZ","NZ","AU")</f>
        <v>AU</v>
      </c>
      <c r="AM275" s="865">
        <f>COUNTIF($AJ$2:$AJ275,$AJ275)</f>
        <v>21</v>
      </c>
      <c r="AN275" s="865" t="str">
        <f>$AJ275&amp;"|"&amp;$AM275</f>
        <v>COE BP&amp;T|21</v>
      </c>
      <c r="AP275" s="865" t="str">
        <f>IF(TRIM($B275)="","",IF($AQ275=1,"Leadership",IFERROR(INDEX(Lists!$X:$X,MATCH(TRIM($K275),Lists!$W:$W,0)),IF(OR(TRIM($K275)="",LOWER(TRIM($K275))="na"),IF(TRIM($G275)="","Unassigned",TRIM($G275)),TRIM($K275)))))</f>
        <v>Transformation</v>
      </c>
      <c r="AQ275" s="865" t="b">
        <f>IF(TRIM($B275)="","",--OR(TRIM($K275)="Leadership",TRIM($J275)="Leadership"))</f>
        <v>0</v>
      </c>
      <c r="AR275" s="1136" t="str">
        <f>IF(TRIM($B275)="","",IF(IFERROR(INDEX(Lists!$AQ$2:$AQ$11,MATCH(ROW(),Lists!$AN$2:$AN$11,0)),"")&lt;&gt;"",IFERROR(INDEX(Lists!$AQ$2:$AQ$11,MATCH(ROW(),Lists!$AN$2:$AN$11,0)),""),IF(ISNUMBER(SEARCH("head of ",$C275)),"Head of Technology",IF(ISNUMBER(SEARCH("TDD BP",$C275)),"Business Partner",IF(OR(ISNUMBER(SEARCH("domain architect",$C275)),ISNUMBER(SEARCH("enterprise architect",$C275))),"Domain Architect",IF(ISNUMBER(SEARCH("delivery man",$C275)),"Delivery Manager",IF(OR(ISNUMBER(SEARCH("technology manager",$C275)),ISNUMBER(SEARCH("technology manger",$C275)),ISNUMBER(SEARCH("tech manager",$C275))),"Technology Manager","Squad")))))))</f>
        <v>Squad</v>
      </c>
      <c r="AS275" s="1136" t="str">
        <f>IF(TRIM($B275)="","",IFERROR(INDEX(Lists!$AA:$AA,MATCH($AP275,Lists!$Z:$Z,0)),$AP275))</f>
        <v>Transformation</v>
      </c>
      <c r="AT275" s="1136" t="str">
        <f>IF(TRIM($B275)="","",IF(IFERROR(INDEX(Lists!$AP$2:$AP$11,MATCH(ROW(),Lists!$AN$2:$AN$11,0)),"")&lt;&gt;"",IFERROR(INDEX(Lists!$AP$2:$AP$11,MATCH(ROW(),Lists!$AN$2:$AN$11,0)),""),IF(OR(LEFT($AJ275,3)="COE",$AJ275="EGI"),$AP275,IF($AR275&lt;&gt;"Squad",$AR275,$AP275))))</f>
        <v>Transformation</v>
      </c>
    </row>
    <row r="276" ht="18" customHeight="1" s="866">
      <c r="A276" s="1155" t="inlineStr">
        <is>
          <t>V</t>
        </is>
      </c>
      <c r="B276" s="1156" t="inlineStr">
        <is>
          <t>Vacant</t>
        </is>
      </c>
      <c r="C276" s="1156" t="inlineStr">
        <is>
          <t>Scrum Master</t>
        </is>
      </c>
      <c r="D276" s="1158" t="inlineStr">
        <is>
          <t>Vacant</t>
        </is>
      </c>
      <c r="E276" s="1156" t="inlineStr">
        <is>
          <t xml:space="preserve">Lead Technology Support </t>
        </is>
      </c>
      <c r="F276" s="1157" t="inlineStr">
        <is>
          <t>Partnering &amp; Transformation</t>
        </is>
      </c>
      <c r="G276" s="1156" t="inlineStr">
        <is>
          <t>Transformation</t>
        </is>
      </c>
      <c r="H276" s="1156" t="inlineStr">
        <is>
          <t>NA</t>
        </is>
      </c>
      <c r="I276" s="1156" t="inlineStr">
        <is>
          <t>COE - Partnering &amp; Transformation</t>
        </is>
      </c>
      <c r="J276" s="1156" t="inlineStr">
        <is>
          <t>NA</t>
        </is>
      </c>
      <c r="K276" s="1156" t="inlineStr">
        <is>
          <t>NA</t>
        </is>
      </c>
      <c r="L276" s="1158" t="n"/>
      <c r="M276" s="1159" t="inlineStr">
        <is>
          <t>NZ</t>
        </is>
      </c>
      <c r="N276" s="1160" t="inlineStr">
        <is>
          <t>CIA</t>
        </is>
      </c>
      <c r="O276" s="1160" t="n">
        <v>1</v>
      </c>
      <c r="P276" s="1160" t="n"/>
      <c r="Q276" s="1160" t="inlineStr">
        <is>
          <t>v</t>
        </is>
      </c>
      <c r="R276" s="1162" t="n"/>
      <c r="S276" s="1162" t="n"/>
      <c r="T276" s="1163" t="n">
        <v>131550</v>
      </c>
      <c r="U276" s="1164" t="n">
        <v>121026</v>
      </c>
      <c r="V276" s="1165" t="n">
        <v>0.15</v>
      </c>
      <c r="W276" s="1162" t="n"/>
      <c r="X276" s="1166" t="n">
        <v>0.05</v>
      </c>
      <c r="Y276" s="1907" t="n">
        <v>2910</v>
      </c>
      <c r="Z276" s="1166" t="n">
        <v>0.03</v>
      </c>
      <c r="AA276" s="1168">
        <f>IF(TRIM($B276)="","",IF(N($AU276)&gt;0,$AU276,IF(N($S276)&gt;0,$S276*Lists!$AG$15*(1+N($Z276)),N($U276)*(1+N($V276)+N($W276)+N($X276)+N($Z276))+N($Y276))))</f>
        <v>151771.98</v>
      </c>
      <c r="AJ276" s="865" t="str">
        <f>IF(TRIM($B276)="","",IF(IFERROR(INDEX(Lists!$AO$2:$AO$11,MATCH(ROW(),Lists!$AN$2:$AN$11,0)),"")&lt;&gt;"",IFERROR(INDEX(Lists!$AO$2:$AO$11,MATCH(ROW(),Lists!$AN$2:$AN$11,0)),""),IFERROR(INDEX(Lists!$U:$U,MATCH(TRIM($I276),Lists!$T:$T,0)),TRIM($I276))))</f>
        <v>COE BP&amp;T</v>
      </c>
      <c r="AK276" s="865" t="str">
        <f>IF(ISNUMBER(SEARCH("vacant",$B276)),"Vacant","Filled")</f>
        <v>Vacant</v>
      </c>
      <c r="AL276" s="865" t="str">
        <f>IF($M276="NZ","NZ","AU")</f>
        <v>NZ</v>
      </c>
      <c r="AM276" s="865">
        <f>COUNTIF($AJ$2:$AJ276,$AJ276)</f>
        <v>22</v>
      </c>
      <c r="AN276" s="865" t="str">
        <f>$AJ276&amp;"|"&amp;$AM276</f>
        <v>COE BP&amp;T|22</v>
      </c>
      <c r="AP276" s="865" t="str">
        <f>IF(TRIM($B276)="","",IF($AQ276=1,"Leadership",IFERROR(INDEX(Lists!$X:$X,MATCH(TRIM($K276),Lists!$W:$W,0)),IF(OR(TRIM($K276)="",LOWER(TRIM($K276))="na"),IF(TRIM($G276)="","Unassigned",TRIM($G276)),TRIM($K276)))))</f>
        <v>Transformation</v>
      </c>
      <c r="AQ276" s="865" t="b">
        <f>IF(TRIM($B276)="","",--OR(TRIM($K276)="Leadership",TRIM($J276)="Leadership"))</f>
        <v>0</v>
      </c>
      <c r="AR276" s="1136" t="str">
        <f>IF(TRIM($B276)="","",IF(IFERROR(INDEX(Lists!$AQ$2:$AQ$11,MATCH(ROW(),Lists!$AN$2:$AN$11,0)),"")&lt;&gt;"",IFERROR(INDEX(Lists!$AQ$2:$AQ$11,MATCH(ROW(),Lists!$AN$2:$AN$11,0)),""),IF(ISNUMBER(SEARCH("head of ",$C276)),"Head of Technology",IF(ISNUMBER(SEARCH("TDD BP",$C276)),"Business Partner",IF(OR(ISNUMBER(SEARCH("domain architect",$C276)),ISNUMBER(SEARCH("enterprise architect",$C276))),"Domain Architect",IF(ISNUMBER(SEARCH("delivery man",$C276)),"Delivery Manager",IF(OR(ISNUMBER(SEARCH("technology manager",$C276)),ISNUMBER(SEARCH("technology manger",$C276)),ISNUMBER(SEARCH("tech manager",$C276))),"Technology Manager","Squad")))))))</f>
        <v>Squad</v>
      </c>
      <c r="AS276" s="1136" t="str">
        <f>IF(TRIM($B276)="","",IFERROR(INDEX(Lists!$AA:$AA,MATCH($AP276,Lists!$Z:$Z,0)),$AP276))</f>
        <v>Transformation</v>
      </c>
      <c r="AT276" s="1136" t="str">
        <f>IF(TRIM($B276)="","",IF(IFERROR(INDEX(Lists!$AP$2:$AP$11,MATCH(ROW(),Lists!$AN$2:$AN$11,0)),"")&lt;&gt;"",IFERROR(INDEX(Lists!$AP$2:$AP$11,MATCH(ROW(),Lists!$AN$2:$AN$11,0)),""),IF(OR(LEFT($AJ276,3)="COE",$AJ276="EGI"),$AP276,IF($AR276&lt;&gt;"Squad",$AR276,$AP276))))</f>
        <v>Transformation</v>
      </c>
    </row>
    <row r="277" ht="18" customHeight="1" s="866">
      <c r="A277" s="1155" t="inlineStr">
        <is>
          <t>V</t>
        </is>
      </c>
      <c r="B277" s="1156" t="inlineStr">
        <is>
          <t>Vacant</t>
        </is>
      </c>
      <c r="C277" s="1156" t="inlineStr">
        <is>
          <t>Portfolio Analyst</t>
        </is>
      </c>
      <c r="D277" s="1156" t="inlineStr">
        <is>
          <t>Ruth Chou</t>
        </is>
      </c>
      <c r="E277" s="1156" t="inlineStr">
        <is>
          <t xml:space="preserve">Manager Service Perforance &amp; Assurance </t>
        </is>
      </c>
      <c r="F277" s="1157" t="inlineStr">
        <is>
          <t>Partnering &amp; Transformation</t>
        </is>
      </c>
      <c r="G277" s="1156" t="inlineStr">
        <is>
          <t>Transformation</t>
        </is>
      </c>
      <c r="H277" s="1156" t="inlineStr">
        <is>
          <t>NA</t>
        </is>
      </c>
      <c r="I277" s="1156" t="inlineStr">
        <is>
          <t>COE - Partnering &amp; Transformation</t>
        </is>
      </c>
      <c r="J277" s="1156" t="inlineStr">
        <is>
          <t>NA</t>
        </is>
      </c>
      <c r="K277" s="1156" t="inlineStr">
        <is>
          <t>NA</t>
        </is>
      </c>
      <c r="L277" s="1158" t="n"/>
      <c r="M277" s="1159" t="inlineStr">
        <is>
          <t>Australia</t>
        </is>
      </c>
      <c r="N277" s="1160" t="inlineStr">
        <is>
          <t>CIA</t>
        </is>
      </c>
      <c r="O277" s="1160" t="n">
        <v>1</v>
      </c>
      <c r="P277" s="1160" t="n"/>
      <c r="Q277" s="1160" t="inlineStr">
        <is>
          <t>v</t>
        </is>
      </c>
      <c r="R277" s="1162" t="n"/>
      <c r="S277" s="1162" t="n"/>
      <c r="T277" s="1163" t="n">
        <v>129650</v>
      </c>
      <c r="U277" s="1164" t="n">
        <v>129650</v>
      </c>
      <c r="V277" s="1166" t="n">
        <v>0.1</v>
      </c>
      <c r="W277" s="1170" t="n">
        <v>0.055</v>
      </c>
      <c r="X277" s="1170" t="n">
        <v>0.12</v>
      </c>
      <c r="Y277" s="1171" t="n"/>
      <c r="Z277" s="1170" t="n">
        <v>0.04</v>
      </c>
      <c r="AA277" s="1168">
        <f>IF(TRIM($B277)="","",IF(N($AU277)&gt;0,$AU277,IF(N($S277)&gt;0,$S277*Lists!$AG$15*(1+N($Z277)),N($U277)*(1+N($V277)+N($W277)+N($X277)+N($Z277))+N($Y277))))</f>
        <v>170489.75</v>
      </c>
      <c r="AC277" s="1201" t="n"/>
      <c r="AJ277" s="865" t="str">
        <f>IF(TRIM($B277)="","",IF(IFERROR(INDEX(Lists!$AO$2:$AO$11,MATCH(ROW(),Lists!$AN$2:$AN$11,0)),"")&lt;&gt;"",IFERROR(INDEX(Lists!$AO$2:$AO$11,MATCH(ROW(),Lists!$AN$2:$AN$11,0)),""),IFERROR(INDEX(Lists!$U:$U,MATCH(TRIM($I277),Lists!$T:$T,0)),TRIM($I277))))</f>
        <v>COE BP&amp;T</v>
      </c>
      <c r="AK277" s="865" t="str">
        <f>IF(ISNUMBER(SEARCH("vacant",$B277)),"Vacant","Filled")</f>
        <v>Vacant</v>
      </c>
      <c r="AL277" s="865" t="str">
        <f>IF($M277="NZ","NZ","AU")</f>
        <v>AU</v>
      </c>
      <c r="AM277" s="865">
        <f>COUNTIF($AJ$2:$AJ277,$AJ277)</f>
        <v>23</v>
      </c>
      <c r="AN277" s="865" t="str">
        <f>$AJ277&amp;"|"&amp;$AM277</f>
        <v>COE BP&amp;T|23</v>
      </c>
      <c r="AP277" s="865" t="str">
        <f>IF(TRIM($B277)="","",IF($AQ277=1,"Leadership",IFERROR(INDEX(Lists!$X:$X,MATCH(TRIM($K277),Lists!$W:$W,0)),IF(OR(TRIM($K277)="",LOWER(TRIM($K277))="na"),IF(TRIM($G277)="","Unassigned",TRIM($G277)),TRIM($K277)))))</f>
        <v>Transformation</v>
      </c>
      <c r="AQ277" s="865" t="b">
        <f>IF(TRIM($B277)="","",--OR(TRIM($K277)="Leadership",TRIM($J277)="Leadership"))</f>
        <v>0</v>
      </c>
      <c r="AR277" s="1136" t="str">
        <f>IF(TRIM($B277)="","",IF(IFERROR(INDEX(Lists!$AQ$2:$AQ$11,MATCH(ROW(),Lists!$AN$2:$AN$11,0)),"")&lt;&gt;"",IFERROR(INDEX(Lists!$AQ$2:$AQ$11,MATCH(ROW(),Lists!$AN$2:$AN$11,0)),""),IF(ISNUMBER(SEARCH("head of ",$C277)),"Head of Technology",IF(ISNUMBER(SEARCH("TDD BP",$C277)),"Business Partner",IF(OR(ISNUMBER(SEARCH("domain architect",$C277)),ISNUMBER(SEARCH("enterprise architect",$C277))),"Domain Architect",IF(ISNUMBER(SEARCH("delivery man",$C277)),"Delivery Manager",IF(OR(ISNUMBER(SEARCH("technology manager",$C277)),ISNUMBER(SEARCH("technology manger",$C277)),ISNUMBER(SEARCH("tech manager",$C277))),"Technology Manager","Squad")))))))</f>
        <v>Squad</v>
      </c>
      <c r="AS277" s="1136" t="str">
        <f>IF(TRIM($B277)="","",IFERROR(INDEX(Lists!$AA:$AA,MATCH($AP277,Lists!$Z:$Z,0)),$AP277))</f>
        <v>Transformation</v>
      </c>
      <c r="AT277" s="1136" t="str">
        <f>IF(TRIM($B277)="","",IF(IFERROR(INDEX(Lists!$AP$2:$AP$11,MATCH(ROW(),Lists!$AN$2:$AN$11,0)),"")&lt;&gt;"",IFERROR(INDEX(Lists!$AP$2:$AP$11,MATCH(ROW(),Lists!$AN$2:$AN$11,0)),""),IF(OR(LEFT($AJ277,3)="COE",$AJ277="EGI"),$AP277,IF($AR277&lt;&gt;"Squad",$AR277,$AP277))))</f>
        <v>Transformation</v>
      </c>
    </row>
    <row r="278" ht="18" customHeight="1" s="866">
      <c r="A278" s="1155" t="n">
        <v>101862</v>
      </c>
      <c r="B278" s="1156" t="inlineStr">
        <is>
          <t>Vaughn Scott</t>
        </is>
      </c>
      <c r="C278" s="1156" t="inlineStr">
        <is>
          <t>TDD BP - ES</t>
        </is>
      </c>
      <c r="D278" s="1156" t="inlineStr">
        <is>
          <t>Michael Schofield</t>
        </is>
      </c>
      <c r="E278" s="1156" t="inlineStr">
        <is>
          <t>GM TDD, Partnering &amp; Transformation</t>
        </is>
      </c>
      <c r="F278" s="1157" t="inlineStr">
        <is>
          <t>Partnering &amp; Transformation</t>
        </is>
      </c>
      <c r="G278" s="1156" t="inlineStr">
        <is>
          <t>TDD Business Partner</t>
        </is>
      </c>
      <c r="H278" s="1156" t="inlineStr">
        <is>
          <t>NA</t>
        </is>
      </c>
      <c r="I278" s="1156" t="inlineStr">
        <is>
          <t>COE - Partnering &amp; Transformation</t>
        </is>
      </c>
      <c r="J278" s="1156" t="inlineStr">
        <is>
          <t>NA</t>
        </is>
      </c>
      <c r="K278" s="1156" t="inlineStr">
        <is>
          <t>NA</t>
        </is>
      </c>
      <c r="L278" s="1158" t="n"/>
      <c r="M278" s="1159" t="inlineStr">
        <is>
          <t>Australia</t>
        </is>
      </c>
      <c r="N278" s="1160" t="inlineStr">
        <is>
          <t>CSC</t>
        </is>
      </c>
      <c r="O278" s="1160" t="n">
        <v>1</v>
      </c>
      <c r="P278" s="1160" t="n"/>
      <c r="Q278" s="1160" t="inlineStr">
        <is>
          <t>Permanent - Full Time</t>
        </is>
      </c>
      <c r="R278" s="1162" t="n"/>
      <c r="S278" s="1162" t="n"/>
      <c r="T278" s="1163" t="n">
        <v>242660</v>
      </c>
      <c r="U278" s="1164" t="n">
        <v>242660</v>
      </c>
      <c r="V278" s="1166" t="n">
        <v>0.2</v>
      </c>
      <c r="W278" s="1170" t="n">
        <v>0.055</v>
      </c>
      <c r="X278" s="1170" t="n">
        <v>0.12</v>
      </c>
      <c r="Y278" s="1171" t="n"/>
      <c r="Z278" s="1170" t="n">
        <v>0.04</v>
      </c>
      <c r="AA278" s="1168">
        <f>IF(TRIM($B278)="","",IF(N($AU278)&gt;0,$AU278,IF(N($S278)&gt;0,$S278*Lists!$AG$15*(1+N($Z278)),N($U278)*(1+N($V278)+N($W278)+N($X278)+N($Z278))+N($Y278))))</f>
        <v>343363.9</v>
      </c>
      <c r="AJ278" s="865" t="str">
        <f>IF(TRIM($B278)="","",IF(IFERROR(INDEX(Lists!$AO$2:$AO$11,MATCH(ROW(),Lists!$AN$2:$AN$11,0)),"")&lt;&gt;"",IFERROR(INDEX(Lists!$AO$2:$AO$11,MATCH(ROW(),Lists!$AN$2:$AN$11,0)),""),IFERROR(INDEX(Lists!$U:$U,MATCH(TRIM($I278),Lists!$T:$T,0)),TRIM($I278))))</f>
        <v>COE BP&amp;T</v>
      </c>
      <c r="AK278" s="865" t="str">
        <f>IF(ISNUMBER(SEARCH("vacant",$B278)),"Vacant","Filled")</f>
        <v>Filled</v>
      </c>
      <c r="AL278" s="865" t="str">
        <f>IF($M278="NZ","NZ","AU")</f>
        <v>AU</v>
      </c>
      <c r="AM278" s="865">
        <f>COUNTIF($AJ$2:$AJ278,$AJ278)</f>
        <v>24</v>
      </c>
      <c r="AN278" s="865" t="str">
        <f>$AJ278&amp;"|"&amp;$AM278</f>
        <v>COE BP&amp;T|24</v>
      </c>
      <c r="AP278" s="865" t="str">
        <f>IF(TRIM($B278)="","",IF($AQ278=1,"Leadership",IFERROR(INDEX(Lists!$X:$X,MATCH(TRIM($K278),Lists!$W:$W,0)),IF(OR(TRIM($K278)="",LOWER(TRIM($K278))="na"),IF(TRIM($G278)="","Unassigned",TRIM($G278)),TRIM($K278)))))</f>
        <v>TDD Business Partner</v>
      </c>
      <c r="AQ278" s="865" t="b">
        <f>IF(TRIM($B278)="","",--OR(TRIM($K278)="Leadership",TRIM($J278)="Leadership"))</f>
        <v>0</v>
      </c>
      <c r="AR278" s="1136" t="str">
        <f>IF(TRIM($B278)="","",IF(IFERROR(INDEX(Lists!$AQ$2:$AQ$11,MATCH(ROW(),Lists!$AN$2:$AN$11,0)),"")&lt;&gt;"",IFERROR(INDEX(Lists!$AQ$2:$AQ$11,MATCH(ROW(),Lists!$AN$2:$AN$11,0)),""),IF(ISNUMBER(SEARCH("head of ",$C278)),"Head of Technology",IF(ISNUMBER(SEARCH("TDD BP",$C278)),"Business Partner",IF(OR(ISNUMBER(SEARCH("domain architect",$C278)),ISNUMBER(SEARCH("enterprise architect",$C278))),"Domain Architect",IF(ISNUMBER(SEARCH("delivery man",$C278)),"Delivery Manager",IF(OR(ISNUMBER(SEARCH("technology manager",$C278)),ISNUMBER(SEARCH("technology manger",$C278)),ISNUMBER(SEARCH("tech manager",$C278))),"Technology Manager","Squad")))))))</f>
        <v>Business Partner</v>
      </c>
      <c r="AS278" s="1136" t="str">
        <f>IF(TRIM($B278)="","",IFERROR(INDEX(Lists!$AA:$AA,MATCH($AP278,Lists!$Z:$Z,0)),$AP278))</f>
        <v>TDD Business Partner</v>
      </c>
      <c r="AT278" s="1136" t="str">
        <f>IF(TRIM($B278)="","",IF(IFERROR(INDEX(Lists!$AP$2:$AP$11,MATCH(ROW(),Lists!$AN$2:$AN$11,0)),"")&lt;&gt;"",IFERROR(INDEX(Lists!$AP$2:$AP$11,MATCH(ROW(),Lists!$AN$2:$AN$11,0)),""),IF(OR(LEFT($AJ278,3)="COE",$AJ278="EGI"),$AP278,IF($AR278&lt;&gt;"Squad",$AR278,$AP278))))</f>
        <v>TDD Business Partner</v>
      </c>
    </row>
    <row r="279" ht="18" customHeight="1" s="866">
      <c r="A279" s="1155" t="n">
        <v>116032</v>
      </c>
      <c r="B279" s="1158" t="inlineStr">
        <is>
          <t>Abdul Ghaffar</t>
        </is>
      </c>
      <c r="C279" s="1158" t="inlineStr">
        <is>
          <t>Applications Specialist - Demand Planning</t>
        </is>
      </c>
      <c r="D279" s="1156" t="inlineStr">
        <is>
          <t>Sai Konka</t>
        </is>
      </c>
      <c r="E279" s="1156" t="inlineStr">
        <is>
          <t>Applications &amp; Analytics Manager</t>
        </is>
      </c>
      <c r="F279" s="1257" t="inlineStr">
        <is>
          <t>Strategy, Architecture &amp; Data</t>
        </is>
      </c>
      <c r="G279" s="1158" t="inlineStr">
        <is>
          <t>Group Data</t>
        </is>
      </c>
      <c r="H279" s="1199" t="inlineStr">
        <is>
          <t>Data Engineering &amp; Platforms</t>
        </is>
      </c>
      <c r="I279" s="1199" t="inlineStr">
        <is>
          <t>Enterprise Data</t>
        </is>
      </c>
      <c r="J279" s="1199" t="inlineStr">
        <is>
          <t>EGI</t>
        </is>
      </c>
      <c r="K279" s="1199" t="inlineStr">
        <is>
          <t>Reporting &amp; Analytics</t>
        </is>
      </c>
      <c r="L279" s="1158" t="n"/>
      <c r="M279" s="1159" t="inlineStr">
        <is>
          <t>Australia</t>
        </is>
      </c>
      <c r="N279" s="1160" t="inlineStr">
        <is>
          <t>CIB</t>
        </is>
      </c>
      <c r="O279" s="1160" t="n">
        <v>1</v>
      </c>
      <c r="P279" s="1160" t="n"/>
      <c r="Q279" s="1160" t="inlineStr">
        <is>
          <t>Permanent - Full Time</t>
        </is>
      </c>
      <c r="R279" s="1162" t="n"/>
      <c r="S279" s="1162" t="n"/>
      <c r="T279" s="1163" t="n">
        <v>180000</v>
      </c>
      <c r="U279" s="1164" t="n">
        <v>180000</v>
      </c>
      <c r="V279" s="1166" t="n">
        <v>0.12</v>
      </c>
      <c r="W279" s="1170" t="n">
        <v>0.055</v>
      </c>
      <c r="X279" s="1170" t="n">
        <v>0.12</v>
      </c>
      <c r="Y279" s="1171" t="n"/>
      <c r="Z279" s="1170" t="n">
        <v>0.04</v>
      </c>
      <c r="AA279" s="1168">
        <f>IF(TRIM($B279)="","",IF(N($AU279)&gt;0,$AU279,IF(N($S279)&gt;0,$S279*Lists!$AG$15*(1+N($Z279)),N($U279)*(1+N($V279)+N($W279)+N($X279)+N($Z279))+N($Y279))))</f>
        <v>240300</v>
      </c>
      <c r="AJ279" s="865" t="str">
        <f>IF(TRIM($B279)="","",IF(IFERROR(INDEX(Lists!$AO$2:$AO$11,MATCH(ROW(),Lists!$AN$2:$AN$11,0)),"")&lt;&gt;"",IFERROR(INDEX(Lists!$AO$2:$AO$11,MATCH(ROW(),Lists!$AN$2:$AN$11,0)),""),IFERROR(INDEX(Lists!$U:$U,MATCH(TRIM($I279),Lists!$T:$T,0)),TRIM($I279))))</f>
        <v>Enterprise Data</v>
      </c>
      <c r="AK279" s="865" t="str">
        <f>IF(ISNUMBER(SEARCH("vacant",$B279)),"Vacant","Filled")</f>
        <v>Filled</v>
      </c>
      <c r="AL279" s="865" t="str">
        <f>IF($M279="NZ","NZ","AU")</f>
        <v>AU</v>
      </c>
      <c r="AM279" s="865">
        <f>COUNTIF($AJ$2:$AJ279,$AJ279)</f>
        <v>1</v>
      </c>
      <c r="AN279" s="865" t="str">
        <f>$AJ279&amp;"|"&amp;$AM279</f>
        <v>Enterprise Data|1</v>
      </c>
      <c r="AP279" s="865" t="str">
        <f>IF(TRIM($B279)="","",IF($AQ279=1,"Leadership",IFERROR(INDEX(Lists!$X:$X,MATCH(TRIM($K279),Lists!$W:$W,0)),IF(OR(TRIM($K279)="",LOWER(TRIM($K279))="na"),IF(TRIM($G279)="","Unassigned",TRIM($G279)),TRIM($K279)))))</f>
        <v>Reporting &amp; Analytics</v>
      </c>
      <c r="AQ279" s="865" t="b">
        <f>IF(TRIM($B279)="","",--OR(TRIM($K279)="Leadership",TRIM($J279)="Leadership"))</f>
        <v>0</v>
      </c>
      <c r="AR279" s="1136" t="str">
        <f>IF(TRIM($B279)="","",IF(IFERROR(INDEX(Lists!$AQ$2:$AQ$11,MATCH(ROW(),Lists!$AN$2:$AN$11,0)),"")&lt;&gt;"",IFERROR(INDEX(Lists!$AQ$2:$AQ$11,MATCH(ROW(),Lists!$AN$2:$AN$11,0)),""),IF(ISNUMBER(SEARCH("head of ",$C279)),"Head of Technology",IF(ISNUMBER(SEARCH("TDD BP",$C279)),"Business Partner",IF(OR(ISNUMBER(SEARCH("domain architect",$C279)),ISNUMBER(SEARCH("enterprise architect",$C279))),"Domain Architect",IF(ISNUMBER(SEARCH("delivery man",$C279)),"Delivery Manager",IF(OR(ISNUMBER(SEARCH("technology manager",$C279)),ISNUMBER(SEARCH("technology manger",$C279)),ISNUMBER(SEARCH("tech manager",$C279))),"Technology Manager","Squad")))))))</f>
        <v>Squad</v>
      </c>
      <c r="AS279" s="1136" t="str">
        <f>IF(TRIM($B279)="","",IFERROR(INDEX(Lists!$AA:$AA,MATCH($AP279,Lists!$Z:$Z,0)),$AP279))</f>
        <v>Reporting &amp; Analytics</v>
      </c>
      <c r="AT279" s="1136" t="str">
        <f>IF(TRIM($B279)="","",IF(IFERROR(INDEX(Lists!$AP$2:$AP$11,MATCH(ROW(),Lists!$AN$2:$AN$11,0)),"")&lt;&gt;"",IFERROR(INDEX(Lists!$AP$2:$AP$11,MATCH(ROW(),Lists!$AN$2:$AN$11,0)),""),IF(OR(LEFT($AJ279,3)="COE",$AJ279="EGI"),$AP279,IF($AR279&lt;&gt;"Squad",$AR279,$AP279))))</f>
        <v>Reporting &amp; Analytics</v>
      </c>
    </row>
    <row r="280" ht="18" customHeight="1" s="866">
      <c r="A280" s="1155" t="n">
        <v>102098</v>
      </c>
      <c r="B280" s="1156" t="inlineStr">
        <is>
          <t>Bobby Mason</t>
        </is>
      </c>
      <c r="C280" s="1156" t="inlineStr">
        <is>
          <t>Reporting Analyst</t>
        </is>
      </c>
      <c r="D280" s="1156" t="inlineStr">
        <is>
          <t>Prashanth Krishnankutty</t>
        </is>
      </c>
      <c r="E280" s="1156" t="inlineStr">
        <is>
          <t>Lead, Reporting &amp; Insights</t>
        </is>
      </c>
      <c r="F280" s="1257" t="inlineStr">
        <is>
          <t>Strategy, Architecture &amp; Data</t>
        </is>
      </c>
      <c r="G280" s="1158" t="inlineStr">
        <is>
          <t>Group Data</t>
        </is>
      </c>
      <c r="H280" s="1199" t="inlineStr">
        <is>
          <t>Data Engineering &amp; Platforms</t>
        </is>
      </c>
      <c r="I280" s="1199" t="inlineStr">
        <is>
          <t>Enterprise Data</t>
        </is>
      </c>
      <c r="J280" s="1199" t="inlineStr">
        <is>
          <t>Group Data</t>
        </is>
      </c>
      <c r="K280" s="1199" t="inlineStr">
        <is>
          <t>Reporting &amp; Analytics</t>
        </is>
      </c>
      <c r="L280" s="1158" t="n"/>
      <c r="M280" s="1159" t="inlineStr">
        <is>
          <t>Australia</t>
        </is>
      </c>
      <c r="N280" s="1160" t="inlineStr">
        <is>
          <t>CIB</t>
        </is>
      </c>
      <c r="O280" s="1160" t="n">
        <v>1</v>
      </c>
      <c r="P280" s="1160" t="n"/>
      <c r="Q280" s="1160" t="inlineStr">
        <is>
          <t>Permanent - Full Time</t>
        </is>
      </c>
      <c r="R280" s="1162" t="n"/>
      <c r="S280" s="1162" t="n"/>
      <c r="T280" s="1163" t="n">
        <v>166560</v>
      </c>
      <c r="U280" s="1164" t="n">
        <v>166560</v>
      </c>
      <c r="V280" s="1166" t="n">
        <v>0.12</v>
      </c>
      <c r="W280" s="1170" t="n">
        <v>0.055</v>
      </c>
      <c r="X280" s="1170" t="n">
        <v>0.12</v>
      </c>
      <c r="Y280" s="1171" t="n"/>
      <c r="Z280" s="1170" t="n">
        <v>0.04</v>
      </c>
      <c r="AA280" s="1168">
        <f>IF(TRIM($B280)="","",IF(N($AU280)&gt;0,$AU280,IF(N($S280)&gt;0,$S280*Lists!$AG$15*(1+N($Z280)),N($U280)*(1+N($V280)+N($W280)+N($X280)+N($Z280))+N($Y280))))</f>
        <v>222357.6</v>
      </c>
      <c r="AJ280" s="865" t="str">
        <f>IF(TRIM($B280)="","",IF(IFERROR(INDEX(Lists!$AO$2:$AO$11,MATCH(ROW(),Lists!$AN$2:$AN$11,0)),"")&lt;&gt;"",IFERROR(INDEX(Lists!$AO$2:$AO$11,MATCH(ROW(),Lists!$AN$2:$AN$11,0)),""),IFERROR(INDEX(Lists!$U:$U,MATCH(TRIM($I280),Lists!$T:$T,0)),TRIM($I280))))</f>
        <v>Enterprise Data</v>
      </c>
      <c r="AK280" s="865" t="str">
        <f>IF(ISNUMBER(SEARCH("vacant",$B280)),"Vacant","Filled")</f>
        <v>Filled</v>
      </c>
      <c r="AL280" s="865" t="str">
        <f>IF($M280="NZ","NZ","AU")</f>
        <v>AU</v>
      </c>
      <c r="AM280" s="865">
        <f>COUNTIF($AJ$2:$AJ280,$AJ280)</f>
        <v>2</v>
      </c>
      <c r="AN280" s="865" t="str">
        <f>$AJ280&amp;"|"&amp;$AM280</f>
        <v>Enterprise Data|2</v>
      </c>
      <c r="AP280" s="865" t="str">
        <f>IF(TRIM($B280)="","",IF($AQ280=1,"Leadership",IFERROR(INDEX(Lists!$X:$X,MATCH(TRIM($K280),Lists!$W:$W,0)),IF(OR(TRIM($K280)="",LOWER(TRIM($K280))="na"),IF(TRIM($G280)="","Unassigned",TRIM($G280)),TRIM($K280)))))</f>
        <v>Reporting &amp; Analytics</v>
      </c>
      <c r="AQ280" s="865" t="b">
        <f>IF(TRIM($B280)="","",--OR(TRIM($K280)="Leadership",TRIM($J280)="Leadership"))</f>
        <v>0</v>
      </c>
      <c r="AR280" s="1136" t="str">
        <f>IF(TRIM($B280)="","",IF(IFERROR(INDEX(Lists!$AQ$2:$AQ$11,MATCH(ROW(),Lists!$AN$2:$AN$11,0)),"")&lt;&gt;"",IFERROR(INDEX(Lists!$AQ$2:$AQ$11,MATCH(ROW(),Lists!$AN$2:$AN$11,0)),""),IF(ISNUMBER(SEARCH("head of ",$C280)),"Head of Technology",IF(ISNUMBER(SEARCH("TDD BP",$C280)),"Business Partner",IF(OR(ISNUMBER(SEARCH("domain architect",$C280)),ISNUMBER(SEARCH("enterprise architect",$C280))),"Domain Architect",IF(ISNUMBER(SEARCH("delivery man",$C280)),"Delivery Manager",IF(OR(ISNUMBER(SEARCH("technology manager",$C280)),ISNUMBER(SEARCH("technology manger",$C280)),ISNUMBER(SEARCH("tech manager",$C280))),"Technology Manager","Squad")))))))</f>
        <v>Squad</v>
      </c>
      <c r="AS280" s="1136" t="str">
        <f>IF(TRIM($B280)="","",IFERROR(INDEX(Lists!$AA:$AA,MATCH($AP280,Lists!$Z:$Z,0)),$AP280))</f>
        <v>Reporting &amp; Analytics</v>
      </c>
      <c r="AT280" s="1136" t="str">
        <f>IF(TRIM($B280)="","",IF(IFERROR(INDEX(Lists!$AP$2:$AP$11,MATCH(ROW(),Lists!$AN$2:$AN$11,0)),"")&lt;&gt;"",IFERROR(INDEX(Lists!$AP$2:$AP$11,MATCH(ROW(),Lists!$AN$2:$AN$11,0)),""),IF(OR(LEFT($AJ280,3)="COE",$AJ280="EGI"),$AP280,IF($AR280&lt;&gt;"Squad",$AR280,$AP280))))</f>
        <v>Reporting &amp; Analytics</v>
      </c>
    </row>
    <row r="281" ht="18" customHeight="1" s="866">
      <c r="A281" s="1155" t="n">
        <v>99999101507</v>
      </c>
      <c r="B281" s="1156" t="inlineStr">
        <is>
          <t>Carol Kuang</t>
        </is>
      </c>
      <c r="C281" s="1156" t="inlineStr">
        <is>
          <t>Senior Data Scientist</t>
        </is>
      </c>
      <c r="D281" s="1156" t="inlineStr">
        <is>
          <t>Jonathan Robinson</t>
        </is>
      </c>
      <c r="E281" s="1156" t="inlineStr">
        <is>
          <t>Technology Manager, Data Science</t>
        </is>
      </c>
      <c r="F281" s="1257" t="inlineStr">
        <is>
          <t>Strategy, Architecture &amp; Data</t>
        </is>
      </c>
      <c r="G281" s="1158" t="inlineStr">
        <is>
          <t>Group Data</t>
        </is>
      </c>
      <c r="H281" s="1199" t="inlineStr">
        <is>
          <t>Data Science</t>
        </is>
      </c>
      <c r="I281" s="1199" t="inlineStr">
        <is>
          <t>Enterprise Data</t>
        </is>
      </c>
      <c r="J281" s="1199" t="inlineStr">
        <is>
          <t>Group Data</t>
        </is>
      </c>
      <c r="K281" s="1158" t="inlineStr">
        <is>
          <t>Data Science</t>
        </is>
      </c>
      <c r="L281" s="1158" t="n"/>
      <c r="M281" s="1159" t="inlineStr">
        <is>
          <t>NZ</t>
        </is>
      </c>
      <c r="N281" s="1160" t="inlineStr">
        <is>
          <t>CIC</t>
        </is>
      </c>
      <c r="O281" s="1161" t="n">
        <v>1</v>
      </c>
      <c r="P281" s="1160" t="n"/>
      <c r="Q281" s="1161" t="inlineStr">
        <is>
          <t>Permanent - Full Time</t>
        </is>
      </c>
      <c r="R281" s="1162" t="n"/>
      <c r="S281" s="1162" t="n"/>
      <c r="T281" s="1163" t="n">
        <v>160800</v>
      </c>
      <c r="U281" s="1164" t="n">
        <v>147936</v>
      </c>
      <c r="V281" s="1165" t="n">
        <v>0.15</v>
      </c>
      <c r="W281" s="1161" t="n"/>
      <c r="X281" s="1166" t="n">
        <v>0.05</v>
      </c>
      <c r="Y281" s="1907" t="n">
        <v>2910</v>
      </c>
      <c r="Z281" s="1166" t="n">
        <v>0.03</v>
      </c>
      <c r="AA281" s="1168">
        <f>IF(TRIM($B281)="","",IF(N($AU281)&gt;0,$AU281,IF(N($S281)&gt;0,$S281*Lists!$AG$15*(1+N($Z281)),N($U281)*(1+N($V281)+N($W281)+N($X281)+N($Z281))+N($Y281))))</f>
        <v>184871.28</v>
      </c>
      <c r="AB281" s="1248" t="n">
        <v>113527</v>
      </c>
      <c r="AH281" s="1908" t="n">
        <v>418</v>
      </c>
      <c r="AJ281" s="865" t="str">
        <f>IF(TRIM($B281)="","",IF(IFERROR(INDEX(Lists!$AO$2:$AO$11,MATCH(ROW(),Lists!$AN$2:$AN$11,0)),"")&lt;&gt;"",IFERROR(INDEX(Lists!$AO$2:$AO$11,MATCH(ROW(),Lists!$AN$2:$AN$11,0)),""),IFERROR(INDEX(Lists!$U:$U,MATCH(TRIM($I281),Lists!$T:$T,0)),TRIM($I281))))</f>
        <v>Enterprise Data</v>
      </c>
      <c r="AK281" s="865" t="str">
        <f>IF(ISNUMBER(SEARCH("vacant",$B281)),"Vacant","Filled")</f>
        <v>Filled</v>
      </c>
      <c r="AL281" s="865" t="str">
        <f>IF($M281="NZ","NZ","AU")</f>
        <v>NZ</v>
      </c>
      <c r="AM281" s="865">
        <f>COUNTIF($AJ$2:$AJ281,$AJ281)</f>
        <v>3</v>
      </c>
      <c r="AN281" s="865" t="str">
        <f>$AJ281&amp;"|"&amp;$AM281</f>
        <v>Enterprise Data|3</v>
      </c>
      <c r="AP281" s="865" t="str">
        <f>IF(TRIM($B281)="","",IF($AQ281=1,"Leadership",IFERROR(INDEX(Lists!$X:$X,MATCH(TRIM($K281),Lists!$W:$W,0)),IF(OR(TRIM($K281)="",LOWER(TRIM($K281))="na"),IF(TRIM($G281)="","Unassigned",TRIM($G281)),TRIM($K281)))))</f>
        <v>Data Science</v>
      </c>
      <c r="AQ281" s="865" t="b">
        <f>IF(TRIM($B281)="","",--OR(TRIM($K281)="Leadership",TRIM($J281)="Leadership"))</f>
        <v>0</v>
      </c>
      <c r="AR281" s="1136" t="str">
        <f>IF(TRIM($B281)="","",IF(IFERROR(INDEX(Lists!$AQ$2:$AQ$11,MATCH(ROW(),Lists!$AN$2:$AN$11,0)),"")&lt;&gt;"",IFERROR(INDEX(Lists!$AQ$2:$AQ$11,MATCH(ROW(),Lists!$AN$2:$AN$11,0)),""),IF(ISNUMBER(SEARCH("head of ",$C281)),"Head of Technology",IF(ISNUMBER(SEARCH("TDD BP",$C281)),"Business Partner",IF(OR(ISNUMBER(SEARCH("domain architect",$C281)),ISNUMBER(SEARCH("enterprise architect",$C281))),"Domain Architect",IF(ISNUMBER(SEARCH("delivery man",$C281)),"Delivery Manager",IF(OR(ISNUMBER(SEARCH("technology manager",$C281)),ISNUMBER(SEARCH("technology manger",$C281)),ISNUMBER(SEARCH("tech manager",$C281))),"Technology Manager","Squad")))))))</f>
        <v>Squad</v>
      </c>
      <c r="AS281" s="1136" t="str">
        <f>IF(TRIM($B281)="","",IFERROR(INDEX(Lists!$AA:$AA,MATCH($AP281,Lists!$Z:$Z,0)),$AP281))</f>
        <v>Data Science</v>
      </c>
      <c r="AT281" s="1136" t="str">
        <f>IF(TRIM($B281)="","",IF(IFERROR(INDEX(Lists!$AP$2:$AP$11,MATCH(ROW(),Lists!$AN$2:$AN$11,0)),"")&lt;&gt;"",IFERROR(INDEX(Lists!$AP$2:$AP$11,MATCH(ROW(),Lists!$AN$2:$AN$11,0)),""),IF(OR(LEFT($AJ281,3)="COE",$AJ281="EGI"),$AP281,IF($AR281&lt;&gt;"Squad",$AR281,$AP281))))</f>
        <v>Data Science</v>
      </c>
    </row>
    <row r="282" ht="18" customHeight="1" s="866">
      <c r="A282" s="1162" t="n">
        <v>115483</v>
      </c>
      <c r="B282" s="1155" t="inlineStr">
        <is>
          <t>Craig Ambrose</t>
        </is>
      </c>
      <c r="C282" s="1156" t="inlineStr">
        <is>
          <t>Domain Architect - Group Functions</t>
        </is>
      </c>
      <c r="D282" s="1156" t="inlineStr">
        <is>
          <t>Vacant</t>
        </is>
      </c>
      <c r="E282" s="1156" t="inlineStr">
        <is>
          <t>Head of Architecture</t>
        </is>
      </c>
      <c r="F282" s="1257" t="inlineStr">
        <is>
          <t>Strategy, Architecture &amp; Data</t>
        </is>
      </c>
      <c r="G282" s="1158" t="inlineStr">
        <is>
          <t>Architecture</t>
        </is>
      </c>
      <c r="H282" s="1199" t="inlineStr">
        <is>
          <t>Architecture</t>
        </is>
      </c>
      <c r="I282" s="1199" t="inlineStr">
        <is>
          <t>COE - Strategy, Architecture, Data</t>
        </is>
      </c>
      <c r="J282" s="1199" t="n"/>
      <c r="K282" s="1158" t="n"/>
      <c r="L282" s="1158" t="n"/>
      <c r="M282" s="1159" t="inlineStr">
        <is>
          <t>NZ</t>
        </is>
      </c>
      <c r="N282" s="1160" t="inlineStr">
        <is>
          <t>CSB</t>
        </is>
      </c>
      <c r="O282" s="1160" t="n">
        <v>1</v>
      </c>
      <c r="P282" s="1160" t="n"/>
      <c r="Q282" s="1160" t="inlineStr">
        <is>
          <t>Permanent - Full Time</t>
        </is>
      </c>
      <c r="R282" s="1162" t="n"/>
      <c r="S282" s="1162" t="n"/>
      <c r="T282" s="1163" t="n">
        <v>211940</v>
      </c>
      <c r="U282" s="1164" t="n">
        <v>194984.8</v>
      </c>
      <c r="V282" s="1165" t="n">
        <v>0.15</v>
      </c>
      <c r="W282" s="1162" t="n"/>
      <c r="X282" s="1166" t="n">
        <v>0.05</v>
      </c>
      <c r="Y282" s="1907" t="n">
        <v>2910</v>
      </c>
      <c r="Z282" s="1166" t="n">
        <v>0.03</v>
      </c>
      <c r="AA282" s="1168">
        <f>IF(TRIM($B282)="","",IF(N($AU282)&gt;0,$AU282,IF(N($S282)&gt;0,$S282*Lists!$AG$15*(1+N($Z282)),N($U282)*(1+N($V282)+N($W282)+N($X282)+N($Z282))+N($Y282))))</f>
        <v>242741.304</v>
      </c>
      <c r="AJ282" s="865" t="str">
        <f>IF(TRIM($B282)="","",IF(IFERROR(INDEX(Lists!$AO$2:$AO$11,MATCH(ROW(),Lists!$AN$2:$AN$11,0)),"")&lt;&gt;"",IFERROR(INDEX(Lists!$AO$2:$AO$11,MATCH(ROW(),Lists!$AN$2:$AN$11,0)),""),IFERROR(INDEX(Lists!$U:$U,MATCH(TRIM($I282),Lists!$T:$T,0)),TRIM($I282))))</f>
        <v>COE SA&amp;D</v>
      </c>
      <c r="AK282" s="865" t="str">
        <f>IF(ISNUMBER(SEARCH("vacant",$B282)),"Vacant","Filled")</f>
        <v>Filled</v>
      </c>
      <c r="AL282" s="865" t="str">
        <f>IF($M282="NZ","NZ","AU")</f>
        <v>NZ</v>
      </c>
      <c r="AM282" s="865">
        <f>COUNTIF($AJ$2:$AJ282,$AJ282)</f>
        <v>1</v>
      </c>
      <c r="AN282" s="865" t="str">
        <f>$AJ282&amp;"|"&amp;$AM282</f>
        <v>COE SA&amp;D|1</v>
      </c>
      <c r="AP282" s="865" t="str">
        <f>IF(TRIM($B282)="","",IF($AQ282=1,"Leadership",IFERROR(INDEX(Lists!$X:$X,MATCH(TRIM($K282),Lists!$W:$W,0)),IF(OR(TRIM($K282)="",LOWER(TRIM($K282))="na"),IF(TRIM($G282)="","Unassigned",TRIM($G282)),TRIM($K282)))))</f>
        <v>Architecture</v>
      </c>
      <c r="AQ282" s="865" t="b">
        <f>IF(TRIM($B282)="","",--OR(TRIM($K282)="Leadership",TRIM($J282)="Leadership"))</f>
        <v>0</v>
      </c>
      <c r="AR282" s="1136" t="str">
        <f>IF(TRIM($B282)="","",IF(IFERROR(INDEX(Lists!$AQ$2:$AQ$11,MATCH(ROW(),Lists!$AN$2:$AN$11,0)),"")&lt;&gt;"",IFERROR(INDEX(Lists!$AQ$2:$AQ$11,MATCH(ROW(),Lists!$AN$2:$AN$11,0)),""),IF(ISNUMBER(SEARCH("head of ",$C282)),"Head of Technology",IF(ISNUMBER(SEARCH("TDD BP",$C282)),"Business Partner",IF(OR(ISNUMBER(SEARCH("domain architect",$C282)),ISNUMBER(SEARCH("enterprise architect",$C282))),"Domain Architect",IF(ISNUMBER(SEARCH("delivery man",$C282)),"Delivery Manager",IF(OR(ISNUMBER(SEARCH("technology manager",$C282)),ISNUMBER(SEARCH("technology manger",$C282)),ISNUMBER(SEARCH("tech manager",$C282))),"Technology Manager","Squad")))))))</f>
        <v>Domain Architect</v>
      </c>
      <c r="AS282" s="1136" t="str">
        <f>IF(TRIM($B282)="","",IFERROR(INDEX(Lists!$AA:$AA,MATCH($AP282,Lists!$Z:$Z,0)),$AP282))</f>
        <v>Architecture</v>
      </c>
      <c r="AT282" s="1136" t="str">
        <f>IF(TRIM($B282)="","",IF(IFERROR(INDEX(Lists!$AP$2:$AP$11,MATCH(ROW(),Lists!$AN$2:$AN$11,0)),"")&lt;&gt;"",IFERROR(INDEX(Lists!$AP$2:$AP$11,MATCH(ROW(),Lists!$AN$2:$AN$11,0)),""),IF(OR(LEFT($AJ282,3)="COE",$AJ282="EGI"),$AP282,IF($AR282&lt;&gt;"Squad",$AR282,$AP282))))</f>
        <v>Architecture</v>
      </c>
    </row>
    <row r="283" ht="18" customHeight="1" s="866">
      <c r="A283" s="1155" t="n">
        <v>113956</v>
      </c>
      <c r="B283" s="1156" t="inlineStr">
        <is>
          <t>Deepali Mahajan</t>
        </is>
      </c>
      <c r="C283" s="1156" t="inlineStr">
        <is>
          <t>Data Operations Manager</t>
        </is>
      </c>
      <c r="D283" s="1156" t="inlineStr">
        <is>
          <t>James Holgate</t>
        </is>
      </c>
      <c r="E283" s="1156" t="inlineStr">
        <is>
          <t>Head of Technology,  Group Data</t>
        </is>
      </c>
      <c r="F283" s="1257" t="inlineStr">
        <is>
          <t>Strategy, Architecture &amp; Data</t>
        </is>
      </c>
      <c r="G283" s="1158" t="inlineStr">
        <is>
          <t>Group Data</t>
        </is>
      </c>
      <c r="H283" s="1158" t="inlineStr">
        <is>
          <t>Data Operations</t>
        </is>
      </c>
      <c r="I283" s="1199" t="inlineStr">
        <is>
          <t>Enterprise Data</t>
        </is>
      </c>
      <c r="J283" s="1199" t="inlineStr">
        <is>
          <t>Leadership</t>
        </is>
      </c>
      <c r="K283" s="1158" t="n"/>
      <c r="L283" s="1158" t="n"/>
      <c r="M283" s="1159" t="inlineStr">
        <is>
          <t>Australia</t>
        </is>
      </c>
      <c r="N283" s="1160" t="inlineStr">
        <is>
          <t>CSB</t>
        </is>
      </c>
      <c r="O283" s="1160" t="n">
        <v>1</v>
      </c>
      <c r="P283" s="1160" t="n"/>
      <c r="Q283" s="1160" t="inlineStr">
        <is>
          <t>Permanent - Full Time</t>
        </is>
      </c>
      <c r="R283" s="1162" t="n"/>
      <c r="S283" s="1162" t="n"/>
      <c r="T283" s="1163" t="n">
        <v>218390</v>
      </c>
      <c r="U283" s="1164" t="n">
        <v>218390</v>
      </c>
      <c r="V283" s="1166" t="n">
        <v>0.14</v>
      </c>
      <c r="W283" s="1170" t="n">
        <v>0.055</v>
      </c>
      <c r="X283" s="1170" t="n">
        <v>0.12</v>
      </c>
      <c r="Y283" s="1171" t="n"/>
      <c r="Z283" s="1170" t="n">
        <v>0.04</v>
      </c>
      <c r="AA283" s="1168">
        <f>IF(TRIM($B283)="","",IF(N($AU283)&gt;0,$AU283,IF(N($S283)&gt;0,$S283*Lists!$AG$15*(1+N($Z283)),N($U283)*(1+N($V283)+N($W283)+N($X283)+N($Z283))+N($Y283))))</f>
        <v>295918.45</v>
      </c>
      <c r="AJ283" s="865" t="str">
        <f>IF(TRIM($B283)="","",IF(IFERROR(INDEX(Lists!$AO$2:$AO$11,MATCH(ROW(),Lists!$AN$2:$AN$11,0)),"")&lt;&gt;"",IFERROR(INDEX(Lists!$AO$2:$AO$11,MATCH(ROW(),Lists!$AN$2:$AN$11,0)),""),IFERROR(INDEX(Lists!$U:$U,MATCH(TRIM($I283),Lists!$T:$T,0)),TRIM($I283))))</f>
        <v>COE SA&amp;D</v>
      </c>
      <c r="AK283" s="865" t="str">
        <f>IF(ISNUMBER(SEARCH("vacant",$B283)),"Vacant","Filled")</f>
        <v>Filled</v>
      </c>
      <c r="AL283" s="865" t="str">
        <f>IF($M283="NZ","NZ","AU")</f>
        <v>AU</v>
      </c>
      <c r="AM283" s="865">
        <f>COUNTIF($AJ$2:$AJ283,$AJ283)</f>
        <v>2</v>
      </c>
      <c r="AN283" s="865" t="str">
        <f>$AJ283&amp;"|"&amp;$AM283</f>
        <v>COE SA&amp;D|2</v>
      </c>
      <c r="AP283" s="865" t="str">
        <f>IF(TRIM($B283)="","",IF($AQ283=1,"Leadership",IFERROR(INDEX(Lists!$X:$X,MATCH(TRIM($K283),Lists!$W:$W,0)),IF(OR(TRIM($K283)="",LOWER(TRIM($K283))="na"),IF(TRIM($G283)="","Unassigned",TRIM($G283)),TRIM($K283)))))</f>
        <v>Leadership</v>
      </c>
      <c r="AQ283" s="865" t="b">
        <f>IF(TRIM($B283)="","",--OR(TRIM($K283)="Leadership",TRIM($J283)="Leadership"))</f>
        <v>1</v>
      </c>
      <c r="AR283" s="1136" t="str">
        <f>IF(TRIM($B283)="","",IF(IFERROR(INDEX(Lists!$AQ$2:$AQ$11,MATCH(ROW(),Lists!$AN$2:$AN$11,0)),"")&lt;&gt;"",IFERROR(INDEX(Lists!$AQ$2:$AQ$11,MATCH(ROW(),Lists!$AN$2:$AN$11,0)),""),IF(ISNUMBER(SEARCH("head of ",$C283)),"Head of Technology",IF(ISNUMBER(SEARCH("TDD BP",$C283)),"Business Partner",IF(OR(ISNUMBER(SEARCH("domain architect",$C283)),ISNUMBER(SEARCH("enterprise architect",$C283))),"Domain Architect",IF(ISNUMBER(SEARCH("delivery man",$C283)),"Delivery Manager",IF(OR(ISNUMBER(SEARCH("technology manager",$C283)),ISNUMBER(SEARCH("technology manger",$C283)),ISNUMBER(SEARCH("tech manager",$C283))),"Technology Manager","Squad")))))))</f>
        <v>Squad</v>
      </c>
      <c r="AS283" s="1136" t="str">
        <f>IF(TRIM($B283)="","",IFERROR(INDEX(Lists!$AA:$AA,MATCH($AP283,Lists!$Z:$Z,0)),$AP283))</f>
        <v>Leadership</v>
      </c>
      <c r="AT283" s="1136" t="str">
        <f>IF(TRIM($B283)="","",IF(IFERROR(INDEX(Lists!$AP$2:$AP$11,MATCH(ROW(),Lists!$AN$2:$AN$11,0)),"")&lt;&gt;"",IFERROR(INDEX(Lists!$AP$2:$AP$11,MATCH(ROW(),Lists!$AN$2:$AN$11,0)),""),IF(OR(LEFT($AJ283,3)="COE",$AJ283="EGI"),$AP283,IF($AR283&lt;&gt;"Squad",$AR283,$AP283))))</f>
        <v>Group Data</v>
      </c>
    </row>
    <row r="284" ht="18" customHeight="1" s="866">
      <c r="A284" s="1258" t="n">
        <v>105010</v>
      </c>
      <c r="B284" s="1156" t="inlineStr">
        <is>
          <t>Dinesh Chandrasekaran</t>
        </is>
      </c>
      <c r="C284" s="1156" t="inlineStr">
        <is>
          <t>Lead Engineer (Snowflake)</t>
        </is>
      </c>
      <c r="D284" s="1156" t="inlineStr">
        <is>
          <t>Jason Gleason</t>
        </is>
      </c>
      <c r="E284" s="1156" t="inlineStr">
        <is>
          <t>Technology Manager, Data Engineering &amp; Platforms</t>
        </is>
      </c>
      <c r="F284" s="1157" t="inlineStr">
        <is>
          <t>Strategy, Architecture &amp; Data</t>
        </is>
      </c>
      <c r="G284" s="1156" t="inlineStr">
        <is>
          <t>Group Data</t>
        </is>
      </c>
      <c r="H284" s="1199" t="inlineStr">
        <is>
          <t>Data Engineering &amp; Platforms</t>
        </is>
      </c>
      <c r="I284" s="1158" t="inlineStr">
        <is>
          <t>Enterprise Data</t>
        </is>
      </c>
      <c r="J284" s="1199" t="inlineStr">
        <is>
          <t>Group Data</t>
        </is>
      </c>
      <c r="K284" s="1158" t="inlineStr">
        <is>
          <t>Data Platform</t>
        </is>
      </c>
      <c r="L284" s="1158" t="n"/>
      <c r="M284" s="1159" t="inlineStr">
        <is>
          <t>Australia</t>
        </is>
      </c>
      <c r="N284" s="1259" t="inlineStr">
        <is>
          <t xml:space="preserve">CIB </t>
        </is>
      </c>
      <c r="O284" s="1259" t="n">
        <v>1</v>
      </c>
      <c r="P284" s="1259" t="n"/>
      <c r="Q284" s="1259" t="inlineStr">
        <is>
          <t>Permanent - Full Time</t>
        </is>
      </c>
      <c r="R284" s="1156" t="n"/>
      <c r="S284" s="1156" t="n"/>
      <c r="T284" s="1260" t="n">
        <v>182760</v>
      </c>
      <c r="U284" s="1164" t="n">
        <v>182760</v>
      </c>
      <c r="V284" s="1166" t="n">
        <v>0.12</v>
      </c>
      <c r="W284" s="1170" t="n">
        <v>0.055</v>
      </c>
      <c r="X284" s="1170" t="n">
        <v>0.12</v>
      </c>
      <c r="Y284" s="1171" t="n"/>
      <c r="Z284" s="1170" t="n">
        <v>0.04</v>
      </c>
      <c r="AA284" s="1168">
        <f>IF(TRIM($B284)="","",IF(N($AU284)&gt;0,$AU284,IF(N($S284)&gt;0,$S284*Lists!$AG$15*(1+N($Z284)),N($U284)*(1+N($V284)+N($W284)+N($X284)+N($Z284))+N($Y284))))</f>
        <v>243984.6</v>
      </c>
      <c r="AJ284" s="865" t="str">
        <f>IF(TRIM($B284)="","",IF(IFERROR(INDEX(Lists!$AO$2:$AO$11,MATCH(ROW(),Lists!$AN$2:$AN$11,0)),"")&lt;&gt;"",IFERROR(INDEX(Lists!$AO$2:$AO$11,MATCH(ROW(),Lists!$AN$2:$AN$11,0)),""),IFERROR(INDEX(Lists!$U:$U,MATCH(TRIM($I284),Lists!$T:$T,0)),TRIM($I284))))</f>
        <v>Enterprise Data</v>
      </c>
      <c r="AK284" s="865" t="str">
        <f>IF(ISNUMBER(SEARCH("vacant",$B284)),"Vacant","Filled")</f>
        <v>Filled</v>
      </c>
      <c r="AL284" s="865" t="str">
        <f>IF($M284="NZ","NZ","AU")</f>
        <v>AU</v>
      </c>
      <c r="AM284" s="865">
        <f>COUNTIF($AJ$2:$AJ284,$AJ284)</f>
        <v>4</v>
      </c>
      <c r="AN284" s="865" t="str">
        <f>$AJ284&amp;"|"&amp;$AM284</f>
        <v>Enterprise Data|4</v>
      </c>
      <c r="AP284" s="865" t="str">
        <f>IF(TRIM($B284)="","",IF($AQ284=1,"Leadership",IFERROR(INDEX(Lists!$X:$X,MATCH(TRIM($K284),Lists!$W:$W,0)),IF(OR(TRIM($K284)="",LOWER(TRIM($K284))="na"),IF(TRIM($G284)="","Unassigned",TRIM($G284)),TRIM($K284)))))</f>
        <v>Data Platforms</v>
      </c>
      <c r="AQ284" s="865" t="b">
        <f>IF(TRIM($B284)="","",--OR(TRIM($K284)="Leadership",TRIM($J284)="Leadership"))</f>
        <v>0</v>
      </c>
      <c r="AR284" s="1136" t="str">
        <f>IF(TRIM($B284)="","",IF(IFERROR(INDEX(Lists!$AQ$2:$AQ$11,MATCH(ROW(),Lists!$AN$2:$AN$11,0)),"")&lt;&gt;"",IFERROR(INDEX(Lists!$AQ$2:$AQ$11,MATCH(ROW(),Lists!$AN$2:$AN$11,0)),""),IF(ISNUMBER(SEARCH("head of ",$C284)),"Head of Technology",IF(ISNUMBER(SEARCH("TDD BP",$C284)),"Business Partner",IF(OR(ISNUMBER(SEARCH("domain architect",$C284)),ISNUMBER(SEARCH("enterprise architect",$C284))),"Domain Architect",IF(ISNUMBER(SEARCH("delivery man",$C284)),"Delivery Manager",IF(OR(ISNUMBER(SEARCH("technology manager",$C284)),ISNUMBER(SEARCH("technology manger",$C284)),ISNUMBER(SEARCH("tech manager",$C284))),"Technology Manager","Squad")))))))</f>
        <v>Squad</v>
      </c>
      <c r="AS284" s="1136" t="str">
        <f>IF(TRIM($B284)="","",IFERROR(INDEX(Lists!$AA:$AA,MATCH($AP284,Lists!$Z:$Z,0)),$AP284))</f>
        <v>Data Platforms</v>
      </c>
      <c r="AT284" s="1136" t="str">
        <f>IF(TRIM($B284)="","",IF(IFERROR(INDEX(Lists!$AP$2:$AP$11,MATCH(ROW(),Lists!$AN$2:$AN$11,0)),"")&lt;&gt;"",IFERROR(INDEX(Lists!$AP$2:$AP$11,MATCH(ROW(),Lists!$AN$2:$AN$11,0)),""),IF(OR(LEFT($AJ284,3)="COE",$AJ284="EGI"),$AP284,IF($AR284&lt;&gt;"Squad",$AR284,$AP284))))</f>
        <v>Data Platforms</v>
      </c>
    </row>
    <row r="285" ht="18" customHeight="1" s="866">
      <c r="A285" s="1155" t="n">
        <v>80469</v>
      </c>
      <c r="B285" s="1156" t="inlineStr">
        <is>
          <t>James Holgate</t>
        </is>
      </c>
      <c r="C285" s="1156" t="inlineStr">
        <is>
          <t>Head of Technology,  Group Data</t>
        </is>
      </c>
      <c r="D285" s="1156" t="inlineStr">
        <is>
          <t>Matt Ashley</t>
        </is>
      </c>
      <c r="E285" s="1156" t="inlineStr">
        <is>
          <t>GM TDD, Strategy, Architecture, Data</t>
        </is>
      </c>
      <c r="F285" s="1257" t="inlineStr">
        <is>
          <t>Strategy, Architecture &amp; Data</t>
        </is>
      </c>
      <c r="G285" s="1158" t="inlineStr">
        <is>
          <t>Group Data</t>
        </is>
      </c>
      <c r="H285" s="1199" t="inlineStr">
        <is>
          <t>Leadership</t>
        </is>
      </c>
      <c r="I285" s="1158" t="inlineStr">
        <is>
          <t>Enterprise Data</t>
        </is>
      </c>
      <c r="J285" s="1199" t="inlineStr">
        <is>
          <t>Leadership</t>
        </is>
      </c>
      <c r="K285" s="1199" t="n"/>
      <c r="L285" s="1158" t="n"/>
      <c r="M285" s="1159" t="inlineStr">
        <is>
          <t>Australia</t>
        </is>
      </c>
      <c r="N285" s="1162" t="inlineStr">
        <is>
          <t>CSC</t>
        </is>
      </c>
      <c r="O285" s="1162" t="n">
        <v>1</v>
      </c>
      <c r="P285" s="1162" t="n"/>
      <c r="Q285" s="1162" t="inlineStr">
        <is>
          <t>Permanent - Full Time</t>
        </is>
      </c>
      <c r="R285" s="1162" t="n"/>
      <c r="S285" s="1162" t="n"/>
      <c r="T285" s="1163" t="n">
        <v>289580</v>
      </c>
      <c r="U285" s="1164" t="n">
        <v>289580</v>
      </c>
      <c r="V285" s="1166" t="n">
        <v>0.2</v>
      </c>
      <c r="W285" s="1170" t="n">
        <v>0.055</v>
      </c>
      <c r="X285" s="1170" t="n">
        <v>0.12</v>
      </c>
      <c r="Y285" s="1171" t="n"/>
      <c r="Z285" s="1170" t="n">
        <v>0.04</v>
      </c>
      <c r="AA285" s="1168">
        <f>IF(TRIM($B285)="","",IF(N($AU285)&gt;0,$AU285,IF(N($S285)&gt;0,$S285*Lists!$AG$15*(1+N($Z285)),N($U285)*(1+N($V285)+N($W285)+N($X285)+N($Z285))+N($Y285))))</f>
        <v>409755.7</v>
      </c>
      <c r="AJ285" s="865" t="str">
        <f>IF(TRIM($B285)="","",IF(IFERROR(INDEX(Lists!$AO$2:$AO$11,MATCH(ROW(),Lists!$AN$2:$AN$11,0)),"")&lt;&gt;"",IFERROR(INDEX(Lists!$AO$2:$AO$11,MATCH(ROW(),Lists!$AN$2:$AN$11,0)),""),IFERROR(INDEX(Lists!$U:$U,MATCH(TRIM($I285),Lists!$T:$T,0)),TRIM($I285))))</f>
        <v>Enterprise Data</v>
      </c>
      <c r="AK285" s="865" t="str">
        <f>IF(ISNUMBER(SEARCH("vacant",$B285)),"Vacant","Filled")</f>
        <v>Filled</v>
      </c>
      <c r="AL285" s="865" t="str">
        <f>IF($M285="NZ","NZ","AU")</f>
        <v>AU</v>
      </c>
      <c r="AM285" s="865">
        <f>COUNTIF($AJ$2:$AJ285,$AJ285)</f>
        <v>5</v>
      </c>
      <c r="AN285" s="865" t="str">
        <f>$AJ285&amp;"|"&amp;$AM285</f>
        <v>Enterprise Data|5</v>
      </c>
      <c r="AP285" s="865" t="str">
        <f>IF(TRIM($B285)="","",IF($AQ285=1,"Leadership",IFERROR(INDEX(Lists!$X:$X,MATCH(TRIM($K285),Lists!$W:$W,0)),IF(OR(TRIM($K285)="",LOWER(TRIM($K285))="na"),IF(TRIM($G285)="","Unassigned",TRIM($G285)),TRIM($K285)))))</f>
        <v>Leadership</v>
      </c>
      <c r="AQ285" s="865" t="b">
        <f>IF(TRIM($B285)="","",--OR(TRIM($K285)="Leadership",TRIM($J285)="Leadership"))</f>
        <v>1</v>
      </c>
      <c r="AR285" s="1136" t="str">
        <f>IF(TRIM($B285)="","",IF(IFERROR(INDEX(Lists!$AQ$2:$AQ$11,MATCH(ROW(),Lists!$AN$2:$AN$11,0)),"")&lt;&gt;"",IFERROR(INDEX(Lists!$AQ$2:$AQ$11,MATCH(ROW(),Lists!$AN$2:$AN$11,0)),""),IF(ISNUMBER(SEARCH("head of ",$C285)),"Head of Technology",IF(ISNUMBER(SEARCH("TDD BP",$C285)),"Business Partner",IF(OR(ISNUMBER(SEARCH("domain architect",$C285)),ISNUMBER(SEARCH("enterprise architect",$C285))),"Domain Architect",IF(ISNUMBER(SEARCH("delivery man",$C285)),"Delivery Manager",IF(OR(ISNUMBER(SEARCH("technology manager",$C285)),ISNUMBER(SEARCH("technology manger",$C285)),ISNUMBER(SEARCH("tech manager",$C285))),"Technology Manager","Squad")))))))</f>
        <v>Head of Technology</v>
      </c>
      <c r="AS285" s="1136" t="str">
        <f>IF(TRIM($B285)="","",IFERROR(INDEX(Lists!$AA:$AA,MATCH($AP285,Lists!$Z:$Z,0)),$AP285))</f>
        <v>Leadership</v>
      </c>
      <c r="AT285" s="1136" t="str">
        <f>IF(TRIM($B285)="","",IF(IFERROR(INDEX(Lists!$AP$2:$AP$11,MATCH(ROW(),Lists!$AN$2:$AN$11,0)),"")&lt;&gt;"",IFERROR(INDEX(Lists!$AP$2:$AP$11,MATCH(ROW(),Lists!$AN$2:$AN$11,0)),""),IF(OR(LEFT($AJ285,3)="COE",$AJ285="EGI"),$AP285,IF($AR285&lt;&gt;"Squad",$AR285,$AP285))))</f>
        <v>Head of Technology</v>
      </c>
    </row>
    <row r="286" ht="18" customHeight="1" s="866">
      <c r="A286" s="1155" t="n">
        <v>99999102152</v>
      </c>
      <c r="B286" s="1156" t="inlineStr">
        <is>
          <t>Jason Gleason</t>
        </is>
      </c>
      <c r="C286" s="1156" t="inlineStr">
        <is>
          <t>Technology Manager, Data Engineering &amp; Platforms</t>
        </is>
      </c>
      <c r="D286" s="1156" t="inlineStr">
        <is>
          <t>James Holgate</t>
        </is>
      </c>
      <c r="E286" s="1156" t="inlineStr">
        <is>
          <t>Head of Technology,  Group Data</t>
        </is>
      </c>
      <c r="F286" s="1257" t="inlineStr">
        <is>
          <t>Strategy, Architecture &amp; Data</t>
        </is>
      </c>
      <c r="G286" s="1158" t="inlineStr">
        <is>
          <t>Group Data</t>
        </is>
      </c>
      <c r="H286" s="1199" t="inlineStr">
        <is>
          <t>Data Engineering &amp; Platforms</t>
        </is>
      </c>
      <c r="I286" s="1199" t="inlineStr">
        <is>
          <t>Enterprise Data</t>
        </is>
      </c>
      <c r="J286" s="1261" t="inlineStr">
        <is>
          <t>Leadership</t>
        </is>
      </c>
      <c r="K286" s="1158" t="n"/>
      <c r="L286" s="1158" t="n"/>
      <c r="M286" s="1159" t="inlineStr">
        <is>
          <t>NZ</t>
        </is>
      </c>
      <c r="N286" s="1160" t="inlineStr">
        <is>
          <t>CSC</t>
        </is>
      </c>
      <c r="O286" s="1161" t="n">
        <v>1</v>
      </c>
      <c r="P286" s="1160" t="n"/>
      <c r="Q286" s="1161" t="inlineStr">
        <is>
          <t>Permanent - Full Time</t>
        </is>
      </c>
      <c r="R286" s="1162" t="n"/>
      <c r="S286" s="1162" t="n"/>
      <c r="T286" s="1163" t="n">
        <v>270000</v>
      </c>
      <c r="U286" s="1164" t="n">
        <v>248400</v>
      </c>
      <c r="V286" s="1165" t="n">
        <v>0.2</v>
      </c>
      <c r="W286" s="1161" t="n"/>
      <c r="X286" s="1166" t="n">
        <v>0.05</v>
      </c>
      <c r="Y286" s="1907" t="n">
        <v>2910</v>
      </c>
      <c r="Z286" s="1166" t="n">
        <v>0.03</v>
      </c>
      <c r="AA286" s="1168">
        <f>IF(TRIM($B286)="","",IF(N($AU286)&gt;0,$AU286,IF(N($S286)&gt;0,$S286*Lists!$AG$15*(1+N($Z286)),N($U286)*(1+N($V286)+N($W286)+N($X286)+N($Z286))+N($Y286))))</f>
        <v>320862</v>
      </c>
      <c r="AB286" s="1248" t="n">
        <v>116999</v>
      </c>
      <c r="AJ286" s="865" t="str">
        <f>IF(TRIM($B286)="","",IF(IFERROR(INDEX(Lists!$AO$2:$AO$11,MATCH(ROW(),Lists!$AN$2:$AN$11,0)),"")&lt;&gt;"",IFERROR(INDEX(Lists!$AO$2:$AO$11,MATCH(ROW(),Lists!$AN$2:$AN$11,0)),""),IFERROR(INDEX(Lists!$U:$U,MATCH(TRIM($I286),Lists!$T:$T,0)),TRIM($I286))))</f>
        <v>Enterprise Data</v>
      </c>
      <c r="AK286" s="865" t="str">
        <f>IF(ISNUMBER(SEARCH("vacant",$B286)),"Vacant","Filled")</f>
        <v>Filled</v>
      </c>
      <c r="AL286" s="865" t="str">
        <f>IF($M286="NZ","NZ","AU")</f>
        <v>NZ</v>
      </c>
      <c r="AM286" s="865">
        <f>COUNTIF($AJ$2:$AJ286,$AJ286)</f>
        <v>6</v>
      </c>
      <c r="AN286" s="865" t="str">
        <f>$AJ286&amp;"|"&amp;$AM286</f>
        <v>Enterprise Data|6</v>
      </c>
      <c r="AP286" s="1136" t="str">
        <f>IF(TRIM($B286)="","",IF($AQ286=1,"Leadership",IFERROR(INDEX(Lists!$X:$X,MATCH(TRIM($K286),Lists!$W:$W,0)),IF(OR(TRIM($K286)="",LOWER(TRIM($K286))="na"),IF(TRIM($G286)="","Unassigned",TRIM($G286)),TRIM($K286)))))</f>
        <v>Leadership</v>
      </c>
      <c r="AQ286" s="865" t="b">
        <f>IF(TRIM($B286)="","",--OR(TRIM($K286)="Leadership",TRIM($J286)="Leadership"))</f>
        <v>1</v>
      </c>
      <c r="AR286" s="1136" t="str">
        <f>IF(TRIM($B286)="","",IF(IFERROR(INDEX(Lists!$AQ$2:$AQ$11,MATCH(ROW(),Lists!$AN$2:$AN$11,0)),"")&lt;&gt;"",IFERROR(INDEX(Lists!$AQ$2:$AQ$11,MATCH(ROW(),Lists!$AN$2:$AN$11,0)),""),IF(ISNUMBER(SEARCH("head of ",$C286)),"Head of Technology",IF(ISNUMBER(SEARCH("TDD BP",$C286)),"Business Partner",IF(OR(ISNUMBER(SEARCH("domain architect",$C286)),ISNUMBER(SEARCH("enterprise architect",$C286))),"Domain Architect",IF(ISNUMBER(SEARCH("delivery man",$C286)),"Delivery Manager",IF(OR(ISNUMBER(SEARCH("technology manager",$C286)),ISNUMBER(SEARCH("technology manger",$C286)),ISNUMBER(SEARCH("tech manager",$C286))),"Technology Manager","Squad")))))))</f>
        <v>Technology Manager</v>
      </c>
      <c r="AS286" s="1136" t="str">
        <f>IF(TRIM($B286)="","",IFERROR(INDEX(Lists!$AA:$AA,MATCH($AP286,Lists!$Z:$Z,0)),$AP286))</f>
        <v>Leadership</v>
      </c>
      <c r="AT286" s="1136" t="str">
        <f>IF(TRIM($B286)="","",IF(IFERROR(INDEX(Lists!$AP$2:$AP$11,MATCH(ROW(),Lists!$AN$2:$AN$11,0)),"")&lt;&gt;"",IFERROR(INDEX(Lists!$AP$2:$AP$11,MATCH(ROW(),Lists!$AN$2:$AN$11,0)),""),IF(OR(LEFT($AJ286,3)="COE",$AJ286="EGI"),$AP286,IF($AR286&lt;&gt;"Squad",$AR286,$AP286))))</f>
        <v>Technology Manager</v>
      </c>
    </row>
    <row r="287" ht="18" customHeight="1" s="866">
      <c r="A287" s="1155" t="n">
        <v>113381</v>
      </c>
      <c r="B287" s="1156" t="inlineStr">
        <is>
          <t>Joel Vijayakumar</t>
        </is>
      </c>
      <c r="C287" s="1156" t="inlineStr">
        <is>
          <t>Delivery Manager, Strategy, Architecture &amp; Data</t>
        </is>
      </c>
      <c r="D287" s="1156" t="inlineStr">
        <is>
          <t>Matt Ashley</t>
        </is>
      </c>
      <c r="E287" s="1156" t="inlineStr">
        <is>
          <t>GM TDD, Strategy, Architecture, Data</t>
        </is>
      </c>
      <c r="F287" s="1257" t="inlineStr">
        <is>
          <t>Strategy, Architecture &amp; Data</t>
        </is>
      </c>
      <c r="G287" s="1158" t="inlineStr">
        <is>
          <t>Delivery, SADA</t>
        </is>
      </c>
      <c r="H287" s="1158" t="n"/>
      <c r="I287" s="1199" t="inlineStr">
        <is>
          <t>COE - Strategy, Architecture, Data</t>
        </is>
      </c>
      <c r="J287" s="1199" t="inlineStr">
        <is>
          <t>Leadership</t>
        </is>
      </c>
      <c r="K287" s="1199" t="n"/>
      <c r="L287" s="1158" t="n"/>
      <c r="M287" s="1159" t="inlineStr">
        <is>
          <t>Australia</t>
        </is>
      </c>
      <c r="N287" s="1160" t="inlineStr">
        <is>
          <t>CSC</t>
        </is>
      </c>
      <c r="O287" s="1160" t="n">
        <v>1</v>
      </c>
      <c r="P287" s="1160" t="n"/>
      <c r="Q287" s="1160" t="inlineStr">
        <is>
          <t>Permanent - Full Time</t>
        </is>
      </c>
      <c r="R287" s="1162" t="n"/>
      <c r="S287" s="1162" t="n"/>
      <c r="T287" s="1163" t="n">
        <v>260840</v>
      </c>
      <c r="U287" s="1164" t="n">
        <v>260840</v>
      </c>
      <c r="V287" s="1166" t="n">
        <v>0.2</v>
      </c>
      <c r="W287" s="1170" t="n">
        <v>0.055</v>
      </c>
      <c r="X287" s="1170" t="n">
        <v>0.12</v>
      </c>
      <c r="Y287" s="1171" t="n"/>
      <c r="Z287" s="1170" t="n">
        <v>0.04</v>
      </c>
      <c r="AA287" s="1168">
        <f>IF(TRIM($B287)="","",IF(N($AU287)&gt;0,$AU287,IF(N($S287)&gt;0,$S287*Lists!$AG$15*(1+N($Z287)),N($U287)*(1+N($V287)+N($W287)+N($X287)+N($Z287))+N($Y287))))</f>
        <v>369088.6</v>
      </c>
      <c r="AJ287" s="865" t="str">
        <f>IF(TRIM($B287)="","",IF(IFERROR(INDEX(Lists!$AO$2:$AO$11,MATCH(ROW(),Lists!$AN$2:$AN$11,0)),"")&lt;&gt;"",IFERROR(INDEX(Lists!$AO$2:$AO$11,MATCH(ROW(),Lists!$AN$2:$AN$11,0)),""),IFERROR(INDEX(Lists!$U:$U,MATCH(TRIM($I287),Lists!$T:$T,0)),TRIM($I287))))</f>
        <v>COE SA&amp;D</v>
      </c>
      <c r="AK287" s="865" t="str">
        <f>IF(ISNUMBER(SEARCH("vacant",$B287)),"Vacant","Filled")</f>
        <v>Filled</v>
      </c>
      <c r="AL287" s="865" t="str">
        <f>IF($M287="NZ","NZ","AU")</f>
        <v>AU</v>
      </c>
      <c r="AM287" s="865">
        <f>COUNTIF($AJ$2:$AJ287,$AJ287)</f>
        <v>3</v>
      </c>
      <c r="AN287" s="865" t="str">
        <f>$AJ287&amp;"|"&amp;$AM287</f>
        <v>COE SA&amp;D|3</v>
      </c>
      <c r="AP287" s="865" t="str">
        <f>IF(TRIM($B287)="","",IF($AQ287=1,"Leadership",IFERROR(INDEX(Lists!$X:$X,MATCH(TRIM($K287),Lists!$W:$W,0)),IF(OR(TRIM($K287)="",LOWER(TRIM($K287))="na"),IF(TRIM($G287)="","Unassigned",TRIM($G287)),TRIM($K287)))))</f>
        <v>Leadership</v>
      </c>
      <c r="AQ287" s="865" t="b">
        <f>IF(TRIM($B287)="","",--OR(TRIM($K287)="Leadership",TRIM($J287)="Leadership"))</f>
        <v>1</v>
      </c>
      <c r="AR287" s="1136" t="str">
        <f>IF(TRIM($B287)="","",IF(IFERROR(INDEX(Lists!$AQ$2:$AQ$11,MATCH(ROW(),Lists!$AN$2:$AN$11,0)),"")&lt;&gt;"",IFERROR(INDEX(Lists!$AQ$2:$AQ$11,MATCH(ROW(),Lists!$AN$2:$AN$11,0)),""),IF(ISNUMBER(SEARCH("head of ",$C287)),"Head of Technology",IF(ISNUMBER(SEARCH("TDD BP",$C287)),"Business Partner",IF(OR(ISNUMBER(SEARCH("domain architect",$C287)),ISNUMBER(SEARCH("enterprise architect",$C287))),"Domain Architect",IF(ISNUMBER(SEARCH("delivery man",$C287)),"Delivery Manager",IF(OR(ISNUMBER(SEARCH("technology manager",$C287)),ISNUMBER(SEARCH("technology manger",$C287)),ISNUMBER(SEARCH("tech manager",$C287))),"Technology Manager","Squad")))))))</f>
        <v>Delivery Manager</v>
      </c>
      <c r="AS287" s="1136" t="str">
        <f>IF(TRIM($B287)="","",IFERROR(INDEX(Lists!$AA:$AA,MATCH($AP287,Lists!$Z:$Z,0)),$AP287))</f>
        <v>Leadership</v>
      </c>
      <c r="AT287" s="1136" t="str">
        <f>IF(TRIM($B287)="","",IF(IFERROR(INDEX(Lists!$AP$2:$AP$11,MATCH(ROW(),Lists!$AN$2:$AN$11,0)),"")&lt;&gt;"",IFERROR(INDEX(Lists!$AP$2:$AP$11,MATCH(ROW(),Lists!$AN$2:$AN$11,0)),""),IF(OR(LEFT($AJ287,3)="COE",$AJ287="EGI"),$AP287,IF($AR287&lt;&gt;"Squad",$AR287,$AP287))))</f>
        <v>Leadership</v>
      </c>
    </row>
    <row r="288" ht="18" customHeight="1" s="866">
      <c r="A288" s="1155" t="n"/>
      <c r="B288" s="1156" t="inlineStr">
        <is>
          <t>John Forde</t>
        </is>
      </c>
      <c r="C288" s="1156" t="inlineStr">
        <is>
          <t>Enterprise Architect</t>
        </is>
      </c>
      <c r="D288" s="1156" t="inlineStr">
        <is>
          <t>Vacant</t>
        </is>
      </c>
      <c r="E288" s="1156" t="inlineStr">
        <is>
          <t>Head of Architecture</t>
        </is>
      </c>
      <c r="F288" s="1257" t="inlineStr">
        <is>
          <t>Strategy, Architecture &amp; Data</t>
        </is>
      </c>
      <c r="G288" s="1158" t="inlineStr">
        <is>
          <t>Architecture</t>
        </is>
      </c>
      <c r="H288" s="1199" t="inlineStr">
        <is>
          <t>Architecture</t>
        </is>
      </c>
      <c r="I288" s="1199" t="inlineStr">
        <is>
          <t>COE - Strategy, Architecture, Data</t>
        </is>
      </c>
      <c r="J288" s="1199" t="n"/>
      <c r="K288" s="1158" t="n"/>
      <c r="L288" s="1158" t="n"/>
      <c r="M288" s="1159" t="inlineStr">
        <is>
          <t>NZ</t>
        </is>
      </c>
      <c r="N288" s="1160" t="inlineStr">
        <is>
          <t>CSB</t>
        </is>
      </c>
      <c r="O288" s="1160" t="n">
        <v>1</v>
      </c>
      <c r="P288" s="1160" t="n"/>
      <c r="Q288" s="1160" t="inlineStr">
        <is>
          <t>Permanent - Full Time</t>
        </is>
      </c>
      <c r="R288" s="1172" t="n"/>
      <c r="S288" s="1162" t="n"/>
      <c r="T288" s="1163" t="n">
        <v>186780</v>
      </c>
      <c r="U288" s="1164" t="n">
        <v>171837.6</v>
      </c>
      <c r="V288" s="1165" t="n">
        <v>0.15</v>
      </c>
      <c r="W288" s="1162" t="n"/>
      <c r="X288" s="1166" t="n">
        <v>0.05</v>
      </c>
      <c r="Y288" s="1907" t="n">
        <v>2910</v>
      </c>
      <c r="Z288" s="1166" t="n">
        <v>0.03</v>
      </c>
      <c r="AA288" s="1168">
        <f>IF(TRIM($B288)="","",IF(N($AU288)&gt;0,$AU288,IF(N($S288)&gt;0,$S288*Lists!$AG$15*(1+N($Z288)),N($U288)*(1+N($V288)+N($W288)+N($X288)+N($Z288))+N($Y288))))</f>
        <v>214270.248</v>
      </c>
      <c r="AJ288" s="865" t="str">
        <f>IF(TRIM($B288)="","",IF(IFERROR(INDEX(Lists!$AO$2:$AO$11,MATCH(ROW(),Lists!$AN$2:$AN$11,0)),"")&lt;&gt;"",IFERROR(INDEX(Lists!$AO$2:$AO$11,MATCH(ROW(),Lists!$AN$2:$AN$11,0)),""),IFERROR(INDEX(Lists!$U:$U,MATCH(TRIM($I288),Lists!$T:$T,0)),TRIM($I288))))</f>
        <v>COE SA&amp;D</v>
      </c>
      <c r="AK288" s="865" t="str">
        <f>IF(ISNUMBER(SEARCH("vacant",$B288)),"Vacant","Filled")</f>
        <v>Filled</v>
      </c>
      <c r="AL288" s="865" t="str">
        <f>IF($M288="NZ","NZ","AU")</f>
        <v>NZ</v>
      </c>
      <c r="AM288" s="865">
        <f>COUNTIF($AJ$2:$AJ288,$AJ288)</f>
        <v>4</v>
      </c>
      <c r="AN288" s="865" t="str">
        <f>$AJ288&amp;"|"&amp;$AM288</f>
        <v>COE SA&amp;D|4</v>
      </c>
      <c r="AP288" s="865" t="str">
        <f>IF(TRIM($B288)="","",IF($AQ288=1,"Leadership",IFERROR(INDEX(Lists!$X:$X,MATCH(TRIM($K288),Lists!$W:$W,0)),IF(OR(TRIM($K288)="",LOWER(TRIM($K288))="na"),IF(TRIM($G288)="","Unassigned",TRIM($G288)),TRIM($K288)))))</f>
        <v>Architecture</v>
      </c>
      <c r="AQ288" s="865" t="b">
        <f>IF(TRIM($B288)="","",--OR(TRIM($K288)="Leadership",TRIM($J288)="Leadership"))</f>
        <v>0</v>
      </c>
      <c r="AR288" s="1136" t="str">
        <f>IF(TRIM($B288)="","",IF(IFERROR(INDEX(Lists!$AQ$2:$AQ$11,MATCH(ROW(),Lists!$AN$2:$AN$11,0)),"")&lt;&gt;"",IFERROR(INDEX(Lists!$AQ$2:$AQ$11,MATCH(ROW(),Lists!$AN$2:$AN$11,0)),""),IF(ISNUMBER(SEARCH("head of ",$C288)),"Head of Technology",IF(ISNUMBER(SEARCH("TDD BP",$C288)),"Business Partner",IF(OR(ISNUMBER(SEARCH("domain architect",$C288)),ISNUMBER(SEARCH("enterprise architect",$C288))),"Domain Architect",IF(ISNUMBER(SEARCH("delivery man",$C288)),"Delivery Manager",IF(OR(ISNUMBER(SEARCH("technology manager",$C288)),ISNUMBER(SEARCH("technology manger",$C288)),ISNUMBER(SEARCH("tech manager",$C288))),"Technology Manager","Squad")))))))</f>
        <v>Domain Architect</v>
      </c>
      <c r="AS288" s="1136" t="str">
        <f>IF(TRIM($B288)="","",IFERROR(INDEX(Lists!$AA:$AA,MATCH($AP288,Lists!$Z:$Z,0)),$AP288))</f>
        <v>Architecture</v>
      </c>
      <c r="AT288" s="1136" t="str">
        <f>IF(TRIM($B288)="","",IF(IFERROR(INDEX(Lists!$AP$2:$AP$11,MATCH(ROW(),Lists!$AN$2:$AN$11,0)),"")&lt;&gt;"",IFERROR(INDEX(Lists!$AP$2:$AP$11,MATCH(ROW(),Lists!$AN$2:$AN$11,0)),""),IF(OR(LEFT($AJ288,3)="COE",$AJ288="EGI"),$AP288,IF($AR288&lt;&gt;"Squad",$AR288,$AP288))))</f>
        <v>Architecture</v>
      </c>
    </row>
    <row r="289" ht="18" customHeight="1" s="866">
      <c r="A289" s="1155" t="n">
        <v>114067</v>
      </c>
      <c r="B289" s="1156" t="inlineStr">
        <is>
          <t>Jonathan Robinson</t>
        </is>
      </c>
      <c r="C289" s="1156" t="inlineStr">
        <is>
          <t>Technology Manager  Data Science</t>
        </is>
      </c>
      <c r="D289" s="1156" t="inlineStr">
        <is>
          <t>James Holgate</t>
        </is>
      </c>
      <c r="E289" s="1156" t="inlineStr">
        <is>
          <t>Head of Technology,  Group Data</t>
        </is>
      </c>
      <c r="F289" s="1257" t="inlineStr">
        <is>
          <t>Strategy, Architecture &amp; Data</t>
        </is>
      </c>
      <c r="G289" s="1158" t="inlineStr">
        <is>
          <t>Group Data</t>
        </is>
      </c>
      <c r="H289" s="1158" t="inlineStr">
        <is>
          <t>Data Science</t>
        </is>
      </c>
      <c r="I289" s="1199" t="inlineStr">
        <is>
          <t>Enterprise Data</t>
        </is>
      </c>
      <c r="J289" s="1199" t="inlineStr">
        <is>
          <t>Leadership</t>
        </is>
      </c>
      <c r="K289" s="1158" t="n"/>
      <c r="L289" s="1158" t="n"/>
      <c r="M289" s="1159" t="inlineStr">
        <is>
          <t>Australia</t>
        </is>
      </c>
      <c r="N289" s="1160" t="inlineStr">
        <is>
          <t>CSB</t>
        </is>
      </c>
      <c r="O289" s="1160" t="n">
        <v>1</v>
      </c>
      <c r="P289" s="1160" t="n"/>
      <c r="Q289" s="1160" t="inlineStr">
        <is>
          <t>Permanent - Full Time</t>
        </is>
      </c>
      <c r="R289" s="1162" t="n"/>
      <c r="S289" s="1162" t="n"/>
      <c r="T289" s="1163" t="n">
        <v>243850</v>
      </c>
      <c r="U289" s="1164" t="n">
        <v>243850</v>
      </c>
      <c r="V289" s="1166" t="n">
        <v>0.14</v>
      </c>
      <c r="W289" s="1170" t="n">
        <v>0.055</v>
      </c>
      <c r="X289" s="1170" t="n">
        <v>0.12</v>
      </c>
      <c r="Y289" s="1171" t="n"/>
      <c r="Z289" s="1170" t="n">
        <v>0.04</v>
      </c>
      <c r="AA289" s="1168">
        <f>IF(TRIM($B289)="","",IF(N($AU289)&gt;0,$AU289,IF(N($S289)&gt;0,$S289*Lists!$AG$15*(1+N($Z289)),N($U289)*(1+N($V289)+N($W289)+N($X289)+N($Z289))+N($Y289))))</f>
        <v>330416.75</v>
      </c>
      <c r="AJ289" s="865" t="str">
        <f>IF(TRIM($B289)="","",IF(IFERROR(INDEX(Lists!$AO$2:$AO$11,MATCH(ROW(),Lists!$AN$2:$AN$11,0)),"")&lt;&gt;"",IFERROR(INDEX(Lists!$AO$2:$AO$11,MATCH(ROW(),Lists!$AN$2:$AN$11,0)),""),IFERROR(INDEX(Lists!$U:$U,MATCH(TRIM($I289),Lists!$T:$T,0)),TRIM($I289))))</f>
        <v>Enterprise Data</v>
      </c>
      <c r="AK289" s="865" t="str">
        <f>IF(ISNUMBER(SEARCH("vacant",$B289)),"Vacant","Filled")</f>
        <v>Filled</v>
      </c>
      <c r="AL289" s="865" t="str">
        <f>IF($M289="NZ","NZ","AU")</f>
        <v>AU</v>
      </c>
      <c r="AM289" s="865">
        <f>COUNTIF($AJ$2:$AJ289,$AJ289)</f>
        <v>7</v>
      </c>
      <c r="AN289" s="865" t="str">
        <f>$AJ289&amp;"|"&amp;$AM289</f>
        <v>Enterprise Data|7</v>
      </c>
      <c r="AP289" s="1136" t="str">
        <f>IF(TRIM($B289)="","",IF($AQ289=1,"Leadership",IFERROR(INDEX(Lists!$X:$X,MATCH(TRIM($K289),Lists!$W:$W,0)),IF(OR(TRIM($K289)="",LOWER(TRIM($K289))="na"),IF(TRIM($G289)="","Unassigned",TRIM($G289)),TRIM($K289)))))</f>
        <v>Leadership</v>
      </c>
      <c r="AQ289" s="865" t="b">
        <f>IF(TRIM($B289)="","",--OR(TRIM($K289)="Leadership",TRIM($J289)="Leadership"))</f>
        <v>1</v>
      </c>
      <c r="AR289" s="1136" t="str">
        <f>IF(TRIM($B289)="","",IF(IFERROR(INDEX(Lists!$AQ$2:$AQ$11,MATCH(ROW(),Lists!$AN$2:$AN$11,0)),"")&lt;&gt;"",IFERROR(INDEX(Lists!$AQ$2:$AQ$11,MATCH(ROW(),Lists!$AN$2:$AN$11,0)),""),IF(ISNUMBER(SEARCH("head of ",$C289)),"Head of Technology",IF(ISNUMBER(SEARCH("TDD BP",$C289)),"Business Partner",IF(OR(ISNUMBER(SEARCH("domain architect",$C289)),ISNUMBER(SEARCH("enterprise architect",$C289))),"Domain Architect",IF(ISNUMBER(SEARCH("delivery man",$C289)),"Delivery Manager",IF(OR(ISNUMBER(SEARCH("technology manager",$C289)),ISNUMBER(SEARCH("technology manger",$C289)),ISNUMBER(SEARCH("tech manager",$C289))),"Technology Manager","Squad")))))))</f>
        <v>Technology Manager</v>
      </c>
      <c r="AS289" s="1136" t="str">
        <f>IF(TRIM($B289)="","",IFERROR(INDEX(Lists!$AA:$AA,MATCH($AP289,Lists!$Z:$Z,0)),$AP289))</f>
        <v>Leadership</v>
      </c>
      <c r="AT289" s="1136" t="str">
        <f>IF(TRIM($B289)="","",IF(IFERROR(INDEX(Lists!$AP$2:$AP$11,MATCH(ROW(),Lists!$AN$2:$AN$11,0)),"")&lt;&gt;"",IFERROR(INDEX(Lists!$AP$2:$AP$11,MATCH(ROW(),Lists!$AN$2:$AN$11,0)),""),IF(OR(LEFT($AJ289,3)="COE",$AJ289="EGI"),$AP289,IF($AR289&lt;&gt;"Squad",$AR289,$AP289))))</f>
        <v>Technology Manager</v>
      </c>
    </row>
    <row r="290" ht="18" customHeight="1" s="866">
      <c r="A290" s="1155" t="n">
        <v>80477</v>
      </c>
      <c r="B290" s="1156" t="inlineStr">
        <is>
          <t>Kina Birkby</t>
        </is>
      </c>
      <c r="C290" s="1156" t="inlineStr">
        <is>
          <t>Delivery Lead</t>
        </is>
      </c>
      <c r="D290" s="1156" t="inlineStr">
        <is>
          <t>Joel Vijayakumar</t>
        </is>
      </c>
      <c r="E290" s="1156" t="inlineStr">
        <is>
          <t>Delivery Manager, Strategy, Architecture &amp; Data</t>
        </is>
      </c>
      <c r="F290" s="1257" t="inlineStr">
        <is>
          <t>Strategy, Architecture &amp; Data</t>
        </is>
      </c>
      <c r="G290" s="1158" t="inlineStr">
        <is>
          <t>Delivery, SADA</t>
        </is>
      </c>
      <c r="H290" s="1158" t="n"/>
      <c r="I290" s="1199" t="inlineStr">
        <is>
          <t>Enterprise Data</t>
        </is>
      </c>
      <c r="J290" s="1199" t="inlineStr">
        <is>
          <t>Group Data</t>
        </is>
      </c>
      <c r="K290" s="1199" t="inlineStr">
        <is>
          <t>Reporting &amp; Analytics</t>
        </is>
      </c>
      <c r="L290" s="1158" t="n"/>
      <c r="M290" s="1159" t="inlineStr">
        <is>
          <t>Australia</t>
        </is>
      </c>
      <c r="N290" s="1162" t="inlineStr">
        <is>
          <t>CIC</t>
        </is>
      </c>
      <c r="O290" s="1162" t="n">
        <v>0.6</v>
      </c>
      <c r="P290" s="1162" t="n"/>
      <c r="Q290" s="1162" t="inlineStr">
        <is>
          <t>Permanent - Part Time</t>
        </is>
      </c>
      <c r="R290" s="1162" t="n"/>
      <c r="S290" s="1162" t="n"/>
      <c r="T290" s="1163" t="n">
        <v>197180</v>
      </c>
      <c r="U290" s="1164" t="n">
        <v>197180</v>
      </c>
      <c r="V290" s="1166" t="n">
        <v>0.12</v>
      </c>
      <c r="W290" s="1170" t="n">
        <v>0.055</v>
      </c>
      <c r="X290" s="1170" t="n">
        <v>0.12</v>
      </c>
      <c r="Y290" s="1171" t="n"/>
      <c r="Z290" s="1170" t="n">
        <v>0.04</v>
      </c>
      <c r="AA290" s="1168">
        <f>IF(TRIM($B290)="","",IF(N($AU290)&gt;0,$AU290,IF(N($S290)&gt;0,$S290*Lists!$AG$15*(1+N($Z290)),N($U290)*(1+N($V290)+N($W290)+N($X290)+N($Z290))+N($Y290))))</f>
        <v>263235.3</v>
      </c>
      <c r="AJ290" s="865" t="str">
        <f>IF(TRIM($B290)="","",IF(IFERROR(INDEX(Lists!$AO$2:$AO$11,MATCH(ROW(),Lists!$AN$2:$AN$11,0)),"")&lt;&gt;"",IFERROR(INDEX(Lists!$AO$2:$AO$11,MATCH(ROW(),Lists!$AN$2:$AN$11,0)),""),IFERROR(INDEX(Lists!$U:$U,MATCH(TRIM($I290),Lists!$T:$T,0)),TRIM($I290))))</f>
        <v>Enterprise Data</v>
      </c>
      <c r="AK290" s="865" t="str">
        <f>IF(ISNUMBER(SEARCH("vacant",$B290)),"Vacant","Filled")</f>
        <v>Filled</v>
      </c>
      <c r="AL290" s="865" t="str">
        <f>IF($M290="NZ","NZ","AU")</f>
        <v>AU</v>
      </c>
      <c r="AM290" s="865">
        <f>COUNTIF($AJ$2:$AJ290,$AJ290)</f>
        <v>8</v>
      </c>
      <c r="AN290" s="865" t="str">
        <f>$AJ290&amp;"|"&amp;$AM290</f>
        <v>Enterprise Data|8</v>
      </c>
      <c r="AP290" s="865" t="str">
        <f>IF(TRIM($B290)="","",IF($AQ290=1,"Leadership",IFERROR(INDEX(Lists!$X:$X,MATCH(TRIM($K290),Lists!$W:$W,0)),IF(OR(TRIM($K290)="",LOWER(TRIM($K290))="na"),IF(TRIM($G290)="","Unassigned",TRIM($G290)),TRIM($K290)))))</f>
        <v>Reporting &amp; Analytics</v>
      </c>
      <c r="AQ290" s="865" t="b">
        <f>IF(TRIM($B290)="","",--OR(TRIM($K290)="Leadership",TRIM($J290)="Leadership"))</f>
        <v>0</v>
      </c>
      <c r="AR290" s="1136" t="str">
        <f>IF(TRIM($B290)="","",IF(IFERROR(INDEX(Lists!$AQ$2:$AQ$11,MATCH(ROW(),Lists!$AN$2:$AN$11,0)),"")&lt;&gt;"",IFERROR(INDEX(Lists!$AQ$2:$AQ$11,MATCH(ROW(),Lists!$AN$2:$AN$11,0)),""),IF(ISNUMBER(SEARCH("head of ",$C290)),"Head of Technology",IF(ISNUMBER(SEARCH("TDD BP",$C290)),"Business Partner",IF(OR(ISNUMBER(SEARCH("domain architect",$C290)),ISNUMBER(SEARCH("enterprise architect",$C290))),"Domain Architect",IF(ISNUMBER(SEARCH("delivery man",$C290)),"Delivery Manager",IF(OR(ISNUMBER(SEARCH("technology manager",$C290)),ISNUMBER(SEARCH("technology manger",$C290)),ISNUMBER(SEARCH("tech manager",$C290))),"Technology Manager","Squad")))))))</f>
        <v>Squad</v>
      </c>
      <c r="AS290" s="1136" t="str">
        <f>IF(TRIM($B290)="","",IFERROR(INDEX(Lists!$AA:$AA,MATCH($AP290,Lists!$Z:$Z,0)),$AP290))</f>
        <v>Reporting &amp; Analytics</v>
      </c>
      <c r="AT290" s="1136" t="str">
        <f>IF(TRIM($B290)="","",IF(IFERROR(INDEX(Lists!$AP$2:$AP$11,MATCH(ROW(),Lists!$AN$2:$AN$11,0)),"")&lt;&gt;"",IFERROR(INDEX(Lists!$AP$2:$AP$11,MATCH(ROW(),Lists!$AN$2:$AN$11,0)),""),IF(OR(LEFT($AJ290,3)="COE",$AJ290="EGI"),$AP290,IF($AR290&lt;&gt;"Squad",$AR290,$AP290))))</f>
        <v>Reporting &amp; Analytics</v>
      </c>
    </row>
    <row r="291" ht="18" customHeight="1" s="866">
      <c r="A291" s="1155" t="n">
        <v>99999101535</v>
      </c>
      <c r="B291" s="1156" t="inlineStr">
        <is>
          <t>Lynn Yiew</t>
        </is>
      </c>
      <c r="C291" s="1156" t="inlineStr">
        <is>
          <t>Data Governance Specialist</t>
        </is>
      </c>
      <c r="D291" s="1158" t="inlineStr">
        <is>
          <t>Sanjay Tikoo</t>
        </is>
      </c>
      <c r="E291" s="1156" t="inlineStr">
        <is>
          <t>Data Capability Manager</t>
        </is>
      </c>
      <c r="F291" s="1257" t="inlineStr">
        <is>
          <t>Strategy, Architecture &amp; Data</t>
        </is>
      </c>
      <c r="G291" s="1158" t="inlineStr">
        <is>
          <t>Group Data</t>
        </is>
      </c>
      <c r="H291" s="1158" t="inlineStr">
        <is>
          <t>Data Capability</t>
        </is>
      </c>
      <c r="I291" s="1199" t="inlineStr">
        <is>
          <t>COE - Strategy, Architecture, Data</t>
        </is>
      </c>
      <c r="J291" s="1199" t="n"/>
      <c r="K291" s="1158" t="n"/>
      <c r="L291" s="1158" t="n"/>
      <c r="M291" s="1159" t="inlineStr">
        <is>
          <t>NZ</t>
        </is>
      </c>
      <c r="N291" s="1160" t="inlineStr">
        <is>
          <t>CIB</t>
        </is>
      </c>
      <c r="O291" s="1161" t="n">
        <v>1</v>
      </c>
      <c r="P291" s="1160" t="n"/>
      <c r="Q291" s="1161" t="inlineStr">
        <is>
          <t>Permanent - Full Time</t>
        </is>
      </c>
      <c r="R291" s="1162" t="n"/>
      <c r="S291" s="1162" t="n"/>
      <c r="T291" s="1163" t="n">
        <v>129760</v>
      </c>
      <c r="U291" s="1164" t="n">
        <v>119379.2</v>
      </c>
      <c r="V291" s="1165" t="n">
        <v>0.15</v>
      </c>
      <c r="W291" s="1162" t="n"/>
      <c r="X291" s="1166" t="n">
        <v>0.05</v>
      </c>
      <c r="Y291" s="1907" t="n">
        <v>2910</v>
      </c>
      <c r="Z291" s="1166" t="n">
        <v>0.03</v>
      </c>
      <c r="AA291" s="1168">
        <f>IF(TRIM($B291)="","",IF(N($AU291)&gt;0,$AU291,IF(N($S291)&gt;0,$S291*Lists!$AG$15*(1+N($Z291)),N($U291)*(1+N($V291)+N($W291)+N($X291)+N($Z291))+N($Y291))))</f>
        <v>149746.416</v>
      </c>
      <c r="AB291" s="1248" t="n">
        <v>113582</v>
      </c>
      <c r="AH291" s="1908" t="n"/>
      <c r="AJ291" s="865" t="str">
        <f>IF(TRIM($B291)="","",IF(IFERROR(INDEX(Lists!$AO$2:$AO$11,MATCH(ROW(),Lists!$AN$2:$AN$11,0)),"")&lt;&gt;"",IFERROR(INDEX(Lists!$AO$2:$AO$11,MATCH(ROW(),Lists!$AN$2:$AN$11,0)),""),IFERROR(INDEX(Lists!$U:$U,MATCH(TRIM($I291),Lists!$T:$T,0)),TRIM($I291))))</f>
        <v>COE SA&amp;D</v>
      </c>
      <c r="AK291" s="865" t="str">
        <f>IF(ISNUMBER(SEARCH("vacant",$B291)),"Vacant","Filled")</f>
        <v>Filled</v>
      </c>
      <c r="AL291" s="865" t="str">
        <f>IF($M291="NZ","NZ","AU")</f>
        <v>NZ</v>
      </c>
      <c r="AM291" s="865">
        <f>COUNTIF($AJ$2:$AJ291,$AJ291)</f>
        <v>5</v>
      </c>
      <c r="AN291" s="865" t="str">
        <f>$AJ291&amp;"|"&amp;$AM291</f>
        <v>COE SA&amp;D|5</v>
      </c>
      <c r="AP291" s="865" t="str">
        <f>IF(TRIM($B291)="","",IF($AQ291=1,"Leadership",IFERROR(INDEX(Lists!$X:$X,MATCH(TRIM($K291),Lists!$W:$W,0)),IF(OR(TRIM($K291)="",LOWER(TRIM($K291))="na"),IF(TRIM($G291)="","Unassigned",TRIM($G291)),TRIM($K291)))))</f>
        <v>Group Data</v>
      </c>
      <c r="AQ291" s="865" t="b">
        <f>IF(TRIM($B291)="","",--OR(TRIM($K291)="Leadership",TRIM($J291)="Leadership"))</f>
        <v>0</v>
      </c>
      <c r="AR291" s="1136" t="str">
        <f>IF(TRIM($B291)="","",IF(IFERROR(INDEX(Lists!$AQ$2:$AQ$11,MATCH(ROW(),Lists!$AN$2:$AN$11,0)),"")&lt;&gt;"",IFERROR(INDEX(Lists!$AQ$2:$AQ$11,MATCH(ROW(),Lists!$AN$2:$AN$11,0)),""),IF(ISNUMBER(SEARCH("head of ",$C291)),"Head of Technology",IF(ISNUMBER(SEARCH("TDD BP",$C291)),"Business Partner",IF(OR(ISNUMBER(SEARCH("domain architect",$C291)),ISNUMBER(SEARCH("enterprise architect",$C291))),"Domain Architect",IF(ISNUMBER(SEARCH("delivery man",$C291)),"Delivery Manager",IF(OR(ISNUMBER(SEARCH("technology manager",$C291)),ISNUMBER(SEARCH("technology manger",$C291)),ISNUMBER(SEARCH("tech manager",$C291))),"Technology Manager","Squad")))))))</f>
        <v>Squad</v>
      </c>
      <c r="AS291" s="1136" t="str">
        <f>IF(TRIM($B291)="","",IFERROR(INDEX(Lists!$AA:$AA,MATCH($AP291,Lists!$Z:$Z,0)),$AP291))</f>
        <v>Group Data</v>
      </c>
      <c r="AT291" s="1136" t="str">
        <f>IF(TRIM($B291)="","",IF(IFERROR(INDEX(Lists!$AP$2:$AP$11,MATCH(ROW(),Lists!$AN$2:$AN$11,0)),"")&lt;&gt;"",IFERROR(INDEX(Lists!$AP$2:$AP$11,MATCH(ROW(),Lists!$AN$2:$AN$11,0)),""),IF(OR(LEFT($AJ291,3)="COE",$AJ291="EGI"),$AP291,IF($AR291&lt;&gt;"Squad",$AR291,$AP291))))</f>
        <v>Group Data</v>
      </c>
    </row>
    <row r="292" ht="18" customHeight="1" s="866">
      <c r="A292" s="1162" t="n">
        <v>113595</v>
      </c>
      <c r="B292" s="1155" t="inlineStr">
        <is>
          <t>Mike Gilbert</t>
        </is>
      </c>
      <c r="C292" s="1156" t="inlineStr">
        <is>
          <t xml:space="preserve">Domain Architect - CFE &amp; Infrastructure </t>
        </is>
      </c>
      <c r="D292" s="1156" t="inlineStr">
        <is>
          <t>Vacant</t>
        </is>
      </c>
      <c r="E292" s="1156" t="inlineStr">
        <is>
          <t>Head of Architecture</t>
        </is>
      </c>
      <c r="F292" s="1257" t="inlineStr">
        <is>
          <t>Strategy, Architecture &amp; Data</t>
        </is>
      </c>
      <c r="G292" s="1158" t="inlineStr">
        <is>
          <t>Architecture</t>
        </is>
      </c>
      <c r="H292" s="1199" t="inlineStr">
        <is>
          <t>Architecture</t>
        </is>
      </c>
      <c r="I292" s="1199" t="inlineStr">
        <is>
          <t>COE - Strategy, Architecture, Data</t>
        </is>
      </c>
      <c r="J292" s="1199" t="n"/>
      <c r="K292" s="1158" t="n"/>
      <c r="L292" s="1158" t="n"/>
      <c r="M292" s="1159" t="inlineStr">
        <is>
          <t>NZ</t>
        </is>
      </c>
      <c r="N292" s="1160" t="inlineStr">
        <is>
          <t>CSB</t>
        </is>
      </c>
      <c r="O292" s="1160" t="n">
        <v>1</v>
      </c>
      <c r="P292" s="1160" t="n"/>
      <c r="Q292" s="1160" t="inlineStr">
        <is>
          <t>Permanent - Full Time</t>
        </is>
      </c>
      <c r="R292" s="1162" t="n"/>
      <c r="S292" s="1162" t="n"/>
      <c r="T292" s="1163" t="n">
        <v>206740</v>
      </c>
      <c r="U292" s="1164" t="n">
        <v>190200.8</v>
      </c>
      <c r="V292" s="1165" t="n">
        <v>0.15</v>
      </c>
      <c r="W292" s="1162" t="n"/>
      <c r="X292" s="1166" t="n">
        <v>0.05</v>
      </c>
      <c r="Y292" s="1907" t="n">
        <v>2910</v>
      </c>
      <c r="Z292" s="1166" t="n">
        <v>0.03</v>
      </c>
      <c r="AA292" s="1168">
        <f>IF(TRIM($B292)="","",IF(N($AU292)&gt;0,$AU292,IF(N($S292)&gt;0,$S292*Lists!$AG$15*(1+N($Z292)),N($U292)*(1+N($V292)+N($W292)+N($X292)+N($Z292))+N($Y292))))</f>
        <v>236856.984</v>
      </c>
      <c r="AJ292" s="865" t="str">
        <f>IF(TRIM($B292)="","",IF(IFERROR(INDEX(Lists!$AO$2:$AO$11,MATCH(ROW(),Lists!$AN$2:$AN$11,0)),"")&lt;&gt;"",IFERROR(INDEX(Lists!$AO$2:$AO$11,MATCH(ROW(),Lists!$AN$2:$AN$11,0)),""),IFERROR(INDEX(Lists!$U:$U,MATCH(TRIM($I292),Lists!$T:$T,0)),TRIM($I292))))</f>
        <v>COE SA&amp;D</v>
      </c>
      <c r="AK292" s="865" t="str">
        <f>IF(ISNUMBER(SEARCH("vacant",$B292)),"Vacant","Filled")</f>
        <v>Filled</v>
      </c>
      <c r="AL292" s="865" t="str">
        <f>IF($M292="NZ","NZ","AU")</f>
        <v>NZ</v>
      </c>
      <c r="AM292" s="865">
        <f>COUNTIF($AJ$2:$AJ292,$AJ292)</f>
        <v>6</v>
      </c>
      <c r="AN292" s="865" t="str">
        <f>$AJ292&amp;"|"&amp;$AM292</f>
        <v>COE SA&amp;D|6</v>
      </c>
      <c r="AP292" s="865" t="str">
        <f>IF(TRIM($B292)="","",IF($AQ292=1,"Leadership",IFERROR(INDEX(Lists!$X:$X,MATCH(TRIM($K292),Lists!$W:$W,0)),IF(OR(TRIM($K292)="",LOWER(TRIM($K292))="na"),IF(TRIM($G292)="","Unassigned",TRIM($G292)),TRIM($K292)))))</f>
        <v>Architecture</v>
      </c>
      <c r="AQ292" s="865" t="b">
        <f>IF(TRIM($B292)="","",--OR(TRIM($K292)="Leadership",TRIM($J292)="Leadership"))</f>
        <v>0</v>
      </c>
      <c r="AR292" s="1136" t="str">
        <f>IF(TRIM($B292)="","",IF(IFERROR(INDEX(Lists!$AQ$2:$AQ$11,MATCH(ROW(),Lists!$AN$2:$AN$11,0)),"")&lt;&gt;"",IFERROR(INDEX(Lists!$AQ$2:$AQ$11,MATCH(ROW(),Lists!$AN$2:$AN$11,0)),""),IF(ISNUMBER(SEARCH("head of ",$C292)),"Head of Technology",IF(ISNUMBER(SEARCH("TDD BP",$C292)),"Business Partner",IF(OR(ISNUMBER(SEARCH("domain architect",$C292)),ISNUMBER(SEARCH("enterprise architect",$C292))),"Domain Architect",IF(ISNUMBER(SEARCH("delivery man",$C292)),"Delivery Manager",IF(OR(ISNUMBER(SEARCH("technology manager",$C292)),ISNUMBER(SEARCH("technology manger",$C292)),ISNUMBER(SEARCH("tech manager",$C292))),"Technology Manager","Squad")))))))</f>
        <v>Domain Architect</v>
      </c>
      <c r="AS292" s="1136" t="str">
        <f>IF(TRIM($B292)="","",IFERROR(INDEX(Lists!$AA:$AA,MATCH($AP292,Lists!$Z:$Z,0)),$AP292))</f>
        <v>Architecture</v>
      </c>
      <c r="AT292" s="1136" t="str">
        <f>IF(TRIM($B292)="","",IF(IFERROR(INDEX(Lists!$AP$2:$AP$11,MATCH(ROW(),Lists!$AN$2:$AN$11,0)),"")&lt;&gt;"",IFERROR(INDEX(Lists!$AP$2:$AP$11,MATCH(ROW(),Lists!$AN$2:$AN$11,0)),""),IF(OR(LEFT($AJ292,3)="COE",$AJ292="EGI"),$AP292,IF($AR292&lt;&gt;"Squad",$AR292,$AP292))))</f>
        <v>Architecture</v>
      </c>
    </row>
    <row r="293" ht="18" customHeight="1" s="866">
      <c r="A293" s="1155" t="n">
        <v>100330</v>
      </c>
      <c r="B293" s="1156" t="inlineStr">
        <is>
          <t>Milan Patel</t>
        </is>
      </c>
      <c r="C293" s="1156" t="inlineStr">
        <is>
          <t>Platform Architect</t>
        </is>
      </c>
      <c r="D293" s="1158" t="inlineStr">
        <is>
          <t>Sanjay Tikoo</t>
        </is>
      </c>
      <c r="E293" s="1156" t="inlineStr">
        <is>
          <t>Data Capability Manager</t>
        </is>
      </c>
      <c r="F293" s="1257" t="inlineStr">
        <is>
          <t>Strategy, Architecture &amp; Data</t>
        </is>
      </c>
      <c r="G293" s="1158" t="inlineStr">
        <is>
          <t>Group Data</t>
        </is>
      </c>
      <c r="H293" s="1158" t="inlineStr">
        <is>
          <t>Data Capability</t>
        </is>
      </c>
      <c r="I293" s="1199" t="inlineStr">
        <is>
          <t>COE - Strategy, Architecture, Data</t>
        </is>
      </c>
      <c r="J293" s="1199" t="n"/>
      <c r="K293" s="1158" t="inlineStr">
        <is>
          <t>Data Platform</t>
        </is>
      </c>
      <c r="L293" s="1158" t="n"/>
      <c r="M293" s="1159" t="inlineStr">
        <is>
          <t>Australia</t>
        </is>
      </c>
      <c r="N293" s="1160" t="inlineStr">
        <is>
          <t>CIC</t>
        </is>
      </c>
      <c r="O293" s="1160" t="n">
        <v>1</v>
      </c>
      <c r="P293" s="1160" t="n"/>
      <c r="Q293" s="1160" t="inlineStr">
        <is>
          <t>Permanent - Full Time</t>
        </is>
      </c>
      <c r="R293" s="1162" t="n"/>
      <c r="S293" s="1162" t="n"/>
      <c r="T293" s="1163" t="n">
        <v>198940</v>
      </c>
      <c r="U293" s="1164" t="n">
        <v>198940</v>
      </c>
      <c r="V293" s="1166" t="n">
        <v>0.12</v>
      </c>
      <c r="W293" s="1170" t="n">
        <v>0.055</v>
      </c>
      <c r="X293" s="1170" t="n">
        <v>0.12</v>
      </c>
      <c r="Y293" s="1171" t="n"/>
      <c r="Z293" s="1170" t="n">
        <v>0.04</v>
      </c>
      <c r="AA293" s="1168">
        <f>IF(TRIM($B293)="","",IF(N($AU293)&gt;0,$AU293,IF(N($S293)&gt;0,$S293*Lists!$AG$15*(1+N($Z293)),N($U293)*(1+N($V293)+N($W293)+N($X293)+N($Z293))+N($Y293))))</f>
        <v>265584.9</v>
      </c>
      <c r="AJ293" s="865" t="str">
        <f>IF(TRIM($B293)="","",IF(IFERROR(INDEX(Lists!$AO$2:$AO$11,MATCH(ROW(),Lists!$AN$2:$AN$11,0)),"")&lt;&gt;"",IFERROR(INDEX(Lists!$AO$2:$AO$11,MATCH(ROW(),Lists!$AN$2:$AN$11,0)),""),IFERROR(INDEX(Lists!$U:$U,MATCH(TRIM($I293),Lists!$T:$T,0)),TRIM($I293))))</f>
        <v>COE SA&amp;D</v>
      </c>
      <c r="AK293" s="865" t="str">
        <f>IF(ISNUMBER(SEARCH("vacant",$B293)),"Vacant","Filled")</f>
        <v>Filled</v>
      </c>
      <c r="AL293" s="865" t="str">
        <f>IF($M293="NZ","NZ","AU")</f>
        <v>AU</v>
      </c>
      <c r="AM293" s="865">
        <f>COUNTIF($AJ$2:$AJ293,$AJ293)</f>
        <v>7</v>
      </c>
      <c r="AN293" s="865" t="str">
        <f>$AJ293&amp;"|"&amp;$AM293</f>
        <v>COE SA&amp;D|7</v>
      </c>
      <c r="AP293" s="865" t="str">
        <f>IF(TRIM($B293)="","",IF($AQ293=1,"Leadership",IFERROR(INDEX(Lists!$X:$X,MATCH(TRIM($K293),Lists!$W:$W,0)),IF(OR(TRIM($K293)="",LOWER(TRIM($K293))="na"),IF(TRIM($G293)="","Unassigned",TRIM($G293)),TRIM($K293)))))</f>
        <v>Data Platforms</v>
      </c>
      <c r="AQ293" s="865" t="b">
        <f>IF(TRIM($B293)="","",--OR(TRIM($K293)="Leadership",TRIM($J293)="Leadership"))</f>
        <v>0</v>
      </c>
      <c r="AR293" s="1136" t="str">
        <f>IF(TRIM($B293)="","",IF(IFERROR(INDEX(Lists!$AQ$2:$AQ$11,MATCH(ROW(),Lists!$AN$2:$AN$11,0)),"")&lt;&gt;"",IFERROR(INDEX(Lists!$AQ$2:$AQ$11,MATCH(ROW(),Lists!$AN$2:$AN$11,0)),""),IF(ISNUMBER(SEARCH("head of ",$C293)),"Head of Technology",IF(ISNUMBER(SEARCH("TDD BP",$C293)),"Business Partner",IF(OR(ISNUMBER(SEARCH("domain architect",$C293)),ISNUMBER(SEARCH("enterprise architect",$C293))),"Domain Architect",IF(ISNUMBER(SEARCH("delivery man",$C293)),"Delivery Manager",IF(OR(ISNUMBER(SEARCH("technology manager",$C293)),ISNUMBER(SEARCH("technology manger",$C293)),ISNUMBER(SEARCH("tech manager",$C293))),"Technology Manager","Squad")))))))</f>
        <v>Squad</v>
      </c>
      <c r="AS293" s="1136" t="str">
        <f>IF(TRIM($B293)="","",IFERROR(INDEX(Lists!$AA:$AA,MATCH($AP293,Lists!$Z:$Z,0)),$AP293))</f>
        <v>Data Platforms</v>
      </c>
      <c r="AT293" s="1136" t="str">
        <f>IF(TRIM($B293)="","",IF(IFERROR(INDEX(Lists!$AP$2:$AP$11,MATCH(ROW(),Lists!$AN$2:$AN$11,0)),"")&lt;&gt;"",IFERROR(INDEX(Lists!$AP$2:$AP$11,MATCH(ROW(),Lists!$AN$2:$AN$11,0)),""),IF(OR(LEFT($AJ293,3)="COE",$AJ293="EGI"),$AP293,IF($AR293&lt;&gt;"Squad",$AR293,$AP293))))</f>
        <v>Data Platforms</v>
      </c>
    </row>
    <row r="294" ht="18" customHeight="1" s="866">
      <c r="A294" s="1155" t="n">
        <v>99522</v>
      </c>
      <c r="B294" s="1156" t="inlineStr">
        <is>
          <t>Mitchell Clarke</t>
        </is>
      </c>
      <c r="C294" s="1156" t="inlineStr">
        <is>
          <t>Snr Data Governance Specialist</t>
        </is>
      </c>
      <c r="D294" s="1158" t="inlineStr">
        <is>
          <t>Sanjay Tikoo</t>
        </is>
      </c>
      <c r="E294" s="1156" t="inlineStr">
        <is>
          <t>Data Capability Manager</t>
        </is>
      </c>
      <c r="F294" s="1257" t="inlineStr">
        <is>
          <t>Strategy, Architecture &amp; Data</t>
        </is>
      </c>
      <c r="G294" s="1158" t="inlineStr">
        <is>
          <t>Group Data</t>
        </is>
      </c>
      <c r="H294" s="1158" t="inlineStr">
        <is>
          <t>Data Capability</t>
        </is>
      </c>
      <c r="I294" s="1199" t="inlineStr">
        <is>
          <t>COE - Strategy, Architecture, Data</t>
        </is>
      </c>
      <c r="J294" s="1199" t="n"/>
      <c r="K294" s="1158" t="n"/>
      <c r="L294" s="1158" t="n"/>
      <c r="M294" s="1159" t="inlineStr">
        <is>
          <t>Australia</t>
        </is>
      </c>
      <c r="N294" s="1160" t="inlineStr">
        <is>
          <t>CIC</t>
        </is>
      </c>
      <c r="O294" s="1160" t="n">
        <v>1</v>
      </c>
      <c r="P294" s="1160" t="n"/>
      <c r="Q294" s="1160" t="inlineStr">
        <is>
          <t>Permanent - Full Time</t>
        </is>
      </c>
      <c r="R294" s="1162" t="n"/>
      <c r="S294" s="1162" t="n"/>
      <c r="T294" s="1163" t="n">
        <v>169280</v>
      </c>
      <c r="U294" s="1164" t="n">
        <v>169280</v>
      </c>
      <c r="V294" s="1166" t="n">
        <v>0.12</v>
      </c>
      <c r="W294" s="1170" t="n">
        <v>0.055</v>
      </c>
      <c r="X294" s="1170" t="n">
        <v>0.12</v>
      </c>
      <c r="Y294" s="1171" t="n"/>
      <c r="Z294" s="1170" t="n">
        <v>0.04</v>
      </c>
      <c r="AA294" s="1168">
        <f>IF(TRIM($B294)="","",IF(N($AU294)&gt;0,$AU294,IF(N($S294)&gt;0,$S294*Lists!$AG$15*(1+N($Z294)),N($U294)*(1+N($V294)+N($W294)+N($X294)+N($Z294))+N($Y294))))</f>
        <v>225988.8</v>
      </c>
      <c r="AJ294" s="865" t="str">
        <f>IF(TRIM($B294)="","",IF(IFERROR(INDEX(Lists!$AO$2:$AO$11,MATCH(ROW(),Lists!$AN$2:$AN$11,0)),"")&lt;&gt;"",IFERROR(INDEX(Lists!$AO$2:$AO$11,MATCH(ROW(),Lists!$AN$2:$AN$11,0)),""),IFERROR(INDEX(Lists!$U:$U,MATCH(TRIM($I294),Lists!$T:$T,0)),TRIM($I294))))</f>
        <v>COE SA&amp;D</v>
      </c>
      <c r="AK294" s="865" t="str">
        <f>IF(ISNUMBER(SEARCH("vacant",$B294)),"Vacant","Filled")</f>
        <v>Filled</v>
      </c>
      <c r="AL294" s="865" t="str">
        <f>IF($M294="NZ","NZ","AU")</f>
        <v>AU</v>
      </c>
      <c r="AM294" s="865">
        <f>COUNTIF($AJ$2:$AJ294,$AJ294)</f>
        <v>8</v>
      </c>
      <c r="AN294" s="865" t="str">
        <f>$AJ294&amp;"|"&amp;$AM294</f>
        <v>COE SA&amp;D|8</v>
      </c>
      <c r="AP294" s="865" t="str">
        <f>IF(TRIM($B294)="","",IF($AQ294=1,"Leadership",IFERROR(INDEX(Lists!$X:$X,MATCH(TRIM($K294),Lists!$W:$W,0)),IF(OR(TRIM($K294)="",LOWER(TRIM($K294))="na"),IF(TRIM($G294)="","Unassigned",TRIM($G294)),TRIM($K294)))))</f>
        <v>Group Data</v>
      </c>
      <c r="AQ294" s="865" t="b">
        <f>IF(TRIM($B294)="","",--OR(TRIM($K294)="Leadership",TRIM($J294)="Leadership"))</f>
        <v>0</v>
      </c>
      <c r="AR294" s="1136" t="str">
        <f>IF(TRIM($B294)="","",IF(IFERROR(INDEX(Lists!$AQ$2:$AQ$11,MATCH(ROW(),Lists!$AN$2:$AN$11,0)),"")&lt;&gt;"",IFERROR(INDEX(Lists!$AQ$2:$AQ$11,MATCH(ROW(),Lists!$AN$2:$AN$11,0)),""),IF(ISNUMBER(SEARCH("head of ",$C294)),"Head of Technology",IF(ISNUMBER(SEARCH("TDD BP",$C294)),"Business Partner",IF(OR(ISNUMBER(SEARCH("domain architect",$C294)),ISNUMBER(SEARCH("enterprise architect",$C294))),"Domain Architect",IF(ISNUMBER(SEARCH("delivery man",$C294)),"Delivery Manager",IF(OR(ISNUMBER(SEARCH("technology manager",$C294)),ISNUMBER(SEARCH("technology manger",$C294)),ISNUMBER(SEARCH("tech manager",$C294))),"Technology Manager","Squad")))))))</f>
        <v>Squad</v>
      </c>
      <c r="AS294" s="1136" t="str">
        <f>IF(TRIM($B294)="","",IFERROR(INDEX(Lists!$AA:$AA,MATCH($AP294,Lists!$Z:$Z,0)),$AP294))</f>
        <v>Group Data</v>
      </c>
      <c r="AT294" s="1136" t="str">
        <f>IF(TRIM($B294)="","",IF(IFERROR(INDEX(Lists!$AP$2:$AP$11,MATCH(ROW(),Lists!$AN$2:$AN$11,0)),"")&lt;&gt;"",IFERROR(INDEX(Lists!$AP$2:$AP$11,MATCH(ROW(),Lists!$AN$2:$AN$11,0)),""),IF(OR(LEFT($AJ294,3)="COE",$AJ294="EGI"),$AP294,IF($AR294&lt;&gt;"Squad",$AR294,$AP294))))</f>
        <v>Group Data</v>
      </c>
    </row>
    <row r="295" ht="18" customHeight="1" s="866">
      <c r="A295" s="1155" t="n">
        <v>107048</v>
      </c>
      <c r="B295" s="1156" t="inlineStr">
        <is>
          <t>Om Singh</t>
        </is>
      </c>
      <c r="C295" s="1156" t="inlineStr">
        <is>
          <t>Data Scientist</t>
        </is>
      </c>
      <c r="D295" s="1156" t="inlineStr">
        <is>
          <t>Jonathan Robinson</t>
        </is>
      </c>
      <c r="E295" s="1156" t="inlineStr">
        <is>
          <t>Technology Manager, Data Science</t>
        </is>
      </c>
      <c r="F295" s="1257" t="inlineStr">
        <is>
          <t>Strategy, Architecture &amp; Data</t>
        </is>
      </c>
      <c r="G295" s="1158" t="inlineStr">
        <is>
          <t>Group Data</t>
        </is>
      </c>
      <c r="H295" s="1199" t="inlineStr">
        <is>
          <t>Data Science</t>
        </is>
      </c>
      <c r="I295" s="1199" t="inlineStr">
        <is>
          <t>Enterprise Data</t>
        </is>
      </c>
      <c r="J295" s="1199" t="inlineStr">
        <is>
          <t>Group Data</t>
        </is>
      </c>
      <c r="K295" s="1158" t="inlineStr">
        <is>
          <t>Data Science</t>
        </is>
      </c>
      <c r="L295" s="1158" t="n"/>
      <c r="M295" s="1159" t="inlineStr">
        <is>
          <t>Australia</t>
        </is>
      </c>
      <c r="N295" s="1160" t="inlineStr">
        <is>
          <t>CIA</t>
        </is>
      </c>
      <c r="O295" s="1160" t="n">
        <v>1</v>
      </c>
      <c r="P295" s="1160" t="n"/>
      <c r="Q295" s="1160" t="inlineStr">
        <is>
          <t>Temporary - Full Time</t>
        </is>
      </c>
      <c r="R295" s="1162" t="n"/>
      <c r="S295" s="1162" t="n"/>
      <c r="T295" s="1163" t="n">
        <v>138000</v>
      </c>
      <c r="U295" s="1164" t="n">
        <v>138000</v>
      </c>
      <c r="V295" s="1166" t="n">
        <v>0.1</v>
      </c>
      <c r="W295" s="1170" t="n">
        <v>0.055</v>
      </c>
      <c r="X295" s="1170" t="n">
        <v>0.12</v>
      </c>
      <c r="Y295" s="1171" t="n"/>
      <c r="Z295" s="1170" t="n">
        <v>0.04</v>
      </c>
      <c r="AA295" s="1168">
        <f>IF(TRIM($B295)="","",IF(N($AU295)&gt;0,$AU295,IF(N($S295)&gt;0,$S295*Lists!$AG$15*(1+N($Z295)),N($U295)*(1+N($V295)+N($W295)+N($X295)+N($Z295))+N($Y295))))</f>
        <v>181470</v>
      </c>
      <c r="AJ295" s="865" t="str">
        <f>IF(TRIM($B295)="","",IF(IFERROR(INDEX(Lists!$AO$2:$AO$11,MATCH(ROW(),Lists!$AN$2:$AN$11,0)),"")&lt;&gt;"",IFERROR(INDEX(Lists!$AO$2:$AO$11,MATCH(ROW(),Lists!$AN$2:$AN$11,0)),""),IFERROR(INDEX(Lists!$U:$U,MATCH(TRIM($I295),Lists!$T:$T,0)),TRIM($I295))))</f>
        <v>Enterprise Data</v>
      </c>
      <c r="AK295" s="865" t="str">
        <f>IF(ISNUMBER(SEARCH("vacant",$B295)),"Vacant","Filled")</f>
        <v>Filled</v>
      </c>
      <c r="AL295" s="865" t="str">
        <f>IF($M295="NZ","NZ","AU")</f>
        <v>AU</v>
      </c>
      <c r="AM295" s="865">
        <f>COUNTIF($AJ$2:$AJ295,$AJ295)</f>
        <v>9</v>
      </c>
      <c r="AN295" s="865" t="str">
        <f>$AJ295&amp;"|"&amp;$AM295</f>
        <v>Enterprise Data|9</v>
      </c>
      <c r="AP295" s="865" t="str">
        <f>IF(TRIM($B295)="","",IF($AQ295=1,"Leadership",IFERROR(INDEX(Lists!$X:$X,MATCH(TRIM($K295),Lists!$W:$W,0)),IF(OR(TRIM($K295)="",LOWER(TRIM($K295))="na"),IF(TRIM($G295)="","Unassigned",TRIM($G295)),TRIM($K295)))))</f>
        <v>Data Science</v>
      </c>
      <c r="AQ295" s="865" t="b">
        <f>IF(TRIM($B295)="","",--OR(TRIM($K295)="Leadership",TRIM($J295)="Leadership"))</f>
        <v>0</v>
      </c>
      <c r="AR295" s="1136" t="str">
        <f>IF(TRIM($B295)="","",IF(IFERROR(INDEX(Lists!$AQ$2:$AQ$11,MATCH(ROW(),Lists!$AN$2:$AN$11,0)),"")&lt;&gt;"",IFERROR(INDEX(Lists!$AQ$2:$AQ$11,MATCH(ROW(),Lists!$AN$2:$AN$11,0)),""),IF(ISNUMBER(SEARCH("head of ",$C295)),"Head of Technology",IF(ISNUMBER(SEARCH("TDD BP",$C295)),"Business Partner",IF(OR(ISNUMBER(SEARCH("domain architect",$C295)),ISNUMBER(SEARCH("enterprise architect",$C295))),"Domain Architect",IF(ISNUMBER(SEARCH("delivery man",$C295)),"Delivery Manager",IF(OR(ISNUMBER(SEARCH("technology manager",$C295)),ISNUMBER(SEARCH("technology manger",$C295)),ISNUMBER(SEARCH("tech manager",$C295))),"Technology Manager","Squad")))))))</f>
        <v>Squad</v>
      </c>
      <c r="AS295" s="1136" t="str">
        <f>IF(TRIM($B295)="","",IFERROR(INDEX(Lists!$AA:$AA,MATCH($AP295,Lists!$Z:$Z,0)),$AP295))</f>
        <v>Data Science</v>
      </c>
      <c r="AT295" s="1136" t="str">
        <f>IF(TRIM($B295)="","",IF(IFERROR(INDEX(Lists!$AP$2:$AP$11,MATCH(ROW(),Lists!$AN$2:$AN$11,0)),"")&lt;&gt;"",IFERROR(INDEX(Lists!$AP$2:$AP$11,MATCH(ROW(),Lists!$AN$2:$AN$11,0)),""),IF(OR(LEFT($AJ295,3)="COE",$AJ295="EGI"),$AP295,IF($AR295&lt;&gt;"Squad",$AR295,$AP295))))</f>
        <v>Data Science</v>
      </c>
    </row>
    <row r="296" ht="18" customHeight="1" s="866">
      <c r="A296" s="1155" t="n">
        <v>107154</v>
      </c>
      <c r="B296" s="1156" t="inlineStr">
        <is>
          <t>Prashant Tataskar</t>
        </is>
      </c>
      <c r="C296" s="1156" t="inlineStr">
        <is>
          <t>Data Scientist</t>
        </is>
      </c>
      <c r="D296" s="1156" t="inlineStr">
        <is>
          <t>Jonathan Robinson</t>
        </is>
      </c>
      <c r="E296" s="1156" t="inlineStr">
        <is>
          <t>Technology Manager, Data Science</t>
        </is>
      </c>
      <c r="F296" s="1257" t="inlineStr">
        <is>
          <t>Strategy, Architecture &amp; Data</t>
        </is>
      </c>
      <c r="G296" s="1158" t="inlineStr">
        <is>
          <t>Group Data</t>
        </is>
      </c>
      <c r="H296" s="1199" t="inlineStr">
        <is>
          <t>Data Science</t>
        </is>
      </c>
      <c r="I296" s="1199" t="inlineStr">
        <is>
          <t>Enterprise Data</t>
        </is>
      </c>
      <c r="J296" s="1199" t="inlineStr">
        <is>
          <t>Group Data</t>
        </is>
      </c>
      <c r="K296" s="1158" t="inlineStr">
        <is>
          <t>Data Science</t>
        </is>
      </c>
      <c r="L296" s="1158" t="n"/>
      <c r="M296" s="1159" t="inlineStr">
        <is>
          <t>Australia</t>
        </is>
      </c>
      <c r="N296" s="1160" t="inlineStr">
        <is>
          <t>CIB</t>
        </is>
      </c>
      <c r="O296" s="1160" t="n">
        <v>1</v>
      </c>
      <c r="P296" s="1160" t="n"/>
      <c r="Q296" s="1160" t="inlineStr">
        <is>
          <t>Permanent - Full Time</t>
        </is>
      </c>
      <c r="R296" s="1162" t="n"/>
      <c r="S296" s="1162" t="n"/>
      <c r="T296" s="1163" t="n">
        <v>156160</v>
      </c>
      <c r="U296" s="1164" t="n">
        <v>156160</v>
      </c>
      <c r="V296" s="1166" t="n">
        <v>0.12</v>
      </c>
      <c r="W296" s="1170" t="n">
        <v>0.055</v>
      </c>
      <c r="X296" s="1170" t="n">
        <v>0.12</v>
      </c>
      <c r="Y296" s="1171" t="n"/>
      <c r="Z296" s="1170" t="n">
        <v>0.04</v>
      </c>
      <c r="AA296" s="1168">
        <f>IF(TRIM($B296)="","",IF(N($AU296)&gt;0,$AU296,IF(N($S296)&gt;0,$S296*Lists!$AG$15*(1+N($Z296)),N($U296)*(1+N($V296)+N($W296)+N($X296)+N($Z296))+N($Y296))))</f>
        <v>208473.6</v>
      </c>
      <c r="AJ296" s="865" t="str">
        <f>IF(TRIM($B296)="","",IF(IFERROR(INDEX(Lists!$AO$2:$AO$11,MATCH(ROW(),Lists!$AN$2:$AN$11,0)),"")&lt;&gt;"",IFERROR(INDEX(Lists!$AO$2:$AO$11,MATCH(ROW(),Lists!$AN$2:$AN$11,0)),""),IFERROR(INDEX(Lists!$U:$U,MATCH(TRIM($I296),Lists!$T:$T,0)),TRIM($I296))))</f>
        <v>Enterprise Data</v>
      </c>
      <c r="AK296" s="865" t="str">
        <f>IF(ISNUMBER(SEARCH("vacant",$B296)),"Vacant","Filled")</f>
        <v>Filled</v>
      </c>
      <c r="AL296" s="865" t="str">
        <f>IF($M296="NZ","NZ","AU")</f>
        <v>AU</v>
      </c>
      <c r="AM296" s="865">
        <f>COUNTIF($AJ$2:$AJ296,$AJ296)</f>
        <v>10</v>
      </c>
      <c r="AN296" s="865" t="str">
        <f>$AJ296&amp;"|"&amp;$AM296</f>
        <v>Enterprise Data|10</v>
      </c>
      <c r="AP296" s="865" t="str">
        <f>IF(TRIM($B296)="","",IF($AQ296=1,"Leadership",IFERROR(INDEX(Lists!$X:$X,MATCH(TRIM($K296),Lists!$W:$W,0)),IF(OR(TRIM($K296)="",LOWER(TRIM($K296))="na"),IF(TRIM($G296)="","Unassigned",TRIM($G296)),TRIM($K296)))))</f>
        <v>Data Science</v>
      </c>
      <c r="AQ296" s="865" t="b">
        <f>IF(TRIM($B296)="","",--OR(TRIM($K296)="Leadership",TRIM($J296)="Leadership"))</f>
        <v>0</v>
      </c>
      <c r="AR296" s="1136" t="str">
        <f>IF(TRIM($B296)="","",IF(IFERROR(INDEX(Lists!$AQ$2:$AQ$11,MATCH(ROW(),Lists!$AN$2:$AN$11,0)),"")&lt;&gt;"",IFERROR(INDEX(Lists!$AQ$2:$AQ$11,MATCH(ROW(),Lists!$AN$2:$AN$11,0)),""),IF(ISNUMBER(SEARCH("head of ",$C296)),"Head of Technology",IF(ISNUMBER(SEARCH("TDD BP",$C296)),"Business Partner",IF(OR(ISNUMBER(SEARCH("domain architect",$C296)),ISNUMBER(SEARCH("enterprise architect",$C296))),"Domain Architect",IF(ISNUMBER(SEARCH("delivery man",$C296)),"Delivery Manager",IF(OR(ISNUMBER(SEARCH("technology manager",$C296)),ISNUMBER(SEARCH("technology manger",$C296)),ISNUMBER(SEARCH("tech manager",$C296))),"Technology Manager","Squad")))))))</f>
        <v>Squad</v>
      </c>
      <c r="AS296" s="1136" t="str">
        <f>IF(TRIM($B296)="","",IFERROR(INDEX(Lists!$AA:$AA,MATCH($AP296,Lists!$Z:$Z,0)),$AP296))</f>
        <v>Data Science</v>
      </c>
      <c r="AT296" s="1136" t="str">
        <f>IF(TRIM($B296)="","",IF(IFERROR(INDEX(Lists!$AP$2:$AP$11,MATCH(ROW(),Lists!$AN$2:$AN$11,0)),"")&lt;&gt;"",IFERROR(INDEX(Lists!$AP$2:$AP$11,MATCH(ROW(),Lists!$AN$2:$AN$11,0)),""),IF(OR(LEFT($AJ296,3)="COE",$AJ296="EGI"),$AP296,IF($AR296&lt;&gt;"Squad",$AR296,$AP296))))</f>
        <v>Data Science</v>
      </c>
    </row>
    <row r="297" ht="18" customHeight="1" s="866">
      <c r="A297" s="1155" t="n">
        <v>113451</v>
      </c>
      <c r="B297" s="1156" t="inlineStr">
        <is>
          <t>Prashanth Krishnankutty</t>
        </is>
      </c>
      <c r="C297" s="1156" t="inlineStr">
        <is>
          <t>Lead Reporting &amp; Insights</t>
        </is>
      </c>
      <c r="D297" s="1156" t="inlineStr">
        <is>
          <t>Jason Gleason</t>
        </is>
      </c>
      <c r="E297" s="1156" t="inlineStr">
        <is>
          <t>Technology Manager, Data Engineering &amp; Platforms</t>
        </is>
      </c>
      <c r="F297" s="1257" t="inlineStr">
        <is>
          <t>Strategy, Architecture &amp; Data</t>
        </is>
      </c>
      <c r="G297" s="1158" t="inlineStr">
        <is>
          <t>Group Data</t>
        </is>
      </c>
      <c r="H297" s="1199" t="inlineStr">
        <is>
          <t>Data Engineering &amp; Platforms</t>
        </is>
      </c>
      <c r="I297" s="1199" t="inlineStr">
        <is>
          <t>Enterprise Data</t>
        </is>
      </c>
      <c r="J297" s="1199" t="inlineStr">
        <is>
          <t>Group Data</t>
        </is>
      </c>
      <c r="K297" s="1199" t="inlineStr">
        <is>
          <t>Reporting &amp; Analytics</t>
        </is>
      </c>
      <c r="L297" s="1158" t="n"/>
      <c r="M297" s="1159" t="inlineStr">
        <is>
          <t>Australia</t>
        </is>
      </c>
      <c r="N297" s="1160" t="inlineStr">
        <is>
          <t>CIC</t>
        </is>
      </c>
      <c r="O297" s="1160" t="n">
        <v>1</v>
      </c>
      <c r="P297" s="1160" t="n"/>
      <c r="Q297" s="1160" t="inlineStr">
        <is>
          <t>Permanent - Full Time</t>
        </is>
      </c>
      <c r="R297" s="1162" t="n"/>
      <c r="S297" s="1162" t="n"/>
      <c r="T297" s="1163" t="n">
        <v>191290</v>
      </c>
      <c r="U297" s="1164" t="n">
        <v>191290</v>
      </c>
      <c r="V297" s="1166" t="n">
        <v>0.12</v>
      </c>
      <c r="W297" s="1170" t="n">
        <v>0.055</v>
      </c>
      <c r="X297" s="1170" t="n">
        <v>0.12</v>
      </c>
      <c r="Y297" s="1171" t="n"/>
      <c r="Z297" s="1170" t="n">
        <v>0.04</v>
      </c>
      <c r="AA297" s="1168">
        <f>IF(TRIM($B297)="","",IF(N($AU297)&gt;0,$AU297,IF(N($S297)&gt;0,$S297*Lists!$AG$15*(1+N($Z297)),N($U297)*(1+N($V297)+N($W297)+N($X297)+N($Z297))+N($Y297))))</f>
        <v>255372.15</v>
      </c>
      <c r="AJ297" s="865" t="str">
        <f>IF(TRIM($B297)="","",IF(IFERROR(INDEX(Lists!$AO$2:$AO$11,MATCH(ROW(),Lists!$AN$2:$AN$11,0)),"")&lt;&gt;"",IFERROR(INDEX(Lists!$AO$2:$AO$11,MATCH(ROW(),Lists!$AN$2:$AN$11,0)),""),IFERROR(INDEX(Lists!$U:$U,MATCH(TRIM($I297),Lists!$T:$T,0)),TRIM($I297))))</f>
        <v>Enterprise Data</v>
      </c>
      <c r="AK297" s="865" t="str">
        <f>IF(ISNUMBER(SEARCH("vacant",$B297)),"Vacant","Filled")</f>
        <v>Filled</v>
      </c>
      <c r="AL297" s="865" t="str">
        <f>IF($M297="NZ","NZ","AU")</f>
        <v>AU</v>
      </c>
      <c r="AM297" s="865">
        <f>COUNTIF($AJ$2:$AJ297,$AJ297)</f>
        <v>11</v>
      </c>
      <c r="AN297" s="865" t="str">
        <f>$AJ297&amp;"|"&amp;$AM297</f>
        <v>Enterprise Data|11</v>
      </c>
      <c r="AP297" s="865" t="str">
        <f>IF(TRIM($B297)="","",IF($AQ297=1,"Leadership",IFERROR(INDEX(Lists!$X:$X,MATCH(TRIM($K297),Lists!$W:$W,0)),IF(OR(TRIM($K297)="",LOWER(TRIM($K297))="na"),IF(TRIM($G297)="","Unassigned",TRIM($G297)),TRIM($K297)))))</f>
        <v>Reporting &amp; Analytics</v>
      </c>
      <c r="AQ297" s="865" t="b">
        <f>IF(TRIM($B297)="","",--OR(TRIM($K297)="Leadership",TRIM($J297)="Leadership"))</f>
        <v>0</v>
      </c>
      <c r="AR297" s="1136" t="str">
        <f>IF(TRIM($B297)="","",IF(IFERROR(INDEX(Lists!$AQ$2:$AQ$11,MATCH(ROW(),Lists!$AN$2:$AN$11,0)),"")&lt;&gt;"",IFERROR(INDEX(Lists!$AQ$2:$AQ$11,MATCH(ROW(),Lists!$AN$2:$AN$11,0)),""),IF(ISNUMBER(SEARCH("head of ",$C297)),"Head of Technology",IF(ISNUMBER(SEARCH("TDD BP",$C297)),"Business Partner",IF(OR(ISNUMBER(SEARCH("domain architect",$C297)),ISNUMBER(SEARCH("enterprise architect",$C297))),"Domain Architect",IF(ISNUMBER(SEARCH("delivery man",$C297)),"Delivery Manager",IF(OR(ISNUMBER(SEARCH("technology manager",$C297)),ISNUMBER(SEARCH("technology manger",$C297)),ISNUMBER(SEARCH("tech manager",$C297))),"Technology Manager","Squad")))))))</f>
        <v>Squad</v>
      </c>
      <c r="AS297" s="1136" t="str">
        <f>IF(TRIM($B297)="","",IFERROR(INDEX(Lists!$AA:$AA,MATCH($AP297,Lists!$Z:$Z,0)),$AP297))</f>
        <v>Reporting &amp; Analytics</v>
      </c>
      <c r="AT297" s="1136" t="str">
        <f>IF(TRIM($B297)="","",IF(IFERROR(INDEX(Lists!$AP$2:$AP$11,MATCH(ROW(),Lists!$AN$2:$AN$11,0)),"")&lt;&gt;"",IFERROR(INDEX(Lists!$AP$2:$AP$11,MATCH(ROW(),Lists!$AN$2:$AN$11,0)),""),IF(OR(LEFT($AJ297,3)="COE",$AJ297="EGI"),$AP297,IF($AR297&lt;&gt;"Squad",$AR297,$AP297))))</f>
        <v>Reporting &amp; Analytics</v>
      </c>
    </row>
    <row r="298" ht="18" customHeight="1" s="866">
      <c r="A298" s="1155" t="n">
        <v>83092</v>
      </c>
      <c r="B298" s="1156" t="inlineStr">
        <is>
          <t>Rakshit Kaul</t>
        </is>
      </c>
      <c r="C298" s="1156" t="inlineStr">
        <is>
          <t>Applications Specialist</t>
        </is>
      </c>
      <c r="D298" s="1156" t="inlineStr">
        <is>
          <t>Sai Konka</t>
        </is>
      </c>
      <c r="E298" s="1156" t="inlineStr">
        <is>
          <t>Applications &amp; Analytics Manager</t>
        </is>
      </c>
      <c r="F298" s="1257" t="inlineStr">
        <is>
          <t>Strategy, Architecture &amp; Data</t>
        </is>
      </c>
      <c r="G298" s="1158" t="inlineStr">
        <is>
          <t>Group Data</t>
        </is>
      </c>
      <c r="H298" s="1199" t="inlineStr">
        <is>
          <t>Data Engineering &amp; Platforms</t>
        </is>
      </c>
      <c r="I298" s="1199" t="inlineStr">
        <is>
          <t>Enterprise Data</t>
        </is>
      </c>
      <c r="J298" s="1199" t="inlineStr">
        <is>
          <t>EGI</t>
        </is>
      </c>
      <c r="K298" s="1199" t="inlineStr">
        <is>
          <t>Reporting &amp; Analytics</t>
        </is>
      </c>
      <c r="L298" s="1158" t="n"/>
      <c r="M298" s="1159" t="inlineStr">
        <is>
          <t>Australia</t>
        </is>
      </c>
      <c r="N298" s="1162" t="inlineStr">
        <is>
          <t>CIB</t>
        </is>
      </c>
      <c r="O298" s="1162" t="n">
        <v>1</v>
      </c>
      <c r="P298" s="1162" t="n"/>
      <c r="Q298" s="1162" t="inlineStr">
        <is>
          <t>Permanent - Full Time</t>
        </is>
      </c>
      <c r="R298" s="1162" t="n"/>
      <c r="S298" s="1162" t="n"/>
      <c r="T298" s="1163" t="n">
        <v>178100</v>
      </c>
      <c r="U298" s="1164" t="n">
        <v>178100</v>
      </c>
      <c r="V298" s="1166" t="n">
        <v>0.12</v>
      </c>
      <c r="W298" s="1170" t="n">
        <v>0.055</v>
      </c>
      <c r="X298" s="1170" t="n">
        <v>0.12</v>
      </c>
      <c r="Y298" s="1171" t="n"/>
      <c r="Z298" s="1170" t="n">
        <v>0.04</v>
      </c>
      <c r="AA298" s="1168">
        <f>IF(TRIM($B298)="","",IF(N($AU298)&gt;0,$AU298,IF(N($S298)&gt;0,$S298*Lists!$AG$15*(1+N($Z298)),N($U298)*(1+N($V298)+N($W298)+N($X298)+N($Z298))+N($Y298))))</f>
        <v>237763.5</v>
      </c>
      <c r="AJ298" s="865" t="str">
        <f>IF(TRIM($B298)="","",IF(IFERROR(INDEX(Lists!$AO$2:$AO$11,MATCH(ROW(),Lists!$AN$2:$AN$11,0)),"")&lt;&gt;"",IFERROR(INDEX(Lists!$AO$2:$AO$11,MATCH(ROW(),Lists!$AN$2:$AN$11,0)),""),IFERROR(INDEX(Lists!$U:$U,MATCH(TRIM($I298),Lists!$T:$T,0)),TRIM($I298))))</f>
        <v>Enterprise Data</v>
      </c>
      <c r="AK298" s="865" t="str">
        <f>IF(ISNUMBER(SEARCH("vacant",$B298)),"Vacant","Filled")</f>
        <v>Filled</v>
      </c>
      <c r="AL298" s="865" t="str">
        <f>IF($M298="NZ","NZ","AU")</f>
        <v>AU</v>
      </c>
      <c r="AM298" s="865">
        <f>COUNTIF($AJ$2:$AJ298,$AJ298)</f>
        <v>12</v>
      </c>
      <c r="AN298" s="865" t="str">
        <f>$AJ298&amp;"|"&amp;$AM298</f>
        <v>Enterprise Data|12</v>
      </c>
      <c r="AP298" s="865" t="str">
        <f>IF(TRIM($B298)="","",IF($AQ298=1,"Leadership",IFERROR(INDEX(Lists!$X:$X,MATCH(TRIM($K298),Lists!$W:$W,0)),IF(OR(TRIM($K298)="",LOWER(TRIM($K298))="na"),IF(TRIM($G298)="","Unassigned",TRIM($G298)),TRIM($K298)))))</f>
        <v>Reporting &amp; Analytics</v>
      </c>
      <c r="AQ298" s="865" t="b">
        <f>IF(TRIM($B298)="","",--OR(TRIM($K298)="Leadership",TRIM($J298)="Leadership"))</f>
        <v>0</v>
      </c>
      <c r="AR298" s="1136" t="str">
        <f>IF(TRIM($B298)="","",IF(IFERROR(INDEX(Lists!$AQ$2:$AQ$11,MATCH(ROW(),Lists!$AN$2:$AN$11,0)),"")&lt;&gt;"",IFERROR(INDEX(Lists!$AQ$2:$AQ$11,MATCH(ROW(),Lists!$AN$2:$AN$11,0)),""),IF(ISNUMBER(SEARCH("head of ",$C298)),"Head of Technology",IF(ISNUMBER(SEARCH("TDD BP",$C298)),"Business Partner",IF(OR(ISNUMBER(SEARCH("domain architect",$C298)),ISNUMBER(SEARCH("enterprise architect",$C298))),"Domain Architect",IF(ISNUMBER(SEARCH("delivery man",$C298)),"Delivery Manager",IF(OR(ISNUMBER(SEARCH("technology manager",$C298)),ISNUMBER(SEARCH("technology manger",$C298)),ISNUMBER(SEARCH("tech manager",$C298))),"Technology Manager","Squad")))))))</f>
        <v>Squad</v>
      </c>
      <c r="AS298" s="1136" t="str">
        <f>IF(TRIM($B298)="","",IFERROR(INDEX(Lists!$AA:$AA,MATCH($AP298,Lists!$Z:$Z,0)),$AP298))</f>
        <v>Reporting &amp; Analytics</v>
      </c>
      <c r="AT298" s="1136" t="str">
        <f>IF(TRIM($B298)="","",IF(IFERROR(INDEX(Lists!$AP$2:$AP$11,MATCH(ROW(),Lists!$AN$2:$AN$11,0)),"")&lt;&gt;"",IFERROR(INDEX(Lists!$AP$2:$AP$11,MATCH(ROW(),Lists!$AN$2:$AN$11,0)),""),IF(OR(LEFT($AJ298,3)="COE",$AJ298="EGI"),$AP298,IF($AR298&lt;&gt;"Squad",$AR298,$AP298))))</f>
        <v>Reporting &amp; Analytics</v>
      </c>
    </row>
    <row r="299" ht="18" customHeight="1" s="866">
      <c r="A299" s="1155" t="n">
        <v>98599</v>
      </c>
      <c r="B299" s="1156" t="inlineStr">
        <is>
          <t>Raymond Bai</t>
        </is>
      </c>
      <c r="C299" s="1156" t="inlineStr">
        <is>
          <t>Data Adoption Specialist</t>
        </is>
      </c>
      <c r="D299" s="1158" t="inlineStr">
        <is>
          <t>Sanjay Tikoo</t>
        </is>
      </c>
      <c r="E299" s="1156" t="inlineStr">
        <is>
          <t>Lead Engineer (Databricks)</t>
        </is>
      </c>
      <c r="F299" s="1257" t="inlineStr">
        <is>
          <t>Strategy, Architecture &amp; Data</t>
        </is>
      </c>
      <c r="G299" s="1158" t="inlineStr">
        <is>
          <t>Group Data</t>
        </is>
      </c>
      <c r="H299" s="1199" t="inlineStr">
        <is>
          <t>Data Capability</t>
        </is>
      </c>
      <c r="I299" s="1199" t="inlineStr">
        <is>
          <t>COE - Strategy, Architecture, Data</t>
        </is>
      </c>
      <c r="J299" s="1199" t="n"/>
      <c r="K299" s="1158" t="n"/>
      <c r="L299" s="1158" t="n"/>
      <c r="M299" s="1159" t="inlineStr">
        <is>
          <t>Australia</t>
        </is>
      </c>
      <c r="N299" s="1160" t="inlineStr">
        <is>
          <t>CIB</t>
        </is>
      </c>
      <c r="O299" s="1160" t="n">
        <v>1</v>
      </c>
      <c r="P299" s="1160" t="n"/>
      <c r="Q299" s="1160" t="inlineStr">
        <is>
          <t>Permanent - Full Time</t>
        </is>
      </c>
      <c r="R299" s="1162" t="n"/>
      <c r="S299" s="1162" t="n"/>
      <c r="T299" s="1163" t="n">
        <v>131740</v>
      </c>
      <c r="U299" s="1164" t="n">
        <v>131740</v>
      </c>
      <c r="V299" s="1166" t="n">
        <v>0.12</v>
      </c>
      <c r="W299" s="1170" t="n">
        <v>0.055</v>
      </c>
      <c r="X299" s="1170" t="n">
        <v>0.12</v>
      </c>
      <c r="Y299" s="1171" t="n"/>
      <c r="Z299" s="1170" t="n">
        <v>0.04</v>
      </c>
      <c r="AA299" s="1168">
        <f>IF(TRIM($B299)="","",IF(N($AU299)&gt;0,$AU299,IF(N($S299)&gt;0,$S299*Lists!$AG$15*(1+N($Z299)),N($U299)*(1+N($V299)+N($W299)+N($X299)+N($Z299))+N($Y299))))</f>
        <v>175872.9</v>
      </c>
      <c r="AJ299" s="865" t="str">
        <f>IF(TRIM($B299)="","",IF(IFERROR(INDEX(Lists!$AO$2:$AO$11,MATCH(ROW(),Lists!$AN$2:$AN$11,0)),"")&lt;&gt;"",IFERROR(INDEX(Lists!$AO$2:$AO$11,MATCH(ROW(),Lists!$AN$2:$AN$11,0)),""),IFERROR(INDEX(Lists!$U:$U,MATCH(TRIM($I299),Lists!$T:$T,0)),TRIM($I299))))</f>
        <v>COE SA&amp;D</v>
      </c>
      <c r="AK299" s="865" t="str">
        <f>IF(ISNUMBER(SEARCH("vacant",$B299)),"Vacant","Filled")</f>
        <v>Filled</v>
      </c>
      <c r="AL299" s="865" t="str">
        <f>IF($M299="NZ","NZ","AU")</f>
        <v>AU</v>
      </c>
      <c r="AM299" s="865">
        <f>COUNTIF($AJ$2:$AJ299,$AJ299)</f>
        <v>9</v>
      </c>
      <c r="AN299" s="865" t="str">
        <f>$AJ299&amp;"|"&amp;$AM299</f>
        <v>COE SA&amp;D|9</v>
      </c>
      <c r="AP299" s="865" t="str">
        <f>IF(TRIM($B299)="","",IF($AQ299=1,"Leadership",IFERROR(INDEX(Lists!$X:$X,MATCH(TRIM($K299),Lists!$W:$W,0)),IF(OR(TRIM($K299)="",LOWER(TRIM($K299))="na"),IF(TRIM($G299)="","Unassigned",TRIM($G299)),TRIM($K299)))))</f>
        <v>Group Data</v>
      </c>
      <c r="AQ299" s="865" t="b">
        <f>IF(TRIM($B299)="","",--OR(TRIM($K299)="Leadership",TRIM($J299)="Leadership"))</f>
        <v>0</v>
      </c>
      <c r="AR299" s="1136" t="str">
        <f>IF(TRIM($B299)="","",IF(IFERROR(INDEX(Lists!$AQ$2:$AQ$11,MATCH(ROW(),Lists!$AN$2:$AN$11,0)),"")&lt;&gt;"",IFERROR(INDEX(Lists!$AQ$2:$AQ$11,MATCH(ROW(),Lists!$AN$2:$AN$11,0)),""),IF(ISNUMBER(SEARCH("head of ",$C299)),"Head of Technology",IF(ISNUMBER(SEARCH("TDD BP",$C299)),"Business Partner",IF(OR(ISNUMBER(SEARCH("domain architect",$C299)),ISNUMBER(SEARCH("enterprise architect",$C299))),"Domain Architect",IF(ISNUMBER(SEARCH("delivery man",$C299)),"Delivery Manager",IF(OR(ISNUMBER(SEARCH("technology manager",$C299)),ISNUMBER(SEARCH("technology manger",$C299)),ISNUMBER(SEARCH("tech manager",$C299))),"Technology Manager","Squad")))))))</f>
        <v>Squad</v>
      </c>
      <c r="AS299" s="1136" t="str">
        <f>IF(TRIM($B299)="","",IFERROR(INDEX(Lists!$AA:$AA,MATCH($AP299,Lists!$Z:$Z,0)),$AP299))</f>
        <v>Group Data</v>
      </c>
      <c r="AT299" s="1136" t="str">
        <f>IF(TRIM($B299)="","",IF(IFERROR(INDEX(Lists!$AP$2:$AP$11,MATCH(ROW(),Lists!$AN$2:$AN$11,0)),"")&lt;&gt;"",IFERROR(INDEX(Lists!$AP$2:$AP$11,MATCH(ROW(),Lists!$AN$2:$AN$11,0)),""),IF(OR(LEFT($AJ299,3)="COE",$AJ299="EGI"),$AP299,IF($AR299&lt;&gt;"Squad",$AR299,$AP299))))</f>
        <v>Group Data</v>
      </c>
    </row>
    <row r="300" ht="18" customHeight="1" s="866">
      <c r="A300" s="1155" t="n">
        <v>110146</v>
      </c>
      <c r="B300" s="1156" t="inlineStr">
        <is>
          <t>Renosh Matthew Thomas</t>
        </is>
      </c>
      <c r="C300" s="1156" t="inlineStr">
        <is>
          <t>Data Enablement Lead</t>
        </is>
      </c>
      <c r="D300" s="1158" t="inlineStr">
        <is>
          <t>Sanjay Tikoo</t>
        </is>
      </c>
      <c r="E300" s="1156" t="inlineStr">
        <is>
          <t>Data Capability Manager</t>
        </is>
      </c>
      <c r="F300" s="1257" t="inlineStr">
        <is>
          <t>Strategy, Architecture &amp; Data</t>
        </is>
      </c>
      <c r="G300" s="1158" t="inlineStr">
        <is>
          <t>Group Data</t>
        </is>
      </c>
      <c r="H300" s="1158" t="inlineStr">
        <is>
          <t>Data Capability</t>
        </is>
      </c>
      <c r="I300" s="1199" t="inlineStr">
        <is>
          <t>COE - Strategy, Architecture, Data</t>
        </is>
      </c>
      <c r="J300" s="1199" t="n"/>
      <c r="K300" s="1158" t="n"/>
      <c r="L300" s="1158" t="n"/>
      <c r="M300" s="1159" t="inlineStr">
        <is>
          <t>Australia</t>
        </is>
      </c>
      <c r="N300" s="1160" t="inlineStr">
        <is>
          <t>CIB</t>
        </is>
      </c>
      <c r="O300" s="1160" t="n">
        <v>1</v>
      </c>
      <c r="P300" s="1160" t="n"/>
      <c r="Q300" s="1160" t="inlineStr">
        <is>
          <t>Permanent - Full Time</t>
        </is>
      </c>
      <c r="R300" s="1162" t="n"/>
      <c r="S300" s="1162" t="n"/>
      <c r="T300" s="1163" t="n">
        <v>170080</v>
      </c>
      <c r="U300" s="1164" t="n">
        <v>170080</v>
      </c>
      <c r="V300" s="1166" t="n">
        <v>0.12</v>
      </c>
      <c r="W300" s="1170" t="n">
        <v>0.055</v>
      </c>
      <c r="X300" s="1170" t="n">
        <v>0.12</v>
      </c>
      <c r="Y300" s="1171" t="n"/>
      <c r="Z300" s="1170" t="n">
        <v>0.04</v>
      </c>
      <c r="AA300" s="1168">
        <f>IF(TRIM($B300)="","",IF(N($AU300)&gt;0,$AU300,IF(N($S300)&gt;0,$S300*Lists!$AG$15*(1+N($Z300)),N($U300)*(1+N($V300)+N($W300)+N($X300)+N($Z300))+N($Y300))))</f>
        <v>227056.8</v>
      </c>
      <c r="AJ300" s="865" t="str">
        <f>IF(TRIM($B300)="","",IF(IFERROR(INDEX(Lists!$AO$2:$AO$11,MATCH(ROW(),Lists!$AN$2:$AN$11,0)),"")&lt;&gt;"",IFERROR(INDEX(Lists!$AO$2:$AO$11,MATCH(ROW(),Lists!$AN$2:$AN$11,0)),""),IFERROR(INDEX(Lists!$U:$U,MATCH(TRIM($I300),Lists!$T:$T,0)),TRIM($I300))))</f>
        <v>COE SA&amp;D</v>
      </c>
      <c r="AK300" s="865" t="str">
        <f>IF(ISNUMBER(SEARCH("vacant",$B300)),"Vacant","Filled")</f>
        <v>Filled</v>
      </c>
      <c r="AL300" s="865" t="str">
        <f>IF($M300="NZ","NZ","AU")</f>
        <v>AU</v>
      </c>
      <c r="AM300" s="865">
        <f>COUNTIF($AJ$2:$AJ300,$AJ300)</f>
        <v>10</v>
      </c>
      <c r="AN300" s="865" t="str">
        <f>$AJ300&amp;"|"&amp;$AM300</f>
        <v>COE SA&amp;D|10</v>
      </c>
      <c r="AP300" s="865" t="str">
        <f>IF(TRIM($B300)="","",IF($AQ300=1,"Leadership",IFERROR(INDEX(Lists!$X:$X,MATCH(TRIM($K300),Lists!$W:$W,0)),IF(OR(TRIM($K300)="",LOWER(TRIM($K300))="na"),IF(TRIM($G300)="","Unassigned",TRIM($G300)),TRIM($K300)))))</f>
        <v>Group Data</v>
      </c>
      <c r="AQ300" s="865" t="b">
        <f>IF(TRIM($B300)="","",--OR(TRIM($K300)="Leadership",TRIM($J300)="Leadership"))</f>
        <v>0</v>
      </c>
      <c r="AR300" s="1136" t="str">
        <f>IF(TRIM($B300)="","",IF(IFERROR(INDEX(Lists!$AQ$2:$AQ$11,MATCH(ROW(),Lists!$AN$2:$AN$11,0)),"")&lt;&gt;"",IFERROR(INDEX(Lists!$AQ$2:$AQ$11,MATCH(ROW(),Lists!$AN$2:$AN$11,0)),""),IF(ISNUMBER(SEARCH("head of ",$C300)),"Head of Technology",IF(ISNUMBER(SEARCH("TDD BP",$C300)),"Business Partner",IF(OR(ISNUMBER(SEARCH("domain architect",$C300)),ISNUMBER(SEARCH("enterprise architect",$C300))),"Domain Architect",IF(ISNUMBER(SEARCH("delivery man",$C300)),"Delivery Manager",IF(OR(ISNUMBER(SEARCH("technology manager",$C300)),ISNUMBER(SEARCH("technology manger",$C300)),ISNUMBER(SEARCH("tech manager",$C300))),"Technology Manager","Squad")))))))</f>
        <v>Squad</v>
      </c>
      <c r="AS300" s="1136" t="str">
        <f>IF(TRIM($B300)="","",IFERROR(INDEX(Lists!$AA:$AA,MATCH($AP300,Lists!$Z:$Z,0)),$AP300))</f>
        <v>Group Data</v>
      </c>
      <c r="AT300" s="1136" t="str">
        <f>IF(TRIM($B300)="","",IF(IFERROR(INDEX(Lists!$AP$2:$AP$11,MATCH(ROW(),Lists!$AN$2:$AN$11,0)),"")&lt;&gt;"",IFERROR(INDEX(Lists!$AP$2:$AP$11,MATCH(ROW(),Lists!$AN$2:$AN$11,0)),""),IF(OR(LEFT($AJ300,3)="COE",$AJ300="EGI"),$AP300,IF($AR300&lt;&gt;"Squad",$AR300,$AP300))))</f>
        <v>Group Data</v>
      </c>
    </row>
    <row r="301" ht="18" customHeight="1" s="866">
      <c r="A301" s="1155" t="n">
        <v>94631</v>
      </c>
      <c r="B301" s="1156" t="inlineStr">
        <is>
          <t>Rihan Schalkwyk</t>
        </is>
      </c>
      <c r="C301" s="1156" t="inlineStr">
        <is>
          <t>Senior Business Analyst</t>
        </is>
      </c>
      <c r="D301" s="1156" t="inlineStr">
        <is>
          <t>Joel Vijayakumar</t>
        </is>
      </c>
      <c r="E301" s="1156" t="inlineStr">
        <is>
          <t>Delivery Manager, Strategy, Architecture &amp; Data</t>
        </is>
      </c>
      <c r="F301" s="1257" t="inlineStr">
        <is>
          <t>Strategy, Architecture &amp; Data</t>
        </is>
      </c>
      <c r="G301" s="1158" t="inlineStr">
        <is>
          <t>Group Data</t>
        </is>
      </c>
      <c r="H301" s="1158" t="n"/>
      <c r="I301" s="1158" t="inlineStr">
        <is>
          <t>COE - Strategy, Architecture, Data</t>
        </is>
      </c>
      <c r="J301" s="1199" t="inlineStr">
        <is>
          <t>Group Data</t>
        </is>
      </c>
      <c r="K301" s="1158" t="n"/>
      <c r="L301" s="1158" t="n"/>
      <c r="M301" s="1159" t="inlineStr">
        <is>
          <t>Australia</t>
        </is>
      </c>
      <c r="N301" s="1160" t="inlineStr">
        <is>
          <t>CIC</t>
        </is>
      </c>
      <c r="O301" s="1160" t="n">
        <v>1</v>
      </c>
      <c r="P301" s="1160" t="n"/>
      <c r="Q301" s="1160" t="inlineStr">
        <is>
          <t>Permanent - Full Time</t>
        </is>
      </c>
      <c r="R301" s="1162" t="n"/>
      <c r="S301" s="1162" t="n"/>
      <c r="T301" s="1163" t="n">
        <v>186610</v>
      </c>
      <c r="U301" s="1164" t="n">
        <v>186610</v>
      </c>
      <c r="V301" s="1166" t="n">
        <v>0.12</v>
      </c>
      <c r="W301" s="1170" t="n">
        <v>0.055</v>
      </c>
      <c r="X301" s="1170" t="n">
        <v>0.12</v>
      </c>
      <c r="Y301" s="1171" t="n"/>
      <c r="Z301" s="1170" t="n">
        <v>0.04</v>
      </c>
      <c r="AA301" s="1168">
        <f>IF(TRIM($B301)="","",IF(N($AU301)&gt;0,$AU301,IF(N($S301)&gt;0,$S301*Lists!$AG$15*(1+N($Z301)),N($U301)*(1+N($V301)+N($W301)+N($X301)+N($Z301))+N($Y301))))</f>
        <v>249124.35</v>
      </c>
      <c r="AJ301" s="865" t="str">
        <f>IF(TRIM($B301)="","",IF(IFERROR(INDEX(Lists!$AO$2:$AO$11,MATCH(ROW(),Lists!$AN$2:$AN$11,0)),"")&lt;&gt;"",IFERROR(INDEX(Lists!$AO$2:$AO$11,MATCH(ROW(),Lists!$AN$2:$AN$11,0)),""),IFERROR(INDEX(Lists!$U:$U,MATCH(TRIM($I301),Lists!$T:$T,0)),TRIM($I301))))</f>
        <v>COE SA&amp;D</v>
      </c>
      <c r="AK301" s="865" t="str">
        <f>IF(ISNUMBER(SEARCH("vacant",$B301)),"Vacant","Filled")</f>
        <v>Filled</v>
      </c>
      <c r="AL301" s="865" t="str">
        <f>IF($M301="NZ","NZ","AU")</f>
        <v>AU</v>
      </c>
      <c r="AM301" s="865">
        <f>COUNTIF($AJ$2:$AJ301,$AJ301)</f>
        <v>11</v>
      </c>
      <c r="AN301" s="865" t="str">
        <f>$AJ301&amp;"|"&amp;$AM301</f>
        <v>COE SA&amp;D|11</v>
      </c>
      <c r="AP301" s="865" t="str">
        <f>IF(TRIM($B301)="","",IF($AQ301=1,"Leadership",IFERROR(INDEX(Lists!$X:$X,MATCH(TRIM($K301),Lists!$W:$W,0)),IF(OR(TRIM($K301)="",LOWER(TRIM($K301))="na"),IF(TRIM($G301)="","Unassigned",TRIM($G301)),TRIM($K301)))))</f>
        <v>Group Data</v>
      </c>
      <c r="AQ301" s="865" t="b">
        <f>IF(TRIM($B301)="","",--OR(TRIM($K301)="Leadership",TRIM($J301)="Leadership"))</f>
        <v>0</v>
      </c>
      <c r="AR301" s="1136" t="str">
        <f>IF(TRIM($B301)="","",IF(IFERROR(INDEX(Lists!$AQ$2:$AQ$11,MATCH(ROW(),Lists!$AN$2:$AN$11,0)),"")&lt;&gt;"",IFERROR(INDEX(Lists!$AQ$2:$AQ$11,MATCH(ROW(),Lists!$AN$2:$AN$11,0)),""),IF(ISNUMBER(SEARCH("head of ",$C301)),"Head of Technology",IF(ISNUMBER(SEARCH("TDD BP",$C301)),"Business Partner",IF(OR(ISNUMBER(SEARCH("domain architect",$C301)),ISNUMBER(SEARCH("enterprise architect",$C301))),"Domain Architect",IF(ISNUMBER(SEARCH("delivery man",$C301)),"Delivery Manager",IF(OR(ISNUMBER(SEARCH("technology manager",$C301)),ISNUMBER(SEARCH("technology manger",$C301)),ISNUMBER(SEARCH("tech manager",$C301))),"Technology Manager","Squad")))))))</f>
        <v>Squad</v>
      </c>
      <c r="AS301" s="1136" t="str">
        <f>IF(TRIM($B301)="","",IFERROR(INDEX(Lists!$AA:$AA,MATCH($AP301,Lists!$Z:$Z,0)),$AP301))</f>
        <v>Group Data</v>
      </c>
      <c r="AT301" s="1136" t="str">
        <f>IF(TRIM($B301)="","",IF(IFERROR(INDEX(Lists!$AP$2:$AP$11,MATCH(ROW(),Lists!$AN$2:$AN$11,0)),"")&lt;&gt;"",IFERROR(INDEX(Lists!$AP$2:$AP$11,MATCH(ROW(),Lists!$AN$2:$AN$11,0)),""),IF(OR(LEFT($AJ301,3)="COE",$AJ301="EGI"),$AP301,IF($AR301&lt;&gt;"Squad",$AR301,$AP301))))</f>
        <v>Group Data</v>
      </c>
    </row>
    <row r="302" ht="18" customHeight="1" s="866">
      <c r="A302" s="1155" t="inlineStr">
        <is>
          <t>V</t>
        </is>
      </c>
      <c r="B302" s="1156" t="inlineStr">
        <is>
          <t>ring fenced</t>
        </is>
      </c>
      <c r="C302" s="1156" t="inlineStr">
        <is>
          <t>Enterprise Architect</t>
        </is>
      </c>
      <c r="D302" s="1156" t="inlineStr">
        <is>
          <t>Vacant</t>
        </is>
      </c>
      <c r="E302" s="1156" t="inlineStr">
        <is>
          <t>Head of Architecture</t>
        </is>
      </c>
      <c r="F302" s="1257" t="inlineStr">
        <is>
          <t>Strategy, Architecture &amp; Data</t>
        </is>
      </c>
      <c r="G302" s="1158" t="inlineStr">
        <is>
          <t>Architecture</t>
        </is>
      </c>
      <c r="H302" s="1199" t="inlineStr">
        <is>
          <t>Architecture</t>
        </is>
      </c>
      <c r="I302" s="1199" t="inlineStr">
        <is>
          <t>COE - Strategy, Architecture, Data</t>
        </is>
      </c>
      <c r="J302" s="1199" t="n"/>
      <c r="K302" s="1158" t="n"/>
      <c r="L302" s="1158" t="n"/>
      <c r="M302" s="1159" t="inlineStr">
        <is>
          <t>Australia</t>
        </is>
      </c>
      <c r="N302" s="1160" t="inlineStr">
        <is>
          <t>CSB</t>
        </is>
      </c>
      <c r="O302" s="1160" t="n">
        <v>1</v>
      </c>
      <c r="P302" s="1160" t="n"/>
      <c r="Q302" s="1160" t="inlineStr">
        <is>
          <t>Pause</t>
        </is>
      </c>
      <c r="R302" s="1172" t="n"/>
      <c r="S302" s="1162" t="n"/>
      <c r="T302" s="1163" t="n">
        <v>203550</v>
      </c>
      <c r="U302" s="1164" t="n">
        <v>203550</v>
      </c>
      <c r="V302" s="1166" t="n">
        <v>0.14</v>
      </c>
      <c r="W302" s="1170" t="n">
        <v>0.055</v>
      </c>
      <c r="X302" s="1170" t="n">
        <v>0.12</v>
      </c>
      <c r="Y302" s="1171" t="n"/>
      <c r="Z302" s="1170" t="n">
        <v>0.04</v>
      </c>
      <c r="AA302" s="1168">
        <f>IF(TRIM($B302)="","",IF(N($AU302)&gt;0,$AU302,IF(N($S302)&gt;0,$S302*Lists!$AG$15*(1+N($Z302)),N($U302)*(1+N($V302)+N($W302)+N($X302)+N($Z302))+N($Y302))))</f>
        <v>275810.25</v>
      </c>
      <c r="AJ302" s="865" t="str">
        <f>IF(TRIM($B302)="","",IF(IFERROR(INDEX(Lists!$AO$2:$AO$11,MATCH(ROW(),Lists!$AN$2:$AN$11,0)),"")&lt;&gt;"",IFERROR(INDEX(Lists!$AO$2:$AO$11,MATCH(ROW(),Lists!$AN$2:$AN$11,0)),""),IFERROR(INDEX(Lists!$U:$U,MATCH(TRIM($I302),Lists!$T:$T,0)),TRIM($I302))))</f>
        <v>COE SA&amp;D</v>
      </c>
      <c r="AK302" s="865" t="str">
        <f>IF(ISNUMBER(SEARCH("vacant",$B302)),"Vacant","Filled")</f>
        <v>Filled</v>
      </c>
      <c r="AL302" s="865" t="str">
        <f>IF($M302="NZ","NZ","AU")</f>
        <v>AU</v>
      </c>
      <c r="AM302" s="865">
        <f>COUNTIF($AJ$2:$AJ302,$AJ302)</f>
        <v>12</v>
      </c>
      <c r="AN302" s="865" t="str">
        <f>$AJ302&amp;"|"&amp;$AM302</f>
        <v>COE SA&amp;D|12</v>
      </c>
      <c r="AP302" s="865" t="str">
        <f>IF(TRIM($B302)="","",IF($AQ302=1,"Leadership",IFERROR(INDEX(Lists!$X:$X,MATCH(TRIM($K302),Lists!$W:$W,0)),IF(OR(TRIM($K302)="",LOWER(TRIM($K302))="na"),IF(TRIM($G302)="","Unassigned",TRIM($G302)),TRIM($K302)))))</f>
        <v>Architecture</v>
      </c>
      <c r="AQ302" s="865" t="b">
        <f>IF(TRIM($B302)="","",--OR(TRIM($K302)="Leadership",TRIM($J302)="Leadership"))</f>
        <v>0</v>
      </c>
      <c r="AR302" s="1136" t="str">
        <f>IF(TRIM($B302)="","",IF(IFERROR(INDEX(Lists!$AQ$2:$AQ$11,MATCH(ROW(),Lists!$AN$2:$AN$11,0)),"")&lt;&gt;"",IFERROR(INDEX(Lists!$AQ$2:$AQ$11,MATCH(ROW(),Lists!$AN$2:$AN$11,0)),""),IF(ISNUMBER(SEARCH("head of ",$C302)),"Head of Technology",IF(ISNUMBER(SEARCH("TDD BP",$C302)),"Business Partner",IF(OR(ISNUMBER(SEARCH("domain architect",$C302)),ISNUMBER(SEARCH("enterprise architect",$C302))),"Domain Architect",IF(ISNUMBER(SEARCH("delivery man",$C302)),"Delivery Manager",IF(OR(ISNUMBER(SEARCH("technology manager",$C302)),ISNUMBER(SEARCH("technology manger",$C302)),ISNUMBER(SEARCH("tech manager",$C302))),"Technology Manager","Squad")))))))</f>
        <v>Domain Architect</v>
      </c>
      <c r="AS302" s="1136" t="str">
        <f>IF(TRIM($B302)="","",IFERROR(INDEX(Lists!$AA:$AA,MATCH($AP302,Lists!$Z:$Z,0)),$AP302))</f>
        <v>Architecture</v>
      </c>
      <c r="AT302" s="1136" t="str">
        <f>IF(TRIM($B302)="","",IF(IFERROR(INDEX(Lists!$AP$2:$AP$11,MATCH(ROW(),Lists!$AN$2:$AN$11,0)),"")&lt;&gt;"",IFERROR(INDEX(Lists!$AP$2:$AP$11,MATCH(ROW(),Lists!$AN$2:$AN$11,0)),""),IF(OR(LEFT($AJ302,3)="COE",$AJ302="EGI"),$AP302,IF($AR302&lt;&gt;"Squad",$AR302,$AP302))))</f>
        <v>Architecture</v>
      </c>
    </row>
    <row r="303" ht="18" customHeight="1" s="866">
      <c r="A303" s="1155" t="n"/>
      <c r="B303" s="1156" t="inlineStr">
        <is>
          <t>ring fenced</t>
        </is>
      </c>
      <c r="C303" s="1156" t="inlineStr">
        <is>
          <t>Domain Architect - Customer &amp; Digital Tech</t>
        </is>
      </c>
      <c r="D303" s="1156" t="inlineStr">
        <is>
          <t>Vacant</t>
        </is>
      </c>
      <c r="E303" s="1156" t="inlineStr">
        <is>
          <t>Head of Architecture</t>
        </is>
      </c>
      <c r="F303" s="1257" t="inlineStr">
        <is>
          <t>Strategy, Architecture &amp; Data</t>
        </is>
      </c>
      <c r="G303" s="1158" t="inlineStr">
        <is>
          <t>Architecture</t>
        </is>
      </c>
      <c r="H303" s="1199" t="inlineStr">
        <is>
          <t>Architecture</t>
        </is>
      </c>
      <c r="I303" s="1199" t="inlineStr">
        <is>
          <t>COE - Strategy, Architecture, Data</t>
        </is>
      </c>
      <c r="J303" s="1199" t="n"/>
      <c r="K303" s="1158" t="n"/>
      <c r="L303" s="1158" t="n"/>
      <c r="M303" s="1159" t="inlineStr">
        <is>
          <t>Australia</t>
        </is>
      </c>
      <c r="N303" s="1160" t="inlineStr">
        <is>
          <t>CIC</t>
        </is>
      </c>
      <c r="O303" s="1160" t="n">
        <v>1</v>
      </c>
      <c r="P303" s="1160" t="n"/>
      <c r="Q303" s="1160" t="inlineStr">
        <is>
          <t>v</t>
        </is>
      </c>
      <c r="R303" s="1172" t="n"/>
      <c r="S303" s="1162" t="n"/>
      <c r="T303" s="1163" t="n">
        <v>173550</v>
      </c>
      <c r="U303" s="1164" t="n">
        <v>173550</v>
      </c>
      <c r="V303" s="1166" t="n">
        <v>0.12</v>
      </c>
      <c r="W303" s="1170" t="n">
        <v>0.055</v>
      </c>
      <c r="X303" s="1170" t="n">
        <v>0.12</v>
      </c>
      <c r="Y303" s="1171" t="n"/>
      <c r="Z303" s="1170" t="n">
        <v>0.04</v>
      </c>
      <c r="AA303" s="1168">
        <f>IF(TRIM($B303)="","",IF(N($AU303)&gt;0,$AU303,IF(N($S303)&gt;0,$S303*Lists!$AG$15*(1+N($Z303)),N($U303)*(1+N($V303)+N($W303)+N($X303)+N($Z303))+N($Y303))))</f>
        <v>231689.25</v>
      </c>
      <c r="AJ303" s="865" t="str">
        <f>IF(TRIM($B303)="","",IF(IFERROR(INDEX(Lists!$AO$2:$AO$11,MATCH(ROW(),Lists!$AN$2:$AN$11,0)),"")&lt;&gt;"",IFERROR(INDEX(Lists!$AO$2:$AO$11,MATCH(ROW(),Lists!$AN$2:$AN$11,0)),""),IFERROR(INDEX(Lists!$U:$U,MATCH(TRIM($I303),Lists!$T:$T,0)),TRIM($I303))))</f>
        <v>COE SA&amp;D</v>
      </c>
      <c r="AK303" s="865" t="str">
        <f>IF(ISNUMBER(SEARCH("vacant",$B303)),"Vacant","Filled")</f>
        <v>Filled</v>
      </c>
      <c r="AL303" s="865" t="str">
        <f>IF($M303="NZ","NZ","AU")</f>
        <v>AU</v>
      </c>
      <c r="AM303" s="865">
        <f>COUNTIF($AJ$2:$AJ303,$AJ303)</f>
        <v>13</v>
      </c>
      <c r="AN303" s="865" t="str">
        <f>$AJ303&amp;"|"&amp;$AM303</f>
        <v>COE SA&amp;D|13</v>
      </c>
      <c r="AP303" s="865" t="str">
        <f>IF(TRIM($B303)="","",IF($AQ303=1,"Leadership",IFERROR(INDEX(Lists!$X:$X,MATCH(TRIM($K303),Lists!$W:$W,0)),IF(OR(TRIM($K303)="",LOWER(TRIM($K303))="na"),IF(TRIM($G303)="","Unassigned",TRIM($G303)),TRIM($K303)))))</f>
        <v>Architecture</v>
      </c>
      <c r="AQ303" s="865" t="b">
        <f>IF(TRIM($B303)="","",--OR(TRIM($K303)="Leadership",TRIM($J303)="Leadership"))</f>
        <v>0</v>
      </c>
      <c r="AR303" s="1136" t="str">
        <f>IF(TRIM($B303)="","",IF(IFERROR(INDEX(Lists!$AQ$2:$AQ$11,MATCH(ROW(),Lists!$AN$2:$AN$11,0)),"")&lt;&gt;"",IFERROR(INDEX(Lists!$AQ$2:$AQ$11,MATCH(ROW(),Lists!$AN$2:$AN$11,0)),""),IF(ISNUMBER(SEARCH("head of ",$C303)),"Head of Technology",IF(ISNUMBER(SEARCH("TDD BP",$C303)),"Business Partner",IF(OR(ISNUMBER(SEARCH("domain architect",$C303)),ISNUMBER(SEARCH("enterprise architect",$C303))),"Domain Architect",IF(ISNUMBER(SEARCH("delivery man",$C303)),"Delivery Manager",IF(OR(ISNUMBER(SEARCH("technology manager",$C303)),ISNUMBER(SEARCH("technology manger",$C303)),ISNUMBER(SEARCH("tech manager",$C303))),"Technology Manager","Squad")))))))</f>
        <v>Domain Architect</v>
      </c>
      <c r="AS303" s="1136" t="str">
        <f>IF(TRIM($B303)="","",IFERROR(INDEX(Lists!$AA:$AA,MATCH($AP303,Lists!$Z:$Z,0)),$AP303))</f>
        <v>Architecture</v>
      </c>
      <c r="AT303" s="1136" t="str">
        <f>IF(TRIM($B303)="","",IF(IFERROR(INDEX(Lists!$AP$2:$AP$11,MATCH(ROW(),Lists!$AN$2:$AN$11,0)),"")&lt;&gt;"",IFERROR(INDEX(Lists!$AP$2:$AP$11,MATCH(ROW(),Lists!$AN$2:$AN$11,0)),""),IF(OR(LEFT($AJ303,3)="COE",$AJ303="EGI"),$AP303,IF($AR303&lt;&gt;"Squad",$AR303,$AP303))))</f>
        <v>Architecture</v>
      </c>
    </row>
    <row r="304" ht="18" customHeight="1" s="866">
      <c r="A304" s="1155" t="n"/>
      <c r="B304" s="1156" t="inlineStr">
        <is>
          <t>ring fenced</t>
        </is>
      </c>
      <c r="C304" s="1156" t="inlineStr">
        <is>
          <t>Domain Architect - Retail &amp; Z</t>
        </is>
      </c>
      <c r="D304" s="1156" t="inlineStr">
        <is>
          <t>Vacant</t>
        </is>
      </c>
      <c r="E304" s="1156" t="inlineStr">
        <is>
          <t>Head of Architecture</t>
        </is>
      </c>
      <c r="F304" s="1257" t="inlineStr">
        <is>
          <t>Strategy, Architecture &amp; Data</t>
        </is>
      </c>
      <c r="G304" s="1158" t="inlineStr">
        <is>
          <t>Architecture</t>
        </is>
      </c>
      <c r="H304" s="1199" t="inlineStr">
        <is>
          <t>Architecture</t>
        </is>
      </c>
      <c r="I304" s="1199" t="inlineStr">
        <is>
          <t>COE - Strategy, Architecture, Data</t>
        </is>
      </c>
      <c r="J304" s="1199" t="n"/>
      <c r="K304" s="1158" t="n"/>
      <c r="L304" s="1158" t="n"/>
      <c r="M304" s="1159" t="inlineStr">
        <is>
          <t>Australia</t>
        </is>
      </c>
      <c r="N304" s="1160" t="inlineStr">
        <is>
          <t>CIC</t>
        </is>
      </c>
      <c r="O304" s="1160" t="n">
        <v>1</v>
      </c>
      <c r="P304" s="1160" t="n"/>
      <c r="Q304" s="1160" t="inlineStr">
        <is>
          <t>v</t>
        </is>
      </c>
      <c r="R304" s="1172" t="n"/>
      <c r="S304" s="1162" t="n"/>
      <c r="T304" s="1163" t="n">
        <v>173550</v>
      </c>
      <c r="U304" s="1164" t="n">
        <v>173550</v>
      </c>
      <c r="V304" s="1166" t="n">
        <v>0.12</v>
      </c>
      <c r="W304" s="1170" t="n">
        <v>0.055</v>
      </c>
      <c r="X304" s="1170" t="n">
        <v>0.12</v>
      </c>
      <c r="Y304" s="1171" t="n"/>
      <c r="Z304" s="1170" t="n">
        <v>0.04</v>
      </c>
      <c r="AA304" s="1168">
        <f>IF(TRIM($B304)="","",IF(N($AU304)&gt;0,$AU304,IF(N($S304)&gt;0,$S304*Lists!$AG$15*(1+N($Z304)),N($U304)*(1+N($V304)+N($W304)+N($X304)+N($Z304))+N($Y304))))</f>
        <v>231689.25</v>
      </c>
      <c r="AJ304" s="865" t="str">
        <f>IF(TRIM($B304)="","",IF(IFERROR(INDEX(Lists!$AO$2:$AO$11,MATCH(ROW(),Lists!$AN$2:$AN$11,0)),"")&lt;&gt;"",IFERROR(INDEX(Lists!$AO$2:$AO$11,MATCH(ROW(),Lists!$AN$2:$AN$11,0)),""),IFERROR(INDEX(Lists!$U:$U,MATCH(TRIM($I304),Lists!$T:$T,0)),TRIM($I304))))</f>
        <v>COE SA&amp;D</v>
      </c>
      <c r="AK304" s="865" t="str">
        <f>IF(ISNUMBER(SEARCH("vacant",$B304)),"Vacant","Filled")</f>
        <v>Filled</v>
      </c>
      <c r="AL304" s="865" t="str">
        <f>IF($M304="NZ","NZ","AU")</f>
        <v>AU</v>
      </c>
      <c r="AM304" s="865">
        <f>COUNTIF($AJ$2:$AJ304,$AJ304)</f>
        <v>14</v>
      </c>
      <c r="AN304" s="865" t="str">
        <f>$AJ304&amp;"|"&amp;$AM304</f>
        <v>COE SA&amp;D|14</v>
      </c>
      <c r="AP304" s="865" t="str">
        <f>IF(TRIM($B304)="","",IF($AQ304=1,"Leadership",IFERROR(INDEX(Lists!$X:$X,MATCH(TRIM($K304),Lists!$W:$W,0)),IF(OR(TRIM($K304)="",LOWER(TRIM($K304))="na"),IF(TRIM($G304)="","Unassigned",TRIM($G304)),TRIM($K304)))))</f>
        <v>Architecture</v>
      </c>
      <c r="AQ304" s="865" t="b">
        <f>IF(TRIM($B304)="","",--OR(TRIM($K304)="Leadership",TRIM($J304)="Leadership"))</f>
        <v>0</v>
      </c>
      <c r="AR304" s="1136" t="str">
        <f>IF(TRIM($B304)="","",IF(IFERROR(INDEX(Lists!$AQ$2:$AQ$11,MATCH(ROW(),Lists!$AN$2:$AN$11,0)),"")&lt;&gt;"",IFERROR(INDEX(Lists!$AQ$2:$AQ$11,MATCH(ROW(),Lists!$AN$2:$AN$11,0)),""),IF(ISNUMBER(SEARCH("head of ",$C304)),"Head of Technology",IF(ISNUMBER(SEARCH("TDD BP",$C304)),"Business Partner",IF(OR(ISNUMBER(SEARCH("domain architect",$C304)),ISNUMBER(SEARCH("enterprise architect",$C304))),"Domain Architect",IF(ISNUMBER(SEARCH("delivery man",$C304)),"Delivery Manager",IF(OR(ISNUMBER(SEARCH("technology manager",$C304)),ISNUMBER(SEARCH("technology manger",$C304)),ISNUMBER(SEARCH("tech manager",$C304))),"Technology Manager","Squad")))))))</f>
        <v>Domain Architect</v>
      </c>
      <c r="AS304" s="1136" t="str">
        <f>IF(TRIM($B304)="","",IFERROR(INDEX(Lists!$AA:$AA,MATCH($AP304,Lists!$Z:$Z,0)),$AP304))</f>
        <v>Architecture</v>
      </c>
      <c r="AT304" s="1136" t="str">
        <f>IF(TRIM($B304)="","",IF(IFERROR(INDEX(Lists!$AP$2:$AP$11,MATCH(ROW(),Lists!$AN$2:$AN$11,0)),"")&lt;&gt;"",IFERROR(INDEX(Lists!$AP$2:$AP$11,MATCH(ROW(),Lists!$AN$2:$AN$11,0)),""),IF(OR(LEFT($AJ304,3)="COE",$AJ304="EGI"),$AP304,IF($AR304&lt;&gt;"Squad",$AR304,$AP304))))</f>
        <v>Architecture</v>
      </c>
    </row>
    <row r="305" ht="18" customHeight="1" s="866">
      <c r="A305" s="1155" t="n"/>
      <c r="B305" s="1156" t="inlineStr">
        <is>
          <t>ring fenced</t>
        </is>
      </c>
      <c r="C305" s="1156" t="inlineStr">
        <is>
          <t>Domain Architect - TDD</t>
        </is>
      </c>
      <c r="D305" s="1156" t="inlineStr">
        <is>
          <t>Vacant</t>
        </is>
      </c>
      <c r="E305" s="1156" t="inlineStr">
        <is>
          <t>Head of Architecture</t>
        </is>
      </c>
      <c r="F305" s="1257" t="inlineStr">
        <is>
          <t>Strategy, Architecture &amp; Data</t>
        </is>
      </c>
      <c r="G305" s="1158" t="inlineStr">
        <is>
          <t>Architecture</t>
        </is>
      </c>
      <c r="H305" s="1199" t="inlineStr">
        <is>
          <t>Architecture</t>
        </is>
      </c>
      <c r="I305" s="1199" t="inlineStr">
        <is>
          <t>COE - Strategy, Architecture, Data</t>
        </is>
      </c>
      <c r="J305" s="1199" t="n"/>
      <c r="K305" s="1158" t="n"/>
      <c r="L305" s="1158" t="n"/>
      <c r="M305" s="1159" t="inlineStr">
        <is>
          <t>Australia</t>
        </is>
      </c>
      <c r="N305" s="1160" t="inlineStr">
        <is>
          <t>CIC</t>
        </is>
      </c>
      <c r="O305" s="1160" t="n">
        <v>1</v>
      </c>
      <c r="P305" s="1160" t="n"/>
      <c r="Q305" s="1160" t="inlineStr">
        <is>
          <t>v</t>
        </is>
      </c>
      <c r="R305" s="1172" t="n"/>
      <c r="S305" s="1162" t="n"/>
      <c r="T305" s="1163" t="n">
        <v>173550</v>
      </c>
      <c r="U305" s="1164" t="n">
        <v>173550</v>
      </c>
      <c r="V305" s="1166" t="n">
        <v>0.12</v>
      </c>
      <c r="W305" s="1170" t="n">
        <v>0.055</v>
      </c>
      <c r="X305" s="1170" t="n">
        <v>0.12</v>
      </c>
      <c r="Y305" s="1171" t="n"/>
      <c r="Z305" s="1170" t="n">
        <v>0.04</v>
      </c>
      <c r="AA305" s="1168">
        <f>IF(TRIM($B305)="","",IF(N($AU305)&gt;0,$AU305,IF(N($S305)&gt;0,$S305*Lists!$AG$15*(1+N($Z305)),N($U305)*(1+N($V305)+N($W305)+N($X305)+N($Z305))+N($Y305))))</f>
        <v>231689.25</v>
      </c>
      <c r="AJ305" s="865" t="str">
        <f>IF(TRIM($B305)="","",IF(IFERROR(INDEX(Lists!$AO$2:$AO$11,MATCH(ROW(),Lists!$AN$2:$AN$11,0)),"")&lt;&gt;"",IFERROR(INDEX(Lists!$AO$2:$AO$11,MATCH(ROW(),Lists!$AN$2:$AN$11,0)),""),IFERROR(INDEX(Lists!$U:$U,MATCH(TRIM($I305),Lists!$T:$T,0)),TRIM($I305))))</f>
        <v>COE SA&amp;D</v>
      </c>
      <c r="AK305" s="865" t="str">
        <f>IF(ISNUMBER(SEARCH("vacant",$B305)),"Vacant","Filled")</f>
        <v>Filled</v>
      </c>
      <c r="AL305" s="865" t="str">
        <f>IF($M305="NZ","NZ","AU")</f>
        <v>AU</v>
      </c>
      <c r="AM305" s="865">
        <f>COUNTIF($AJ$2:$AJ305,$AJ305)</f>
        <v>15</v>
      </c>
      <c r="AN305" s="865" t="str">
        <f>$AJ305&amp;"|"&amp;$AM305</f>
        <v>COE SA&amp;D|15</v>
      </c>
      <c r="AP305" s="865" t="str">
        <f>IF(TRIM($B305)="","",IF($AQ305=1,"Leadership",IFERROR(INDEX(Lists!$X:$X,MATCH(TRIM($K305),Lists!$W:$W,0)),IF(OR(TRIM($K305)="",LOWER(TRIM($K305))="na"),IF(TRIM($G305)="","Unassigned",TRIM($G305)),TRIM($K305)))))</f>
        <v>Architecture</v>
      </c>
      <c r="AQ305" s="865" t="b">
        <f>IF(TRIM($B305)="","",--OR(TRIM($K305)="Leadership",TRIM($J305)="Leadership"))</f>
        <v>0</v>
      </c>
      <c r="AR305" s="1136" t="str">
        <f>IF(TRIM($B305)="","",IF(IFERROR(INDEX(Lists!$AQ$2:$AQ$11,MATCH(ROW(),Lists!$AN$2:$AN$11,0)),"")&lt;&gt;"",IFERROR(INDEX(Lists!$AQ$2:$AQ$11,MATCH(ROW(),Lists!$AN$2:$AN$11,0)),""),IF(ISNUMBER(SEARCH("head of ",$C305)),"Head of Technology",IF(ISNUMBER(SEARCH("TDD BP",$C305)),"Business Partner",IF(OR(ISNUMBER(SEARCH("domain architect",$C305)),ISNUMBER(SEARCH("enterprise architect",$C305))),"Domain Architect",IF(ISNUMBER(SEARCH("delivery man",$C305)),"Delivery Manager",IF(OR(ISNUMBER(SEARCH("technology manager",$C305)),ISNUMBER(SEARCH("technology manger",$C305)),ISNUMBER(SEARCH("tech manager",$C305))),"Technology Manager","Squad")))))))</f>
        <v>Domain Architect</v>
      </c>
      <c r="AS305" s="1136" t="str">
        <f>IF(TRIM($B305)="","",IFERROR(INDEX(Lists!$AA:$AA,MATCH($AP305,Lists!$Z:$Z,0)),$AP305))</f>
        <v>Architecture</v>
      </c>
      <c r="AT305" s="1136" t="str">
        <f>IF(TRIM($B305)="","",IF(IFERROR(INDEX(Lists!$AP$2:$AP$11,MATCH(ROW(),Lists!$AN$2:$AN$11,0)),"")&lt;&gt;"",IFERROR(INDEX(Lists!$AP$2:$AP$11,MATCH(ROW(),Lists!$AN$2:$AN$11,0)),""),IF(OR(LEFT($AJ305,3)="COE",$AJ305="EGI"),$AP305,IF($AR305&lt;&gt;"Squad",$AR305,$AP305))))</f>
        <v>Architecture</v>
      </c>
    </row>
    <row r="306" ht="18" customHeight="1" s="866">
      <c r="A306" s="1155" t="n">
        <v>109802</v>
      </c>
      <c r="B306" s="1156" t="inlineStr">
        <is>
          <t>Roger Blazey</t>
        </is>
      </c>
      <c r="C306" s="1156" t="inlineStr">
        <is>
          <t>Architect (AI Innovation)</t>
        </is>
      </c>
      <c r="D306" s="1156" t="inlineStr">
        <is>
          <t>Vacant</t>
        </is>
      </c>
      <c r="E306" s="1156" t="inlineStr">
        <is>
          <t>Head of Technology  Strategy &amp; AI Capability</t>
        </is>
      </c>
      <c r="F306" s="1257" t="inlineStr">
        <is>
          <t>Strategy, Architecture &amp; Data</t>
        </is>
      </c>
      <c r="G306" s="1158" t="inlineStr">
        <is>
          <t>Technology Strategy &amp; AI Capability</t>
        </is>
      </c>
      <c r="H306" s="1158" t="inlineStr">
        <is>
          <t>Technology Strategy &amp; AI Capability</t>
        </is>
      </c>
      <c r="I306" s="1199" t="inlineStr">
        <is>
          <t>COE - Strategy, Architecture, Data</t>
        </is>
      </c>
      <c r="J306" s="1199" t="n"/>
      <c r="K306" s="1158" t="n"/>
      <c r="L306" s="1158" t="n"/>
      <c r="M306" s="1159" t="inlineStr">
        <is>
          <t>Australia</t>
        </is>
      </c>
      <c r="N306" s="1160" t="inlineStr">
        <is>
          <t>CIC</t>
        </is>
      </c>
      <c r="O306" s="1160" t="n">
        <v>1</v>
      </c>
      <c r="P306" s="1160" t="n"/>
      <c r="Q306" s="1160" t="inlineStr">
        <is>
          <t>Permanent - Full Time</t>
        </is>
      </c>
      <c r="R306" s="1162" t="n"/>
      <c r="S306" s="1162" t="n"/>
      <c r="T306" s="1163" t="n">
        <v>187450</v>
      </c>
      <c r="U306" s="1164" t="n">
        <v>187450</v>
      </c>
      <c r="V306" s="1166" t="n">
        <v>0.12</v>
      </c>
      <c r="W306" s="1170" t="n">
        <v>0.055</v>
      </c>
      <c r="X306" s="1170" t="n">
        <v>0.12</v>
      </c>
      <c r="Y306" s="1171" t="n"/>
      <c r="Z306" s="1170" t="n">
        <v>0.04</v>
      </c>
      <c r="AA306" s="1168">
        <f>IF(TRIM($B306)="","",IF(N($AU306)&gt;0,$AU306,IF(N($S306)&gt;0,$S306*Lists!$AG$15*(1+N($Z306)),N($U306)*(1+N($V306)+N($W306)+N($X306)+N($Z306))+N($Y306))))</f>
        <v>250245.75</v>
      </c>
      <c r="AJ306" s="865" t="str">
        <f>IF(TRIM($B306)="","",IF(IFERROR(INDEX(Lists!$AO$2:$AO$11,MATCH(ROW(),Lists!$AN$2:$AN$11,0)),"")&lt;&gt;"",IFERROR(INDEX(Lists!$AO$2:$AO$11,MATCH(ROW(),Lists!$AN$2:$AN$11,0)),""),IFERROR(INDEX(Lists!$U:$U,MATCH(TRIM($I306),Lists!$T:$T,0)),TRIM($I306))))</f>
        <v>COE SA&amp;D</v>
      </c>
      <c r="AK306" s="865" t="str">
        <f>IF(ISNUMBER(SEARCH("vacant",$B306)),"Vacant","Filled")</f>
        <v>Filled</v>
      </c>
      <c r="AL306" s="865" t="str">
        <f>IF($M306="NZ","NZ","AU")</f>
        <v>AU</v>
      </c>
      <c r="AM306" s="865">
        <f>COUNTIF($AJ$2:$AJ306,$AJ306)</f>
        <v>16</v>
      </c>
      <c r="AN306" s="865" t="str">
        <f>$AJ306&amp;"|"&amp;$AM306</f>
        <v>COE SA&amp;D|16</v>
      </c>
      <c r="AP306" s="865" t="str">
        <f>IF(TRIM($B306)="","",IF($AQ306=1,"Leadership",IFERROR(INDEX(Lists!$X:$X,MATCH(TRIM($K306),Lists!$W:$W,0)),IF(OR(TRIM($K306)="",LOWER(TRIM($K306))="na"),IF(TRIM($G306)="","Unassigned",TRIM($G306)),TRIM($K306)))))</f>
        <v>Technology Strategy &amp; AI Capability</v>
      </c>
      <c r="AQ306" s="865" t="b">
        <f>IF(TRIM($B306)="","",--OR(TRIM($K306)="Leadership",TRIM($J306)="Leadership"))</f>
        <v>0</v>
      </c>
      <c r="AR306" s="1136" t="str">
        <f>IF(TRIM($B306)="","",IF(IFERROR(INDEX(Lists!$AQ$2:$AQ$11,MATCH(ROW(),Lists!$AN$2:$AN$11,0)),"")&lt;&gt;"",IFERROR(INDEX(Lists!$AQ$2:$AQ$11,MATCH(ROW(),Lists!$AN$2:$AN$11,0)),""),IF(ISNUMBER(SEARCH("head of ",$C306)),"Head of Technology",IF(ISNUMBER(SEARCH("TDD BP",$C306)),"Business Partner",IF(OR(ISNUMBER(SEARCH("domain architect",$C306)),ISNUMBER(SEARCH("enterprise architect",$C306))),"Domain Architect",IF(ISNUMBER(SEARCH("delivery man",$C306)),"Delivery Manager",IF(OR(ISNUMBER(SEARCH("technology manager",$C306)),ISNUMBER(SEARCH("technology manger",$C306)),ISNUMBER(SEARCH("tech manager",$C306))),"Technology Manager","Squad")))))))</f>
        <v>Squad</v>
      </c>
      <c r="AS306" s="1136" t="str">
        <f>IF(TRIM($B306)="","",IFERROR(INDEX(Lists!$AA:$AA,MATCH($AP306,Lists!$Z:$Z,0)),$AP306))</f>
        <v>Technology Strategy &amp; AI Capability</v>
      </c>
      <c r="AT306" s="1136" t="str">
        <f>IF(TRIM($B306)="","",IF(IFERROR(INDEX(Lists!$AP$2:$AP$11,MATCH(ROW(),Lists!$AN$2:$AN$11,0)),"")&lt;&gt;"",IFERROR(INDEX(Lists!$AP$2:$AP$11,MATCH(ROW(),Lists!$AN$2:$AN$11,0)),""),IF(OR(LEFT($AJ306,3)="COE",$AJ306="EGI"),$AP306,IF($AR306&lt;&gt;"Squad",$AR306,$AP306))))</f>
        <v>Technology Strategy &amp; AI Capability</v>
      </c>
    </row>
    <row r="307" ht="18" customHeight="1" s="866">
      <c r="A307" s="1155" t="n">
        <v>99999101674</v>
      </c>
      <c r="B307" s="1156" t="inlineStr">
        <is>
          <t>Roozbeh Shahbazirad</t>
        </is>
      </c>
      <c r="C307" s="1156" t="inlineStr">
        <is>
          <t>Lead Engineer</t>
        </is>
      </c>
      <c r="D307" s="1156" t="inlineStr">
        <is>
          <t>Jason Gleason</t>
        </is>
      </c>
      <c r="E307" s="1156" t="inlineStr">
        <is>
          <t>Technology Manager, Data Engineering &amp; Platforms</t>
        </is>
      </c>
      <c r="F307" s="1257" t="inlineStr">
        <is>
          <t>Strategy, Architecture &amp; Data</t>
        </is>
      </c>
      <c r="G307" s="1158" t="inlineStr">
        <is>
          <t>Group Data</t>
        </is>
      </c>
      <c r="H307" s="1199" t="inlineStr">
        <is>
          <t>Data Engineering &amp; Platforms</t>
        </is>
      </c>
      <c r="I307" s="1158" t="inlineStr">
        <is>
          <t>Enterprise Data</t>
        </is>
      </c>
      <c r="J307" s="1199" t="inlineStr">
        <is>
          <t>Group Data</t>
        </is>
      </c>
      <c r="K307" s="1158" t="inlineStr">
        <is>
          <t>Data Platform</t>
        </is>
      </c>
      <c r="L307" s="1158" t="n"/>
      <c r="M307" s="1159" t="inlineStr">
        <is>
          <t>NZ</t>
        </is>
      </c>
      <c r="N307" s="1160" t="inlineStr">
        <is>
          <t>CIC</t>
        </is>
      </c>
      <c r="O307" s="1161" t="n">
        <v>1</v>
      </c>
      <c r="P307" s="1160" t="n"/>
      <c r="Q307" s="1161" t="inlineStr">
        <is>
          <t>Permanent - Full Time</t>
        </is>
      </c>
      <c r="R307" s="1162" t="n"/>
      <c r="S307" s="1162" t="n"/>
      <c r="T307" s="1163" t="n">
        <v>177710</v>
      </c>
      <c r="U307" s="1164" t="n">
        <v>163493.2</v>
      </c>
      <c r="V307" s="1165" t="n">
        <v>0.15</v>
      </c>
      <c r="W307" s="1162" t="n"/>
      <c r="X307" s="1166" t="n">
        <v>0.05</v>
      </c>
      <c r="Y307" s="1907" t="n">
        <v>2910</v>
      </c>
      <c r="Z307" s="1166" t="n">
        <v>0.03</v>
      </c>
      <c r="AA307" s="1168">
        <f>IF(TRIM($B307)="","",IF(N($AU307)&gt;0,$AU307,IF(N($S307)&gt;0,$S307*Lists!$AG$15*(1+N($Z307)),N($U307)*(1+N($V307)+N($W307)+N($X307)+N($Z307))+N($Y307))))</f>
        <v>204006.636</v>
      </c>
      <c r="AB307" s="1248" t="n">
        <v>113607</v>
      </c>
      <c r="AH307" s="1908" t="n"/>
      <c r="AJ307" s="865" t="str">
        <f>IF(TRIM($B307)="","",IF(IFERROR(INDEX(Lists!$AO$2:$AO$11,MATCH(ROW(),Lists!$AN$2:$AN$11,0)),"")&lt;&gt;"",IFERROR(INDEX(Lists!$AO$2:$AO$11,MATCH(ROW(),Lists!$AN$2:$AN$11,0)),""),IFERROR(INDEX(Lists!$U:$U,MATCH(TRIM($I307),Lists!$T:$T,0)),TRIM($I307))))</f>
        <v>Enterprise Data</v>
      </c>
      <c r="AK307" s="865" t="str">
        <f>IF(ISNUMBER(SEARCH("vacant",$B307)),"Vacant","Filled")</f>
        <v>Filled</v>
      </c>
      <c r="AL307" s="865" t="str">
        <f>IF($M307="NZ","NZ","AU")</f>
        <v>NZ</v>
      </c>
      <c r="AM307" s="865">
        <f>COUNTIF($AJ$2:$AJ307,$AJ307)</f>
        <v>13</v>
      </c>
      <c r="AN307" s="865" t="str">
        <f>$AJ307&amp;"|"&amp;$AM307</f>
        <v>Enterprise Data|13</v>
      </c>
      <c r="AP307" s="865" t="str">
        <f>IF(TRIM($B307)="","",IF($AQ307=1,"Leadership",IFERROR(INDEX(Lists!$X:$X,MATCH(TRIM($K307),Lists!$W:$W,0)),IF(OR(TRIM($K307)="",LOWER(TRIM($K307))="na"),IF(TRIM($G307)="","Unassigned",TRIM($G307)),TRIM($K307)))))</f>
        <v>Data Platforms</v>
      </c>
      <c r="AQ307" s="865" t="b">
        <f>IF(TRIM($B307)="","",--OR(TRIM($K307)="Leadership",TRIM($J307)="Leadership"))</f>
        <v>0</v>
      </c>
      <c r="AR307" s="1136" t="str">
        <f>IF(TRIM($B307)="","",IF(IFERROR(INDEX(Lists!$AQ$2:$AQ$11,MATCH(ROW(),Lists!$AN$2:$AN$11,0)),"")&lt;&gt;"",IFERROR(INDEX(Lists!$AQ$2:$AQ$11,MATCH(ROW(),Lists!$AN$2:$AN$11,0)),""),IF(ISNUMBER(SEARCH("head of ",$C307)),"Head of Technology",IF(ISNUMBER(SEARCH("TDD BP",$C307)),"Business Partner",IF(OR(ISNUMBER(SEARCH("domain architect",$C307)),ISNUMBER(SEARCH("enterprise architect",$C307))),"Domain Architect",IF(ISNUMBER(SEARCH("delivery man",$C307)),"Delivery Manager",IF(OR(ISNUMBER(SEARCH("technology manager",$C307)),ISNUMBER(SEARCH("technology manger",$C307)),ISNUMBER(SEARCH("tech manager",$C307))),"Technology Manager","Squad")))))))</f>
        <v>Squad</v>
      </c>
      <c r="AS307" s="1136" t="str">
        <f>IF(TRIM($B307)="","",IFERROR(INDEX(Lists!$AA:$AA,MATCH($AP307,Lists!$Z:$Z,0)),$AP307))</f>
        <v>Data Platforms</v>
      </c>
      <c r="AT307" s="1136" t="str">
        <f>IF(TRIM($B307)="","",IF(IFERROR(INDEX(Lists!$AP$2:$AP$11,MATCH(ROW(),Lists!$AN$2:$AN$11,0)),"")&lt;&gt;"",IFERROR(INDEX(Lists!$AP$2:$AP$11,MATCH(ROW(),Lists!$AN$2:$AN$11,0)),""),IF(OR(LEFT($AJ307,3)="COE",$AJ307="EGI"),$AP307,IF($AR307&lt;&gt;"Squad",$AR307,$AP307))))</f>
        <v>Data Platforms</v>
      </c>
    </row>
    <row r="308" ht="18" customHeight="1" s="866">
      <c r="A308" s="1155" t="n">
        <v>12010</v>
      </c>
      <c r="B308" s="1156" t="inlineStr">
        <is>
          <t>Sai Konka</t>
        </is>
      </c>
      <c r="C308" s="1156" t="inlineStr">
        <is>
          <t>Application &amp; Analytics Manager</t>
        </is>
      </c>
      <c r="D308" s="1156" t="inlineStr">
        <is>
          <t>Jason Gleason</t>
        </is>
      </c>
      <c r="E308" s="1156" t="inlineStr">
        <is>
          <t>Technology Manager, Data Engineering &amp; Platforms</t>
        </is>
      </c>
      <c r="F308" s="1257" t="inlineStr">
        <is>
          <t>Strategy, Architecture &amp; Data</t>
        </is>
      </c>
      <c r="G308" s="1158" t="inlineStr">
        <is>
          <t>Group Data</t>
        </is>
      </c>
      <c r="H308" s="1199" t="inlineStr">
        <is>
          <t>Data Engineering &amp; Platforms</t>
        </is>
      </c>
      <c r="I308" s="1199" t="inlineStr">
        <is>
          <t>Enterprise Data</t>
        </is>
      </c>
      <c r="J308" s="1199" t="inlineStr">
        <is>
          <t>EGI</t>
        </is>
      </c>
      <c r="K308" s="1199" t="inlineStr">
        <is>
          <t>Reporting &amp; Analytics</t>
        </is>
      </c>
      <c r="L308" s="1158" t="n"/>
      <c r="M308" s="1159" t="inlineStr">
        <is>
          <t>Australia</t>
        </is>
      </c>
      <c r="N308" s="1162" t="inlineStr">
        <is>
          <t>CIC</t>
        </is>
      </c>
      <c r="O308" s="1162" t="n">
        <v>1</v>
      </c>
      <c r="P308" s="1162" t="n"/>
      <c r="Q308" s="1162" t="inlineStr">
        <is>
          <t>Permanent - Full Time</t>
        </is>
      </c>
      <c r="R308" s="1162" t="n"/>
      <c r="S308" s="1162" t="n"/>
      <c r="T308" s="1163" t="n">
        <v>197480</v>
      </c>
      <c r="U308" s="1164" t="n">
        <v>197480</v>
      </c>
      <c r="V308" s="1166" t="n">
        <v>0.12</v>
      </c>
      <c r="W308" s="1170" t="n">
        <v>0.055</v>
      </c>
      <c r="X308" s="1170" t="n">
        <v>0.12</v>
      </c>
      <c r="Y308" s="1171" t="n"/>
      <c r="Z308" s="1170" t="n">
        <v>0.04</v>
      </c>
      <c r="AA308" s="1168">
        <f>IF(TRIM($B308)="","",IF(N($AU308)&gt;0,$AU308,IF(N($S308)&gt;0,$S308*Lists!$AG$15*(1+N($Z308)),N($U308)*(1+N($V308)+N($W308)+N($X308)+N($Z308))+N($Y308))))</f>
        <v>263635.8</v>
      </c>
      <c r="AJ308" s="865" t="str">
        <f>IF(TRIM($B308)="","",IF(IFERROR(INDEX(Lists!$AO$2:$AO$11,MATCH(ROW(),Lists!$AN$2:$AN$11,0)),"")&lt;&gt;"",IFERROR(INDEX(Lists!$AO$2:$AO$11,MATCH(ROW(),Lists!$AN$2:$AN$11,0)),""),IFERROR(INDEX(Lists!$U:$U,MATCH(TRIM($I308),Lists!$T:$T,0)),TRIM($I308))))</f>
        <v>Enterprise Data</v>
      </c>
      <c r="AK308" s="865" t="str">
        <f>IF(ISNUMBER(SEARCH("vacant",$B308)),"Vacant","Filled")</f>
        <v>Filled</v>
      </c>
      <c r="AL308" s="865" t="str">
        <f>IF($M308="NZ","NZ","AU")</f>
        <v>AU</v>
      </c>
      <c r="AM308" s="865">
        <f>COUNTIF($AJ$2:$AJ308,$AJ308)</f>
        <v>14</v>
      </c>
      <c r="AN308" s="865" t="str">
        <f>$AJ308&amp;"|"&amp;$AM308</f>
        <v>Enterprise Data|14</v>
      </c>
      <c r="AP308" s="865" t="str">
        <f>IF(TRIM($B308)="","",IF($AQ308=1,"Leadership",IFERROR(INDEX(Lists!$X:$X,MATCH(TRIM($K308),Lists!$W:$W,0)),IF(OR(TRIM($K308)="",LOWER(TRIM($K308))="na"),IF(TRIM($G308)="","Unassigned",TRIM($G308)),TRIM($K308)))))</f>
        <v>Reporting &amp; Analytics</v>
      </c>
      <c r="AQ308" s="865" t="b">
        <f>IF(TRIM($B308)="","",--OR(TRIM($K308)="Leadership",TRIM($J308)="Leadership"))</f>
        <v>0</v>
      </c>
      <c r="AR308" s="1136" t="str">
        <f>IF(TRIM($B308)="","",IF(IFERROR(INDEX(Lists!$AQ$2:$AQ$11,MATCH(ROW(),Lists!$AN$2:$AN$11,0)),"")&lt;&gt;"",IFERROR(INDEX(Lists!$AQ$2:$AQ$11,MATCH(ROW(),Lists!$AN$2:$AN$11,0)),""),IF(ISNUMBER(SEARCH("head of ",$C308)),"Head of Technology",IF(ISNUMBER(SEARCH("TDD BP",$C308)),"Business Partner",IF(OR(ISNUMBER(SEARCH("domain architect",$C308)),ISNUMBER(SEARCH("enterprise architect",$C308))),"Domain Architect",IF(ISNUMBER(SEARCH("delivery man",$C308)),"Delivery Manager",IF(OR(ISNUMBER(SEARCH("technology manager",$C308)),ISNUMBER(SEARCH("technology manger",$C308)),ISNUMBER(SEARCH("tech manager",$C308))),"Technology Manager","Squad")))))))</f>
        <v>Squad</v>
      </c>
      <c r="AS308" s="1136" t="str">
        <f>IF(TRIM($B308)="","",IFERROR(INDEX(Lists!$AA:$AA,MATCH($AP308,Lists!$Z:$Z,0)),$AP308))</f>
        <v>Reporting &amp; Analytics</v>
      </c>
      <c r="AT308" s="1136" t="str">
        <f>IF(TRIM($B308)="","",IF(IFERROR(INDEX(Lists!$AP$2:$AP$11,MATCH(ROW(),Lists!$AN$2:$AN$11,0)),"")&lt;&gt;"",IFERROR(INDEX(Lists!$AP$2:$AP$11,MATCH(ROW(),Lists!$AN$2:$AN$11,0)),""),IF(OR(LEFT($AJ308,3)="COE",$AJ308="EGI"),$AP308,IF($AR308&lt;&gt;"Squad",$AR308,$AP308))))</f>
        <v>Reporting &amp; Analytics</v>
      </c>
    </row>
    <row r="309" ht="18" customHeight="1" s="866">
      <c r="A309" s="1155" t="n"/>
      <c r="B309" s="1156" t="inlineStr">
        <is>
          <t>Sanjay Tikoo</t>
        </is>
      </c>
      <c r="C309" s="1156" t="inlineStr">
        <is>
          <t>Principal, Data Architecture &amp; Governance</t>
        </is>
      </c>
      <c r="D309" s="1156" t="inlineStr">
        <is>
          <t>James Holgate</t>
        </is>
      </c>
      <c r="E309" s="1156" t="inlineStr">
        <is>
          <t>Head of Technology,  Group Data</t>
        </is>
      </c>
      <c r="F309" s="1257" t="inlineStr">
        <is>
          <t>Strategy, Architecture &amp; Data</t>
        </is>
      </c>
      <c r="G309" s="1158" t="inlineStr">
        <is>
          <t>Group Data</t>
        </is>
      </c>
      <c r="H309" s="1158" t="inlineStr">
        <is>
          <t>Data Capability</t>
        </is>
      </c>
      <c r="I309" s="1199" t="inlineStr">
        <is>
          <t>COE - Strategy, Architecture, Data</t>
        </is>
      </c>
      <c r="J309" s="1199" t="n"/>
      <c r="K309" s="1158" t="n"/>
      <c r="L309" s="1158" t="n"/>
      <c r="M309" s="1159" t="inlineStr">
        <is>
          <t>Australia</t>
        </is>
      </c>
      <c r="N309" s="1160" t="inlineStr">
        <is>
          <t>CSC</t>
        </is>
      </c>
      <c r="O309" s="1160" t="n">
        <v>1</v>
      </c>
      <c r="P309" s="1160" t="n"/>
      <c r="Q309" s="1160" t="inlineStr">
        <is>
          <t>Permanent - Full Time</t>
        </is>
      </c>
      <c r="R309" s="1162" t="n"/>
      <c r="S309" s="1162" t="n"/>
      <c r="T309" s="1163" t="n">
        <v>275000</v>
      </c>
      <c r="U309" s="1164" t="n">
        <v>275000</v>
      </c>
      <c r="V309" s="1166" t="n">
        <v>0.2</v>
      </c>
      <c r="W309" s="1170" t="n">
        <v>0.055</v>
      </c>
      <c r="X309" s="1170" t="n">
        <v>0.12</v>
      </c>
      <c r="Y309" s="1171" t="n"/>
      <c r="Z309" s="1170" t="n">
        <v>0.04</v>
      </c>
      <c r="AA309" s="1168">
        <f>IF(TRIM($B309)="","",IF(N($AU309)&gt;0,$AU309,IF(N($S309)&gt;0,$S309*Lists!$AG$15*(1+N($Z309)),N($U309)*(1+N($V309)+N($W309)+N($X309)+N($Z309))+N($Y309))))</f>
        <v>389125</v>
      </c>
      <c r="AJ309" s="865" t="str">
        <f>IF(TRIM($B309)="","",IF(IFERROR(INDEX(Lists!$AO$2:$AO$11,MATCH(ROW(),Lists!$AN$2:$AN$11,0)),"")&lt;&gt;"",IFERROR(INDEX(Lists!$AO$2:$AO$11,MATCH(ROW(),Lists!$AN$2:$AN$11,0)),""),IFERROR(INDEX(Lists!$U:$U,MATCH(TRIM($I309),Lists!$T:$T,0)),TRIM($I309))))</f>
        <v>COE SA&amp;D</v>
      </c>
      <c r="AK309" s="865" t="str">
        <f>IF(ISNUMBER(SEARCH("vacant",$B309)),"Vacant","Filled")</f>
        <v>Filled</v>
      </c>
      <c r="AL309" s="865" t="str">
        <f>IF($M309="NZ","NZ","AU")</f>
        <v>AU</v>
      </c>
      <c r="AM309" s="865">
        <f>COUNTIF($AJ$2:$AJ309,$AJ309)</f>
        <v>17</v>
      </c>
      <c r="AN309" s="865" t="str">
        <f>$AJ309&amp;"|"&amp;$AM309</f>
        <v>COE SA&amp;D|17</v>
      </c>
      <c r="AP309" s="865" t="str">
        <f>IF(TRIM($B309)="","",IF($AQ309=1,"Leadership",IFERROR(INDEX(Lists!$X:$X,MATCH(TRIM($K309),Lists!$W:$W,0)),IF(OR(TRIM($K309)="",LOWER(TRIM($K309))="na"),IF(TRIM($G309)="","Unassigned",TRIM($G309)),TRIM($K309)))))</f>
        <v>Group Data</v>
      </c>
      <c r="AQ309" s="865" t="b">
        <f>IF(TRIM($B309)="","",--OR(TRIM($K309)="Leadership",TRIM($J309)="Leadership"))</f>
        <v>0</v>
      </c>
      <c r="AR309" s="1136" t="str">
        <f>IF(TRIM($B309)="","",IF(IFERROR(INDEX(Lists!$AQ$2:$AQ$11,MATCH(ROW(),Lists!$AN$2:$AN$11,0)),"")&lt;&gt;"",IFERROR(INDEX(Lists!$AQ$2:$AQ$11,MATCH(ROW(),Lists!$AN$2:$AN$11,0)),""),IF(ISNUMBER(SEARCH("head of ",$C309)),"Head of Technology",IF(ISNUMBER(SEARCH("TDD BP",$C309)),"Business Partner",IF(OR(ISNUMBER(SEARCH("domain architect",$C309)),ISNUMBER(SEARCH("enterprise architect",$C309))),"Domain Architect",IF(ISNUMBER(SEARCH("delivery man",$C309)),"Delivery Manager",IF(OR(ISNUMBER(SEARCH("technology manager",$C309)),ISNUMBER(SEARCH("technology manger",$C309)),ISNUMBER(SEARCH("tech manager",$C309))),"Technology Manager","Squad")))))))</f>
        <v>Squad</v>
      </c>
      <c r="AS309" s="1136" t="str">
        <f>IF(TRIM($B309)="","",IFERROR(INDEX(Lists!$AA:$AA,MATCH($AP309,Lists!$Z:$Z,0)),$AP309))</f>
        <v>Group Data</v>
      </c>
      <c r="AT309" s="1136" t="str">
        <f>IF(TRIM($B309)="","",IF(IFERROR(INDEX(Lists!$AP$2:$AP$11,MATCH(ROW(),Lists!$AN$2:$AN$11,0)),"")&lt;&gt;"",IFERROR(INDEX(Lists!$AP$2:$AP$11,MATCH(ROW(),Lists!$AN$2:$AN$11,0)),""),IF(OR(LEFT($AJ309,3)="COE",$AJ309="EGI"),$AP309,IF($AR309&lt;&gt;"Squad",$AR309,$AP309))))</f>
        <v>Group Data</v>
      </c>
    </row>
    <row r="310" ht="18" customHeight="1" s="866">
      <c r="A310" s="1155" t="n">
        <v>80549</v>
      </c>
      <c r="B310" s="1156" t="inlineStr">
        <is>
          <t>Steve Murray</t>
        </is>
      </c>
      <c r="C310" s="1156" t="inlineStr">
        <is>
          <t>Applications Specialist</t>
        </is>
      </c>
      <c r="D310" s="1156" t="inlineStr">
        <is>
          <t>Sai Konka</t>
        </is>
      </c>
      <c r="E310" s="1156" t="inlineStr">
        <is>
          <t>Applications &amp; Analytics Manager</t>
        </is>
      </c>
      <c r="F310" s="1257" t="inlineStr">
        <is>
          <t>Strategy, Architecture &amp; Data</t>
        </is>
      </c>
      <c r="G310" s="1158" t="inlineStr">
        <is>
          <t>Group Data</t>
        </is>
      </c>
      <c r="H310" s="1199" t="inlineStr">
        <is>
          <t>Data Engineering &amp; Platforms</t>
        </is>
      </c>
      <c r="I310" s="1199" t="inlineStr">
        <is>
          <t>Enterprise Data</t>
        </is>
      </c>
      <c r="J310" s="1199" t="inlineStr">
        <is>
          <t>EGI</t>
        </is>
      </c>
      <c r="K310" s="1199" t="inlineStr">
        <is>
          <t>Reporting &amp; Analytics</t>
        </is>
      </c>
      <c r="L310" s="1158" t="n"/>
      <c r="M310" s="1159" t="inlineStr">
        <is>
          <t>Australia</t>
        </is>
      </c>
      <c r="N310" s="1162" t="inlineStr">
        <is>
          <t>CIB</t>
        </is>
      </c>
      <c r="O310" s="1162" t="n">
        <v>1</v>
      </c>
      <c r="P310" s="1162" t="n"/>
      <c r="Q310" s="1162" t="inlineStr">
        <is>
          <t>Permanent - Full Time</t>
        </is>
      </c>
      <c r="R310" s="1162" t="n"/>
      <c r="S310" s="1162" t="n"/>
      <c r="T310" s="1163" t="n">
        <v>182000</v>
      </c>
      <c r="U310" s="1164" t="n">
        <v>182000</v>
      </c>
      <c r="V310" s="1166" t="n">
        <v>0.12</v>
      </c>
      <c r="W310" s="1170" t="n">
        <v>0.055</v>
      </c>
      <c r="X310" s="1170" t="n">
        <v>0.12</v>
      </c>
      <c r="Y310" s="1171" t="n"/>
      <c r="Z310" s="1170" t="n">
        <v>0.04</v>
      </c>
      <c r="AA310" s="1168">
        <f>IF(TRIM($B310)="","",IF(N($AU310)&gt;0,$AU310,IF(N($S310)&gt;0,$S310*Lists!$AG$15*(1+N($Z310)),N($U310)*(1+N($V310)+N($W310)+N($X310)+N($Z310))+N($Y310))))</f>
        <v>242970</v>
      </c>
      <c r="AJ310" s="865" t="str">
        <f>IF(TRIM($B310)="","",IF(IFERROR(INDEX(Lists!$AO$2:$AO$11,MATCH(ROW(),Lists!$AN$2:$AN$11,0)),"")&lt;&gt;"",IFERROR(INDEX(Lists!$AO$2:$AO$11,MATCH(ROW(),Lists!$AN$2:$AN$11,0)),""),IFERROR(INDEX(Lists!$U:$U,MATCH(TRIM($I310),Lists!$T:$T,0)),TRIM($I310))))</f>
        <v>Enterprise Data</v>
      </c>
      <c r="AK310" s="865" t="str">
        <f>IF(ISNUMBER(SEARCH("vacant",$B310)),"Vacant","Filled")</f>
        <v>Filled</v>
      </c>
      <c r="AL310" s="865" t="str">
        <f>IF($M310="NZ","NZ","AU")</f>
        <v>AU</v>
      </c>
      <c r="AM310" s="865">
        <f>COUNTIF($AJ$2:$AJ310,$AJ310)</f>
        <v>15</v>
      </c>
      <c r="AN310" s="865" t="str">
        <f>$AJ310&amp;"|"&amp;$AM310</f>
        <v>Enterprise Data|15</v>
      </c>
      <c r="AP310" s="865" t="str">
        <f>IF(TRIM($B310)="","",IF($AQ310=1,"Leadership",IFERROR(INDEX(Lists!$X:$X,MATCH(TRIM($K310),Lists!$W:$W,0)),IF(OR(TRIM($K310)="",LOWER(TRIM($K310))="na"),IF(TRIM($G310)="","Unassigned",TRIM($G310)),TRIM($K310)))))</f>
        <v>Reporting &amp; Analytics</v>
      </c>
      <c r="AQ310" s="865" t="b">
        <f>IF(TRIM($B310)="","",--OR(TRIM($K310)="Leadership",TRIM($J310)="Leadership"))</f>
        <v>0</v>
      </c>
      <c r="AR310" s="1136" t="str">
        <f>IF(TRIM($B310)="","",IF(IFERROR(INDEX(Lists!$AQ$2:$AQ$11,MATCH(ROW(),Lists!$AN$2:$AN$11,0)),"")&lt;&gt;"",IFERROR(INDEX(Lists!$AQ$2:$AQ$11,MATCH(ROW(),Lists!$AN$2:$AN$11,0)),""),IF(ISNUMBER(SEARCH("head of ",$C310)),"Head of Technology",IF(ISNUMBER(SEARCH("TDD BP",$C310)),"Business Partner",IF(OR(ISNUMBER(SEARCH("domain architect",$C310)),ISNUMBER(SEARCH("enterprise architect",$C310))),"Domain Architect",IF(ISNUMBER(SEARCH("delivery man",$C310)),"Delivery Manager",IF(OR(ISNUMBER(SEARCH("technology manager",$C310)),ISNUMBER(SEARCH("technology manger",$C310)),ISNUMBER(SEARCH("tech manager",$C310))),"Technology Manager","Squad")))))))</f>
        <v>Squad</v>
      </c>
      <c r="AS310" s="1136" t="str">
        <f>IF(TRIM($B310)="","",IFERROR(INDEX(Lists!$AA:$AA,MATCH($AP310,Lists!$Z:$Z,0)),$AP310))</f>
        <v>Reporting &amp; Analytics</v>
      </c>
      <c r="AT310" s="1136" t="str">
        <f>IF(TRIM($B310)="","",IF(IFERROR(INDEX(Lists!$AP$2:$AP$11,MATCH(ROW(),Lists!$AN$2:$AN$11,0)),"")&lt;&gt;"",IFERROR(INDEX(Lists!$AP$2:$AP$11,MATCH(ROW(),Lists!$AN$2:$AN$11,0)),""),IF(OR(LEFT($AJ310,3)="COE",$AJ310="EGI"),$AP310,IF($AR310&lt;&gt;"Squad",$AR310,$AP310))))</f>
        <v>Reporting &amp; Analytics</v>
      </c>
    </row>
    <row r="311" ht="18" customHeight="1" s="866">
      <c r="A311" s="1155" t="n">
        <v>114147</v>
      </c>
      <c r="B311" s="1156" t="inlineStr">
        <is>
          <t>Sumathi Manikkampichai</t>
        </is>
      </c>
      <c r="C311" s="1156" t="inlineStr">
        <is>
          <t>Data Architect</t>
        </is>
      </c>
      <c r="D311" s="1156" t="inlineStr">
        <is>
          <t>Jason Gleason</t>
        </is>
      </c>
      <c r="E311" s="1156" t="inlineStr">
        <is>
          <t>Technology Manager, Data Engineering &amp; Platforms</t>
        </is>
      </c>
      <c r="F311" s="1257" t="inlineStr">
        <is>
          <t>Strategy, Architecture &amp; Data</t>
        </is>
      </c>
      <c r="G311" s="1158" t="inlineStr">
        <is>
          <t>Group Data</t>
        </is>
      </c>
      <c r="H311" s="1199" t="inlineStr">
        <is>
          <t>Data Engineering &amp; Platforms</t>
        </is>
      </c>
      <c r="I311" s="1199" t="inlineStr">
        <is>
          <t>Enterprise Data</t>
        </is>
      </c>
      <c r="J311" s="1199" t="inlineStr">
        <is>
          <t>EGI</t>
        </is>
      </c>
      <c r="K311" s="1199" t="inlineStr">
        <is>
          <t>Reporting &amp; Analytics</t>
        </is>
      </c>
      <c r="L311" s="1158" t="n"/>
      <c r="M311" s="1159" t="inlineStr">
        <is>
          <t>Australia</t>
        </is>
      </c>
      <c r="N311" s="1160" t="inlineStr">
        <is>
          <t>CIC</t>
        </is>
      </c>
      <c r="O311" s="1160" t="n">
        <v>1</v>
      </c>
      <c r="P311" s="1160" t="n"/>
      <c r="Q311" s="1160" t="inlineStr">
        <is>
          <t>Permanent - Full Time</t>
        </is>
      </c>
      <c r="R311" s="1162" t="n"/>
      <c r="S311" s="1162" t="n"/>
      <c r="T311" s="1163" t="n">
        <v>188010</v>
      </c>
      <c r="U311" s="1164" t="n">
        <v>188010</v>
      </c>
      <c r="V311" s="1166" t="n">
        <v>0.12</v>
      </c>
      <c r="W311" s="1170" t="n">
        <v>0.055</v>
      </c>
      <c r="X311" s="1170" t="n">
        <v>0.12</v>
      </c>
      <c r="Y311" s="1171" t="n"/>
      <c r="Z311" s="1170" t="n">
        <v>0.04</v>
      </c>
      <c r="AA311" s="1168">
        <f>IF(TRIM($B311)="","",IF(N($AU311)&gt;0,$AU311,IF(N($S311)&gt;0,$S311*Lists!$AG$15*(1+N($Z311)),N($U311)*(1+N($V311)+N($W311)+N($X311)+N($Z311))+N($Y311))))</f>
        <v>250993.35</v>
      </c>
      <c r="AJ311" s="865" t="str">
        <f>IF(TRIM($B311)="","",IF(IFERROR(INDEX(Lists!$AO$2:$AO$11,MATCH(ROW(),Lists!$AN$2:$AN$11,0)),"")&lt;&gt;"",IFERROR(INDEX(Lists!$AO$2:$AO$11,MATCH(ROW(),Lists!$AN$2:$AN$11,0)),""),IFERROR(INDEX(Lists!$U:$U,MATCH(TRIM($I311),Lists!$T:$T,0)),TRIM($I311))))</f>
        <v>Enterprise Data</v>
      </c>
      <c r="AK311" s="865" t="str">
        <f>IF(ISNUMBER(SEARCH("vacant",$B311)),"Vacant","Filled")</f>
        <v>Filled</v>
      </c>
      <c r="AL311" s="865" t="str">
        <f>IF($M311="NZ","NZ","AU")</f>
        <v>AU</v>
      </c>
      <c r="AM311" s="865">
        <f>COUNTIF($AJ$2:$AJ311,$AJ311)</f>
        <v>16</v>
      </c>
      <c r="AN311" s="865" t="str">
        <f>$AJ311&amp;"|"&amp;$AM311</f>
        <v>Enterprise Data|16</v>
      </c>
      <c r="AP311" s="865" t="str">
        <f>IF(TRIM($B311)="","",IF($AQ311=1,"Leadership",IFERROR(INDEX(Lists!$X:$X,MATCH(TRIM($K311),Lists!$W:$W,0)),IF(OR(TRIM($K311)="",LOWER(TRIM($K311))="na"),IF(TRIM($G311)="","Unassigned",TRIM($G311)),TRIM($K311)))))</f>
        <v>Reporting &amp; Analytics</v>
      </c>
      <c r="AQ311" s="865" t="b">
        <f>IF(TRIM($B311)="","",--OR(TRIM($K311)="Leadership",TRIM($J311)="Leadership"))</f>
        <v>0</v>
      </c>
      <c r="AR311" s="1136" t="str">
        <f>IF(TRIM($B311)="","",IF(IFERROR(INDEX(Lists!$AQ$2:$AQ$11,MATCH(ROW(),Lists!$AN$2:$AN$11,0)),"")&lt;&gt;"",IFERROR(INDEX(Lists!$AQ$2:$AQ$11,MATCH(ROW(),Lists!$AN$2:$AN$11,0)),""),IF(ISNUMBER(SEARCH("head of ",$C311)),"Head of Technology",IF(ISNUMBER(SEARCH("TDD BP",$C311)),"Business Partner",IF(OR(ISNUMBER(SEARCH("domain architect",$C311)),ISNUMBER(SEARCH("enterprise architect",$C311))),"Domain Architect",IF(ISNUMBER(SEARCH("delivery man",$C311)),"Delivery Manager",IF(OR(ISNUMBER(SEARCH("technology manager",$C311)),ISNUMBER(SEARCH("technology manger",$C311)),ISNUMBER(SEARCH("tech manager",$C311))),"Technology Manager","Squad")))))))</f>
        <v>Squad</v>
      </c>
      <c r="AS311" s="1136" t="str">
        <f>IF(TRIM($B311)="","",IFERROR(INDEX(Lists!$AA:$AA,MATCH($AP311,Lists!$Z:$Z,0)),$AP311))</f>
        <v>Reporting &amp; Analytics</v>
      </c>
      <c r="AT311" s="1136" t="str">
        <f>IF(TRIM($B311)="","",IF(IFERROR(INDEX(Lists!$AP$2:$AP$11,MATCH(ROW(),Lists!$AN$2:$AN$11,0)),"")&lt;&gt;"",IFERROR(INDEX(Lists!$AP$2:$AP$11,MATCH(ROW(),Lists!$AN$2:$AN$11,0)),""),IF(OR(LEFT($AJ311,3)="COE",$AJ311="EGI"),$AP311,IF($AR311&lt;&gt;"Squad",$AR311,$AP311))))</f>
        <v>Reporting &amp; Analytics</v>
      </c>
    </row>
    <row r="312" ht="18" customHeight="1" s="866">
      <c r="A312" s="1155" t="n">
        <v>99999101251</v>
      </c>
      <c r="B312" s="1156" t="inlineStr">
        <is>
          <t>Tim Snedden</t>
        </is>
      </c>
      <c r="C312" s="1156" t="inlineStr">
        <is>
          <t>Delivery Lead</t>
        </is>
      </c>
      <c r="D312" s="1156" t="inlineStr">
        <is>
          <t>Joel Vijayakumar</t>
        </is>
      </c>
      <c r="E312" s="1156" t="inlineStr">
        <is>
          <t>Delivery Manager, Strategy, Architecture &amp; Data</t>
        </is>
      </c>
      <c r="F312" s="1257" t="inlineStr">
        <is>
          <t>Strategy, Architecture &amp; Data</t>
        </is>
      </c>
      <c r="G312" s="1158" t="inlineStr">
        <is>
          <t>Delivery, SADA</t>
        </is>
      </c>
      <c r="H312" s="1158" t="n"/>
      <c r="I312" s="1158" t="inlineStr">
        <is>
          <t>Enterprise Data</t>
        </is>
      </c>
      <c r="J312" s="1199" t="inlineStr">
        <is>
          <t>Group Data</t>
        </is>
      </c>
      <c r="K312" s="1158" t="inlineStr">
        <is>
          <t>Data Platform</t>
        </is>
      </c>
      <c r="L312" s="1158" t="n"/>
      <c r="M312" s="1159" t="inlineStr">
        <is>
          <t>NZ</t>
        </is>
      </c>
      <c r="N312" s="1160" t="inlineStr">
        <is>
          <t>CSB</t>
        </is>
      </c>
      <c r="O312" s="1161" t="n">
        <v>1</v>
      </c>
      <c r="P312" s="1160" t="n"/>
      <c r="Q312" s="1161" t="inlineStr">
        <is>
          <t>Permanent - Full Time</t>
        </is>
      </c>
      <c r="R312" s="1162" t="n"/>
      <c r="S312" s="1162" t="n"/>
      <c r="T312" s="1163" t="n">
        <v>161600</v>
      </c>
      <c r="U312" s="1164" t="n">
        <v>148672</v>
      </c>
      <c r="V312" s="1165" t="n">
        <v>0.15</v>
      </c>
      <c r="W312" s="1162" t="n"/>
      <c r="X312" s="1166" t="n">
        <v>0.05</v>
      </c>
      <c r="Y312" s="1907" t="n">
        <v>2910</v>
      </c>
      <c r="Z312" s="1166" t="n">
        <v>0.03</v>
      </c>
      <c r="AA312" s="1168">
        <f>IF(TRIM($B312)="","",IF(N($AU312)&gt;0,$AU312,IF(N($S312)&gt;0,$S312*Lists!$AG$15*(1+N($Z312)),N($U312)*(1+N($V312)+N($W312)+N($X312)+N($Z312))+N($Y312))))</f>
        <v>185776.56</v>
      </c>
      <c r="AB312" s="1248" t="n">
        <v>15175</v>
      </c>
      <c r="AH312" s="1908" t="n">
        <v>330</v>
      </c>
      <c r="AJ312" s="865" t="str">
        <f>IF(TRIM($B312)="","",IF(IFERROR(INDEX(Lists!$AO$2:$AO$11,MATCH(ROW(),Lists!$AN$2:$AN$11,0)),"")&lt;&gt;"",IFERROR(INDEX(Lists!$AO$2:$AO$11,MATCH(ROW(),Lists!$AN$2:$AN$11,0)),""),IFERROR(INDEX(Lists!$U:$U,MATCH(TRIM($I312),Lists!$T:$T,0)),TRIM($I312))))</f>
        <v>Enterprise Data</v>
      </c>
      <c r="AK312" s="865" t="str">
        <f>IF(ISNUMBER(SEARCH("vacant",$B312)),"Vacant","Filled")</f>
        <v>Filled</v>
      </c>
      <c r="AL312" s="865" t="str">
        <f>IF($M312="NZ","NZ","AU")</f>
        <v>NZ</v>
      </c>
      <c r="AM312" s="865">
        <f>COUNTIF($AJ$2:$AJ312,$AJ312)</f>
        <v>17</v>
      </c>
      <c r="AN312" s="865" t="str">
        <f>$AJ312&amp;"|"&amp;$AM312</f>
        <v>Enterprise Data|17</v>
      </c>
      <c r="AP312" s="865" t="str">
        <f>IF(TRIM($B312)="","",IF($AQ312=1,"Leadership",IFERROR(INDEX(Lists!$X:$X,MATCH(TRIM($K312),Lists!$W:$W,0)),IF(OR(TRIM($K312)="",LOWER(TRIM($K312))="na"),IF(TRIM($G312)="","Unassigned",TRIM($G312)),TRIM($K312)))))</f>
        <v>Data Platforms</v>
      </c>
      <c r="AQ312" s="865" t="b">
        <f>IF(TRIM($B312)="","",--OR(TRIM($K312)="Leadership",TRIM($J312)="Leadership"))</f>
        <v>0</v>
      </c>
      <c r="AR312" s="1136" t="str">
        <f>IF(TRIM($B312)="","",IF(IFERROR(INDEX(Lists!$AQ$2:$AQ$11,MATCH(ROW(),Lists!$AN$2:$AN$11,0)),"")&lt;&gt;"",IFERROR(INDEX(Lists!$AQ$2:$AQ$11,MATCH(ROW(),Lists!$AN$2:$AN$11,0)),""),IF(ISNUMBER(SEARCH("head of ",$C312)),"Head of Technology",IF(ISNUMBER(SEARCH("TDD BP",$C312)),"Business Partner",IF(OR(ISNUMBER(SEARCH("domain architect",$C312)),ISNUMBER(SEARCH("enterprise architect",$C312))),"Domain Architect",IF(ISNUMBER(SEARCH("delivery man",$C312)),"Delivery Manager",IF(OR(ISNUMBER(SEARCH("technology manager",$C312)),ISNUMBER(SEARCH("technology manger",$C312)),ISNUMBER(SEARCH("tech manager",$C312))),"Technology Manager","Squad")))))))</f>
        <v>Squad</v>
      </c>
      <c r="AS312" s="1136" t="str">
        <f>IF(TRIM($B312)="","",IFERROR(INDEX(Lists!$AA:$AA,MATCH($AP312,Lists!$Z:$Z,0)),$AP312))</f>
        <v>Data Platforms</v>
      </c>
      <c r="AT312" s="1136" t="str">
        <f>IF(TRIM($B312)="","",IF(IFERROR(INDEX(Lists!$AP$2:$AP$11,MATCH(ROW(),Lists!$AN$2:$AN$11,0)),"")&lt;&gt;"",IFERROR(INDEX(Lists!$AP$2:$AP$11,MATCH(ROW(),Lists!$AN$2:$AN$11,0)),""),IF(OR(LEFT($AJ312,3)="COE",$AJ312="EGI"),$AP312,IF($AR312&lt;&gt;"Squad",$AR312,$AP312))))</f>
        <v>Data Platforms</v>
      </c>
    </row>
    <row r="313" ht="18" customHeight="1" s="866">
      <c r="A313" s="1155" t="inlineStr">
        <is>
          <t>V</t>
        </is>
      </c>
      <c r="B313" s="1156" t="inlineStr">
        <is>
          <t>Vacant</t>
        </is>
      </c>
      <c r="C313" s="1156" t="inlineStr">
        <is>
          <t>Service Transition Lead</t>
        </is>
      </c>
      <c r="D313" s="1156" t="inlineStr">
        <is>
          <t>Deepali Mahajan</t>
        </is>
      </c>
      <c r="E313" s="1156" t="inlineStr">
        <is>
          <t>Data Operations Manager</t>
        </is>
      </c>
      <c r="F313" s="1257" t="inlineStr">
        <is>
          <t>Strategy, Architecture &amp; Data</t>
        </is>
      </c>
      <c r="G313" s="1158" t="inlineStr">
        <is>
          <t>Group Data</t>
        </is>
      </c>
      <c r="H313" s="1199" t="inlineStr">
        <is>
          <t>Data Operations</t>
        </is>
      </c>
      <c r="I313" s="1199" t="inlineStr">
        <is>
          <t>Enterprise Data</t>
        </is>
      </c>
      <c r="J313" s="1158" t="inlineStr">
        <is>
          <t>Leadership</t>
        </is>
      </c>
      <c r="K313" s="1158" t="n"/>
      <c r="L313" s="1158" t="n"/>
      <c r="M313" s="1159" t="inlineStr">
        <is>
          <t>Australia</t>
        </is>
      </c>
      <c r="N313" s="1160" t="inlineStr">
        <is>
          <t>CIB</t>
        </is>
      </c>
      <c r="O313" s="1160" t="n">
        <v>1</v>
      </c>
      <c r="P313" s="1160" t="n"/>
      <c r="Q313" s="1160" t="inlineStr">
        <is>
          <t>v</t>
        </is>
      </c>
      <c r="R313" s="1162" t="n"/>
      <c r="S313" s="1162" t="n"/>
      <c r="T313" s="1163" t="n">
        <v>151950</v>
      </c>
      <c r="U313" s="1164" t="n">
        <v>151950</v>
      </c>
      <c r="V313" s="1166" t="n">
        <v>0.12</v>
      </c>
      <c r="W313" s="1170" t="n">
        <v>0.055</v>
      </c>
      <c r="X313" s="1170" t="n">
        <v>0.12</v>
      </c>
      <c r="Y313" s="1171" t="n"/>
      <c r="Z313" s="1170" t="n">
        <v>0.04</v>
      </c>
      <c r="AA313" s="1168">
        <f>IF(TRIM($B313)="","",IF(N($AU313)&gt;0,$AU313,IF(N($S313)&gt;0,$S313*Lists!$AG$15*(1+N($Z313)),N($U313)*(1+N($V313)+N($W313)+N($X313)+N($Z313))+N($Y313))))</f>
        <v>202853.25</v>
      </c>
      <c r="AJ313" s="865" t="str">
        <f>IF(TRIM($B313)="","",IF(IFERROR(INDEX(Lists!$AO$2:$AO$11,MATCH(ROW(),Lists!$AN$2:$AN$11,0)),"")&lt;&gt;"",IFERROR(INDEX(Lists!$AO$2:$AO$11,MATCH(ROW(),Lists!$AN$2:$AN$11,0)),""),IFERROR(INDEX(Lists!$U:$U,MATCH(TRIM($I313),Lists!$T:$T,0)),TRIM($I313))))</f>
        <v>COE SA&amp;D</v>
      </c>
      <c r="AK313" s="865" t="str">
        <f>IF(ISNUMBER(SEARCH("vacant",$B313)),"Vacant","Filled")</f>
        <v>Vacant</v>
      </c>
      <c r="AL313" s="865" t="str">
        <f>IF($M313="NZ","NZ","AU")</f>
        <v>AU</v>
      </c>
      <c r="AM313" s="865">
        <f>COUNTIF($AJ$2:$AJ313,$AJ313)</f>
        <v>18</v>
      </c>
      <c r="AN313" s="865" t="str">
        <f>$AJ313&amp;"|"&amp;$AM313</f>
        <v>COE SA&amp;D|18</v>
      </c>
      <c r="AP313" s="865" t="str">
        <f>IF(TRIM($B313)="","",IF($AQ313=1,"Leadership",IFERROR(INDEX(Lists!$X:$X,MATCH(TRIM($K313),Lists!$W:$W,0)),IF(OR(TRIM($K313)="",LOWER(TRIM($K313))="na"),IF(TRIM($G313)="","Unassigned",TRIM($G313)),TRIM($K313)))))</f>
        <v>Leadership</v>
      </c>
      <c r="AQ313" s="865" t="b">
        <f>IF(TRIM($B313)="","",--OR(TRIM($K313)="Leadership",TRIM($J313)="Leadership"))</f>
        <v>1</v>
      </c>
      <c r="AR313" s="1136" t="str">
        <f>IF(TRIM($B313)="","",IF(IFERROR(INDEX(Lists!$AQ$2:$AQ$11,MATCH(ROW(),Lists!$AN$2:$AN$11,0)),"")&lt;&gt;"",IFERROR(INDEX(Lists!$AQ$2:$AQ$11,MATCH(ROW(),Lists!$AN$2:$AN$11,0)),""),IF(ISNUMBER(SEARCH("head of ",$C313)),"Head of Technology",IF(ISNUMBER(SEARCH("TDD BP",$C313)),"Business Partner",IF(OR(ISNUMBER(SEARCH("domain architect",$C313)),ISNUMBER(SEARCH("enterprise architect",$C313))),"Domain Architect",IF(ISNUMBER(SEARCH("delivery man",$C313)),"Delivery Manager",IF(OR(ISNUMBER(SEARCH("technology manager",$C313)),ISNUMBER(SEARCH("technology manger",$C313)),ISNUMBER(SEARCH("tech manager",$C313))),"Technology Manager","Squad")))))))</f>
        <v>Squad</v>
      </c>
      <c r="AS313" s="1136" t="str">
        <f>IF(TRIM($B313)="","",IFERROR(INDEX(Lists!$AA:$AA,MATCH($AP313,Lists!$Z:$Z,0)),$AP313))</f>
        <v>Leadership</v>
      </c>
      <c r="AT313" s="1136" t="str">
        <f>IF(TRIM($B313)="","",IF(IFERROR(INDEX(Lists!$AP$2:$AP$11,MATCH(ROW(),Lists!$AN$2:$AN$11,0)),"")&lt;&gt;"",IFERROR(INDEX(Lists!$AP$2:$AP$11,MATCH(ROW(),Lists!$AN$2:$AN$11,0)),""),IF(OR(LEFT($AJ313,3)="COE",$AJ313="EGI"),$AP313,IF($AR313&lt;&gt;"Squad",$AR313,$AP313))))</f>
        <v>Group Data</v>
      </c>
    </row>
    <row r="314" ht="18" customHeight="1" s="866">
      <c r="A314" s="1155" t="inlineStr">
        <is>
          <t>V</t>
        </is>
      </c>
      <c r="B314" s="1156" t="inlineStr">
        <is>
          <t>Vacant</t>
        </is>
      </c>
      <c r="C314" s="1156" t="inlineStr">
        <is>
          <t xml:space="preserve">Engineer Data  </t>
        </is>
      </c>
      <c r="D314" s="1156" t="inlineStr">
        <is>
          <t>Dinesh Chandrasekaran</t>
        </is>
      </c>
      <c r="E314" s="1156" t="inlineStr">
        <is>
          <t>Lead Engineer (Snowflake)</t>
        </is>
      </c>
      <c r="F314" s="1257" t="inlineStr">
        <is>
          <t>Strategy, Architecture &amp; Data</t>
        </is>
      </c>
      <c r="G314" s="1158" t="inlineStr">
        <is>
          <t>Group Data</t>
        </is>
      </c>
      <c r="H314" s="1199" t="inlineStr">
        <is>
          <t>Data Engineering &amp; Platforms</t>
        </is>
      </c>
      <c r="I314" s="1158" t="inlineStr">
        <is>
          <t>Enterprise Data</t>
        </is>
      </c>
      <c r="J314" s="1199" t="inlineStr">
        <is>
          <t>Group Data</t>
        </is>
      </c>
      <c r="K314" s="1158" t="inlineStr">
        <is>
          <t>Data Platform</t>
        </is>
      </c>
      <c r="L314" s="1158" t="n"/>
      <c r="M314" s="1159" t="inlineStr">
        <is>
          <t>Australia</t>
        </is>
      </c>
      <c r="N314" s="1160" t="inlineStr">
        <is>
          <t>CIB</t>
        </is>
      </c>
      <c r="O314" s="1160" t="n">
        <v>1</v>
      </c>
      <c r="P314" s="1160" t="n"/>
      <c r="Q314" s="1160" t="inlineStr">
        <is>
          <t>V</t>
        </is>
      </c>
      <c r="R314" s="1162" t="n"/>
      <c r="S314" s="1162" t="n"/>
      <c r="T314" s="1163" t="n">
        <v>151950</v>
      </c>
      <c r="U314" s="1164" t="n">
        <v>151950</v>
      </c>
      <c r="V314" s="1166" t="n">
        <v>0.12</v>
      </c>
      <c r="W314" s="1170" t="n">
        <v>0.055</v>
      </c>
      <c r="X314" s="1170" t="n">
        <v>0.12</v>
      </c>
      <c r="Y314" s="1171" t="n"/>
      <c r="Z314" s="1170" t="n">
        <v>0.04</v>
      </c>
      <c r="AA314" s="1168">
        <f>IF(TRIM($B314)="","",IF(N($AU314)&gt;0,$AU314,IF(N($S314)&gt;0,$S314*Lists!$AG$15*(1+N($Z314)),N($U314)*(1+N($V314)+N($W314)+N($X314)+N($Z314))+N($Y314))))</f>
        <v>202853.25</v>
      </c>
      <c r="AJ314" s="865" t="str">
        <f>IF(TRIM($B314)="","",IF(IFERROR(INDEX(Lists!$AO$2:$AO$11,MATCH(ROW(),Lists!$AN$2:$AN$11,0)),"")&lt;&gt;"",IFERROR(INDEX(Lists!$AO$2:$AO$11,MATCH(ROW(),Lists!$AN$2:$AN$11,0)),""),IFERROR(INDEX(Lists!$U:$U,MATCH(TRIM($I314),Lists!$T:$T,0)),TRIM($I314))))</f>
        <v>Enterprise Data</v>
      </c>
      <c r="AK314" s="865" t="str">
        <f>IF(ISNUMBER(SEARCH("vacant",$B314)),"Vacant","Filled")</f>
        <v>Vacant</v>
      </c>
      <c r="AL314" s="865" t="str">
        <f>IF($M314="NZ","NZ","AU")</f>
        <v>AU</v>
      </c>
      <c r="AM314" s="865">
        <f>COUNTIF($AJ$2:$AJ314,$AJ314)</f>
        <v>18</v>
      </c>
      <c r="AN314" s="865" t="str">
        <f>$AJ314&amp;"|"&amp;$AM314</f>
        <v>Enterprise Data|18</v>
      </c>
      <c r="AP314" s="865" t="str">
        <f>IF(TRIM($B314)="","",IF($AQ314=1,"Leadership",IFERROR(INDEX(Lists!$X:$X,MATCH(TRIM($K314),Lists!$W:$W,0)),IF(OR(TRIM($K314)="",LOWER(TRIM($K314))="na"),IF(TRIM($G314)="","Unassigned",TRIM($G314)),TRIM($K314)))))</f>
        <v>Data Platforms</v>
      </c>
      <c r="AQ314" s="865" t="b">
        <f>IF(TRIM($B314)="","",--OR(TRIM($K314)="Leadership",TRIM($J314)="Leadership"))</f>
        <v>0</v>
      </c>
      <c r="AR314" s="1136" t="str">
        <f>IF(TRIM($B314)="","",IF(IFERROR(INDEX(Lists!$AQ$2:$AQ$11,MATCH(ROW(),Lists!$AN$2:$AN$11,0)),"")&lt;&gt;"",IFERROR(INDEX(Lists!$AQ$2:$AQ$11,MATCH(ROW(),Lists!$AN$2:$AN$11,0)),""),IF(ISNUMBER(SEARCH("head of ",$C314)),"Head of Technology",IF(ISNUMBER(SEARCH("TDD BP",$C314)),"Business Partner",IF(OR(ISNUMBER(SEARCH("domain architect",$C314)),ISNUMBER(SEARCH("enterprise architect",$C314))),"Domain Architect",IF(ISNUMBER(SEARCH("delivery man",$C314)),"Delivery Manager",IF(OR(ISNUMBER(SEARCH("technology manager",$C314)),ISNUMBER(SEARCH("technology manger",$C314)),ISNUMBER(SEARCH("tech manager",$C314))),"Technology Manager","Squad")))))))</f>
        <v>Squad</v>
      </c>
      <c r="AS314" s="1136" t="str">
        <f>IF(TRIM($B314)="","",IFERROR(INDEX(Lists!$AA:$AA,MATCH($AP314,Lists!$Z:$Z,0)),$AP314))</f>
        <v>Data Platforms</v>
      </c>
      <c r="AT314" s="1136" t="str">
        <f>IF(TRIM($B314)="","",IF(IFERROR(INDEX(Lists!$AP$2:$AP$11,MATCH(ROW(),Lists!$AN$2:$AN$11,0)),"")&lt;&gt;"",IFERROR(INDEX(Lists!$AP$2:$AP$11,MATCH(ROW(),Lists!$AN$2:$AN$11,0)),""),IF(OR(LEFT($AJ314,3)="COE",$AJ314="EGI"),$AP314,IF($AR314&lt;&gt;"Squad",$AR314,$AP314))))</f>
        <v>Data Platforms</v>
      </c>
    </row>
    <row r="315" ht="18" customHeight="1" s="866">
      <c r="A315" s="1155" t="inlineStr">
        <is>
          <t>V</t>
        </is>
      </c>
      <c r="B315" s="1156" t="inlineStr">
        <is>
          <t>Vacant</t>
        </is>
      </c>
      <c r="C315" s="1156" t="inlineStr">
        <is>
          <t>Quality Assurance</t>
        </is>
      </c>
      <c r="D315" s="1156" t="inlineStr">
        <is>
          <t>Dinesh Chandrasekaran</t>
        </is>
      </c>
      <c r="E315" s="1156" t="inlineStr">
        <is>
          <t>Lead Engineer (Snowflake)</t>
        </is>
      </c>
      <c r="F315" s="1257" t="inlineStr">
        <is>
          <t>Strategy, Architecture &amp; Data</t>
        </is>
      </c>
      <c r="G315" s="1158" t="inlineStr">
        <is>
          <t>Group Data</t>
        </is>
      </c>
      <c r="H315" s="1199" t="inlineStr">
        <is>
          <t>Data Engineering &amp; Platforms</t>
        </is>
      </c>
      <c r="I315" s="1158" t="inlineStr">
        <is>
          <t>Enterprise Data</t>
        </is>
      </c>
      <c r="J315" s="1199" t="inlineStr">
        <is>
          <t>Group Data</t>
        </is>
      </c>
      <c r="K315" s="1158" t="inlineStr">
        <is>
          <t>Data Platform</t>
        </is>
      </c>
      <c r="L315" s="1158" t="n"/>
      <c r="M315" s="1159" t="inlineStr">
        <is>
          <t>Australia</t>
        </is>
      </c>
      <c r="N315" s="1160" t="inlineStr">
        <is>
          <t>CIA</t>
        </is>
      </c>
      <c r="O315" s="1160" t="n">
        <v>1</v>
      </c>
      <c r="P315" s="1160" t="n"/>
      <c r="Q315" s="1160" t="inlineStr">
        <is>
          <t>v</t>
        </is>
      </c>
      <c r="R315" s="1162" t="n"/>
      <c r="S315" s="1162" t="n"/>
      <c r="T315" s="1162" t="n">
        <v>129650</v>
      </c>
      <c r="U315" s="1164" t="n">
        <v>129650</v>
      </c>
      <c r="V315" s="1166" t="n">
        <v>0.1</v>
      </c>
      <c r="W315" s="1170" t="n">
        <v>0.055</v>
      </c>
      <c r="X315" s="1170" t="n">
        <v>0.12</v>
      </c>
      <c r="Y315" s="1171" t="n"/>
      <c r="Z315" s="1170" t="n">
        <v>0.04</v>
      </c>
      <c r="AA315" s="1168">
        <f>IF(TRIM($B315)="","",IF(N($AU315)&gt;0,$AU315,IF(N($S315)&gt;0,$S315*Lists!$AG$15*(1+N($Z315)),N($U315)*(1+N($V315)+N($W315)+N($X315)+N($Z315))+N($Y315))))</f>
        <v>170489.75</v>
      </c>
      <c r="AJ315" s="865" t="str">
        <f>IF(TRIM($B315)="","",IF(IFERROR(INDEX(Lists!$AO$2:$AO$11,MATCH(ROW(),Lists!$AN$2:$AN$11,0)),"")&lt;&gt;"",IFERROR(INDEX(Lists!$AO$2:$AO$11,MATCH(ROW(),Lists!$AN$2:$AN$11,0)),""),IFERROR(INDEX(Lists!$U:$U,MATCH(TRIM($I315),Lists!$T:$T,0)),TRIM($I315))))</f>
        <v>Enterprise Data</v>
      </c>
      <c r="AK315" s="865" t="str">
        <f>IF(ISNUMBER(SEARCH("vacant",$B315)),"Vacant","Filled")</f>
        <v>Vacant</v>
      </c>
      <c r="AL315" s="865" t="str">
        <f>IF($M315="NZ","NZ","AU")</f>
        <v>AU</v>
      </c>
      <c r="AM315" s="865">
        <f>COUNTIF($AJ$2:$AJ315,$AJ315)</f>
        <v>19</v>
      </c>
      <c r="AN315" s="865" t="str">
        <f>$AJ315&amp;"|"&amp;$AM315</f>
        <v>Enterprise Data|19</v>
      </c>
      <c r="AP315" s="865" t="str">
        <f>IF(TRIM($B315)="","",IF($AQ315=1,"Leadership",IFERROR(INDEX(Lists!$X:$X,MATCH(TRIM($K315),Lists!$W:$W,0)),IF(OR(TRIM($K315)="",LOWER(TRIM($K315))="na"),IF(TRIM($G315)="","Unassigned",TRIM($G315)),TRIM($K315)))))</f>
        <v>Data Platforms</v>
      </c>
      <c r="AQ315" s="865" t="b">
        <f>IF(TRIM($B315)="","",--OR(TRIM($K315)="Leadership",TRIM($J315)="Leadership"))</f>
        <v>0</v>
      </c>
      <c r="AR315" s="1136" t="str">
        <f>IF(TRIM($B315)="","",IF(IFERROR(INDEX(Lists!$AQ$2:$AQ$11,MATCH(ROW(),Lists!$AN$2:$AN$11,0)),"")&lt;&gt;"",IFERROR(INDEX(Lists!$AQ$2:$AQ$11,MATCH(ROW(),Lists!$AN$2:$AN$11,0)),""),IF(ISNUMBER(SEARCH("head of ",$C315)),"Head of Technology",IF(ISNUMBER(SEARCH("TDD BP",$C315)),"Business Partner",IF(OR(ISNUMBER(SEARCH("domain architect",$C315)),ISNUMBER(SEARCH("enterprise architect",$C315))),"Domain Architect",IF(ISNUMBER(SEARCH("delivery man",$C315)),"Delivery Manager",IF(OR(ISNUMBER(SEARCH("technology manager",$C315)),ISNUMBER(SEARCH("technology manger",$C315)),ISNUMBER(SEARCH("tech manager",$C315))),"Technology Manager","Squad")))))))</f>
        <v>Squad</v>
      </c>
      <c r="AS315" s="1136" t="str">
        <f>IF(TRIM($B315)="","",IFERROR(INDEX(Lists!$AA:$AA,MATCH($AP315,Lists!$Z:$Z,0)),$AP315))</f>
        <v>Data Platforms</v>
      </c>
      <c r="AT315" s="1136" t="str">
        <f>IF(TRIM($B315)="","",IF(IFERROR(INDEX(Lists!$AP$2:$AP$11,MATCH(ROW(),Lists!$AN$2:$AN$11,0)),"")&lt;&gt;"",IFERROR(INDEX(Lists!$AP$2:$AP$11,MATCH(ROW(),Lists!$AN$2:$AN$11,0)),""),IF(OR(LEFT($AJ315,3)="COE",$AJ315="EGI"),$AP315,IF($AR315&lt;&gt;"Squad",$AR315,$AP315))))</f>
        <v>Data Platforms</v>
      </c>
    </row>
    <row r="316" ht="18" customHeight="1" s="866">
      <c r="A316" s="1155" t="inlineStr">
        <is>
          <t>V</t>
        </is>
      </c>
      <c r="B316" s="1156" t="inlineStr">
        <is>
          <t>Vacant</t>
        </is>
      </c>
      <c r="C316" s="1156" t="inlineStr">
        <is>
          <t>Engineer - DevOps</t>
        </is>
      </c>
      <c r="D316" s="1156" t="inlineStr">
        <is>
          <t>Jason Gleason</t>
        </is>
      </c>
      <c r="E316" s="1156" t="inlineStr">
        <is>
          <t>Technology Manager, Data Engineering &amp; Platforms</t>
        </is>
      </c>
      <c r="F316" s="1257" t="inlineStr">
        <is>
          <t>Strategy, Architecture &amp; Data</t>
        </is>
      </c>
      <c r="G316" s="1158" t="inlineStr">
        <is>
          <t>Group Data</t>
        </is>
      </c>
      <c r="H316" s="1199" t="inlineStr">
        <is>
          <t>Data Engineering &amp; Platforms</t>
        </is>
      </c>
      <c r="I316" s="1158" t="inlineStr">
        <is>
          <t>Enterprise Data</t>
        </is>
      </c>
      <c r="J316" s="1199" t="inlineStr">
        <is>
          <t>Group Data</t>
        </is>
      </c>
      <c r="K316" s="1158" t="inlineStr">
        <is>
          <t>Data Platform</t>
        </is>
      </c>
      <c r="L316" s="1158" t="n"/>
      <c r="M316" s="1159" t="inlineStr">
        <is>
          <t>Australia</t>
        </is>
      </c>
      <c r="N316" s="1160" t="inlineStr">
        <is>
          <t>cib</t>
        </is>
      </c>
      <c r="O316" s="1160" t="n">
        <v>1</v>
      </c>
      <c r="P316" s="1160" t="n"/>
      <c r="Q316" s="1160" t="inlineStr">
        <is>
          <t>V</t>
        </is>
      </c>
      <c r="R316" s="1162" t="n"/>
      <c r="S316" s="1162" t="n"/>
      <c r="T316" s="1162" t="n">
        <v>151950</v>
      </c>
      <c r="U316" s="1164" t="n">
        <v>151950</v>
      </c>
      <c r="V316" s="1166" t="n">
        <v>0.12</v>
      </c>
      <c r="W316" s="1170" t="n">
        <v>0.055</v>
      </c>
      <c r="X316" s="1170" t="n">
        <v>0.12</v>
      </c>
      <c r="Y316" s="1171" t="n"/>
      <c r="Z316" s="1170" t="n">
        <v>0.04</v>
      </c>
      <c r="AA316" s="1168">
        <f>IF(TRIM($B316)="","",IF(N($AU316)&gt;0,$AU316,IF(N($S316)&gt;0,$S316*Lists!$AG$15*(1+N($Z316)),N($U316)*(1+N($V316)+N($W316)+N($X316)+N($Z316))+N($Y316))))</f>
        <v>202853.25</v>
      </c>
      <c r="AJ316" s="865" t="str">
        <f>IF(TRIM($B316)="","",IF(IFERROR(INDEX(Lists!$AO$2:$AO$11,MATCH(ROW(),Lists!$AN$2:$AN$11,0)),"")&lt;&gt;"",IFERROR(INDEX(Lists!$AO$2:$AO$11,MATCH(ROW(),Lists!$AN$2:$AN$11,0)),""),IFERROR(INDEX(Lists!$U:$U,MATCH(TRIM($I316),Lists!$T:$T,0)),TRIM($I316))))</f>
        <v>Enterprise Data</v>
      </c>
      <c r="AK316" s="865" t="str">
        <f>IF(ISNUMBER(SEARCH("vacant",$B316)),"Vacant","Filled")</f>
        <v>Vacant</v>
      </c>
      <c r="AL316" s="865" t="str">
        <f>IF($M316="NZ","NZ","AU")</f>
        <v>AU</v>
      </c>
      <c r="AM316" s="865">
        <f>COUNTIF($AJ$2:$AJ316,$AJ316)</f>
        <v>20</v>
      </c>
      <c r="AN316" s="865" t="str">
        <f>$AJ316&amp;"|"&amp;$AM316</f>
        <v>Enterprise Data|20</v>
      </c>
      <c r="AP316" s="865" t="str">
        <f>IF(TRIM($B316)="","",IF($AQ316=1,"Leadership",IFERROR(INDEX(Lists!$X:$X,MATCH(TRIM($K316),Lists!$W:$W,0)),IF(OR(TRIM($K316)="",LOWER(TRIM($K316))="na"),IF(TRIM($G316)="","Unassigned",TRIM($G316)),TRIM($K316)))))</f>
        <v>Data Platforms</v>
      </c>
      <c r="AQ316" s="865" t="b">
        <f>IF(TRIM($B316)="","",--OR(TRIM($K316)="Leadership",TRIM($J316)="Leadership"))</f>
        <v>0</v>
      </c>
      <c r="AR316" s="1136" t="str">
        <f>IF(TRIM($B316)="","",IF(IFERROR(INDEX(Lists!$AQ$2:$AQ$11,MATCH(ROW(),Lists!$AN$2:$AN$11,0)),"")&lt;&gt;"",IFERROR(INDEX(Lists!$AQ$2:$AQ$11,MATCH(ROW(),Lists!$AN$2:$AN$11,0)),""),IF(ISNUMBER(SEARCH("head of ",$C316)),"Head of Technology",IF(ISNUMBER(SEARCH("TDD BP",$C316)),"Business Partner",IF(OR(ISNUMBER(SEARCH("domain architect",$C316)),ISNUMBER(SEARCH("enterprise architect",$C316))),"Domain Architect",IF(ISNUMBER(SEARCH("delivery man",$C316)),"Delivery Manager",IF(OR(ISNUMBER(SEARCH("technology manager",$C316)),ISNUMBER(SEARCH("technology manger",$C316)),ISNUMBER(SEARCH("tech manager",$C316))),"Technology Manager","Squad")))))))</f>
        <v>Squad</v>
      </c>
      <c r="AS316" s="1136" t="str">
        <f>IF(TRIM($B316)="","",IFERROR(INDEX(Lists!$AA:$AA,MATCH($AP316,Lists!$Z:$Z,0)),$AP316))</f>
        <v>Data Platforms</v>
      </c>
      <c r="AT316" s="1136" t="str">
        <f>IF(TRIM($B316)="","",IF(IFERROR(INDEX(Lists!$AP$2:$AP$11,MATCH(ROW(),Lists!$AN$2:$AN$11,0)),"")&lt;&gt;"",IFERROR(INDEX(Lists!$AP$2:$AP$11,MATCH(ROW(),Lists!$AN$2:$AN$11,0)),""),IF(OR(LEFT($AJ316,3)="COE",$AJ316="EGI"),$AP316,IF($AR316&lt;&gt;"Squad",$AR316,$AP316))))</f>
        <v>Data Platforms</v>
      </c>
    </row>
    <row r="317" ht="18" customHeight="1" s="866">
      <c r="A317" s="1155" t="inlineStr">
        <is>
          <t>V</t>
        </is>
      </c>
      <c r="B317" s="1156" t="inlineStr">
        <is>
          <t>Vacant</t>
        </is>
      </c>
      <c r="C317" s="1156" t="inlineStr">
        <is>
          <t>Business Analyst</t>
        </is>
      </c>
      <c r="D317" s="1156" t="inlineStr">
        <is>
          <t>Joel Vijayakumar</t>
        </is>
      </c>
      <c r="E317" s="1156" t="inlineStr">
        <is>
          <t>Delivery Manager, Strategy, Architecture &amp; Data</t>
        </is>
      </c>
      <c r="F317" s="1257" t="inlineStr">
        <is>
          <t>Strategy, Architecture &amp; Data</t>
        </is>
      </c>
      <c r="G317" s="1158" t="inlineStr">
        <is>
          <t>Delivery, SADA</t>
        </is>
      </c>
      <c r="H317" s="1158" t="n"/>
      <c r="I317" s="1158" t="inlineStr">
        <is>
          <t>Enterprise Data</t>
        </is>
      </c>
      <c r="J317" s="1199" t="inlineStr">
        <is>
          <t>Group Data</t>
        </is>
      </c>
      <c r="K317" s="1158" t="inlineStr">
        <is>
          <t>Data Platform</t>
        </is>
      </c>
      <c r="L317" s="1158" t="n"/>
      <c r="M317" s="1159" t="inlineStr">
        <is>
          <t>Australia</t>
        </is>
      </c>
      <c r="N317" s="1160" t="inlineStr">
        <is>
          <t>CIB</t>
        </is>
      </c>
      <c r="O317" s="1160" t="n">
        <v>1</v>
      </c>
      <c r="P317" s="1160" t="n"/>
      <c r="Q317" s="1160" t="inlineStr">
        <is>
          <t>V</t>
        </is>
      </c>
      <c r="R317" s="1162" t="n"/>
      <c r="S317" s="1162" t="n"/>
      <c r="T317" s="1162" t="n">
        <v>151950</v>
      </c>
      <c r="U317" s="1164" t="n">
        <v>151950</v>
      </c>
      <c r="V317" s="1166" t="n">
        <v>0.12</v>
      </c>
      <c r="W317" s="1170" t="n">
        <v>0.055</v>
      </c>
      <c r="X317" s="1170" t="n">
        <v>0.12</v>
      </c>
      <c r="Y317" s="1171" t="n"/>
      <c r="Z317" s="1170" t="n">
        <v>0.04</v>
      </c>
      <c r="AA317" s="1168">
        <f>IF(TRIM($B317)="","",IF(N($AU317)&gt;0,$AU317,IF(N($S317)&gt;0,$S317*Lists!$AG$15*(1+N($Z317)),N($U317)*(1+N($V317)+N($W317)+N($X317)+N($Z317))+N($Y317))))</f>
        <v>202853.25</v>
      </c>
      <c r="AJ317" s="865" t="str">
        <f>IF(TRIM($B317)="","",IF(IFERROR(INDEX(Lists!$AO$2:$AO$11,MATCH(ROW(),Lists!$AN$2:$AN$11,0)),"")&lt;&gt;"",IFERROR(INDEX(Lists!$AO$2:$AO$11,MATCH(ROW(),Lists!$AN$2:$AN$11,0)),""),IFERROR(INDEX(Lists!$U:$U,MATCH(TRIM($I317),Lists!$T:$T,0)),TRIM($I317))))</f>
        <v>Enterprise Data</v>
      </c>
      <c r="AK317" s="865" t="str">
        <f>IF(ISNUMBER(SEARCH("vacant",$B317)),"Vacant","Filled")</f>
        <v>Vacant</v>
      </c>
      <c r="AL317" s="865" t="str">
        <f>IF($M317="NZ","NZ","AU")</f>
        <v>AU</v>
      </c>
      <c r="AM317" s="865">
        <f>COUNTIF($AJ$2:$AJ317,$AJ317)</f>
        <v>21</v>
      </c>
      <c r="AN317" s="865" t="str">
        <f>$AJ317&amp;"|"&amp;$AM317</f>
        <v>Enterprise Data|21</v>
      </c>
      <c r="AP317" s="865" t="str">
        <f>IF(TRIM($B317)="","",IF($AQ317=1,"Leadership",IFERROR(INDEX(Lists!$X:$X,MATCH(TRIM($K317),Lists!$W:$W,0)),IF(OR(TRIM($K317)="",LOWER(TRIM($K317))="na"),IF(TRIM($G317)="","Unassigned",TRIM($G317)),TRIM($K317)))))</f>
        <v>Data Platforms</v>
      </c>
      <c r="AQ317" s="865" t="b">
        <f>IF(TRIM($B317)="","",--OR(TRIM($K317)="Leadership",TRIM($J317)="Leadership"))</f>
        <v>0</v>
      </c>
      <c r="AR317" s="1136" t="str">
        <f>IF(TRIM($B317)="","",IF(IFERROR(INDEX(Lists!$AQ$2:$AQ$11,MATCH(ROW(),Lists!$AN$2:$AN$11,0)),"")&lt;&gt;"",IFERROR(INDEX(Lists!$AQ$2:$AQ$11,MATCH(ROW(),Lists!$AN$2:$AN$11,0)),""),IF(ISNUMBER(SEARCH("head of ",$C317)),"Head of Technology",IF(ISNUMBER(SEARCH("TDD BP",$C317)),"Business Partner",IF(OR(ISNUMBER(SEARCH("domain architect",$C317)),ISNUMBER(SEARCH("enterprise architect",$C317))),"Domain Architect",IF(ISNUMBER(SEARCH("delivery man",$C317)),"Delivery Manager",IF(OR(ISNUMBER(SEARCH("technology manager",$C317)),ISNUMBER(SEARCH("technology manger",$C317)),ISNUMBER(SEARCH("tech manager",$C317))),"Technology Manager","Squad")))))))</f>
        <v>Squad</v>
      </c>
      <c r="AS317" s="1136" t="str">
        <f>IF(TRIM($B317)="","",IFERROR(INDEX(Lists!$AA:$AA,MATCH($AP317,Lists!$Z:$Z,0)),$AP317))</f>
        <v>Data Platforms</v>
      </c>
      <c r="AT317" s="1136" t="str">
        <f>IF(TRIM($B317)="","",IF(IFERROR(INDEX(Lists!$AP$2:$AP$11,MATCH(ROW(),Lists!$AN$2:$AN$11,0)),"")&lt;&gt;"",IFERROR(INDEX(Lists!$AP$2:$AP$11,MATCH(ROW(),Lists!$AN$2:$AN$11,0)),""),IF(OR(LEFT($AJ317,3)="COE",$AJ317="EGI"),$AP317,IF($AR317&lt;&gt;"Squad",$AR317,$AP317))))</f>
        <v>Data Platforms</v>
      </c>
    </row>
    <row r="318" ht="18" customHeight="1" s="866">
      <c r="A318" s="1155" t="inlineStr">
        <is>
          <t>V</t>
        </is>
      </c>
      <c r="B318" s="1156" t="inlineStr">
        <is>
          <t>Vacant</t>
        </is>
      </c>
      <c r="C318" s="1156" t="inlineStr">
        <is>
          <t>Business Analyst</t>
        </is>
      </c>
      <c r="D318" s="1156" t="inlineStr">
        <is>
          <t>Joel Vijayakumar</t>
        </is>
      </c>
      <c r="E318" s="1156" t="inlineStr">
        <is>
          <t>Delivery Manager, Strategy, Architecture &amp; Data</t>
        </is>
      </c>
      <c r="F318" s="1257" t="inlineStr">
        <is>
          <t>Strategy, Architecture &amp; Data</t>
        </is>
      </c>
      <c r="G318" s="1158" t="inlineStr">
        <is>
          <t>Delivery, SADA</t>
        </is>
      </c>
      <c r="H318" s="1158" t="n"/>
      <c r="I318" s="1199" t="inlineStr">
        <is>
          <t>Enterprise Data</t>
        </is>
      </c>
      <c r="J318" s="1199" t="inlineStr">
        <is>
          <t>EGI</t>
        </is>
      </c>
      <c r="K318" s="1199" t="inlineStr">
        <is>
          <t>Reporting &amp; Analytics</t>
        </is>
      </c>
      <c r="L318" s="1158" t="n"/>
      <c r="M318" s="1159" t="inlineStr">
        <is>
          <t>Australia</t>
        </is>
      </c>
      <c r="N318" s="1160" t="inlineStr">
        <is>
          <t>CIB</t>
        </is>
      </c>
      <c r="O318" s="1160" t="n">
        <v>1</v>
      </c>
      <c r="P318" s="1160" t="n"/>
      <c r="Q318" s="1160" t="inlineStr">
        <is>
          <t>Pause</t>
        </is>
      </c>
      <c r="R318" s="1162" t="n"/>
      <c r="S318" s="1162" t="n"/>
      <c r="T318" s="1162" t="n">
        <v>151950</v>
      </c>
      <c r="U318" s="1164" t="n">
        <v>151950</v>
      </c>
      <c r="V318" s="1166" t="n">
        <v>0.12</v>
      </c>
      <c r="W318" s="1170" t="n">
        <v>0.055</v>
      </c>
      <c r="X318" s="1170" t="n">
        <v>0.12</v>
      </c>
      <c r="Y318" s="1171" t="n"/>
      <c r="Z318" s="1170" t="n">
        <v>0.04</v>
      </c>
      <c r="AA318" s="1168">
        <f>IF(TRIM($B318)="","",IF(N($AU318)&gt;0,$AU318,IF(N($S318)&gt;0,$S318*Lists!$AG$15*(1+N($Z318)),N($U318)*(1+N($V318)+N($W318)+N($X318)+N($Z318))+N($Y318))))</f>
        <v>202853.25</v>
      </c>
      <c r="AJ318" s="865" t="str">
        <f>IF(TRIM($B318)="","",IF(IFERROR(INDEX(Lists!$AO$2:$AO$11,MATCH(ROW(),Lists!$AN$2:$AN$11,0)),"")&lt;&gt;"",IFERROR(INDEX(Lists!$AO$2:$AO$11,MATCH(ROW(),Lists!$AN$2:$AN$11,0)),""),IFERROR(INDEX(Lists!$U:$U,MATCH(TRIM($I318),Lists!$T:$T,0)),TRIM($I318))))</f>
        <v>Enterprise Data</v>
      </c>
      <c r="AK318" s="865" t="str">
        <f>IF(ISNUMBER(SEARCH("vacant",$B318)),"Vacant","Filled")</f>
        <v>Vacant</v>
      </c>
      <c r="AL318" s="865" t="str">
        <f>IF($M318="NZ","NZ","AU")</f>
        <v>AU</v>
      </c>
      <c r="AM318" s="865">
        <f>COUNTIF($AJ$2:$AJ318,$AJ318)</f>
        <v>22</v>
      </c>
      <c r="AN318" s="865" t="str">
        <f>$AJ318&amp;"|"&amp;$AM318</f>
        <v>Enterprise Data|22</v>
      </c>
      <c r="AP318" s="865" t="str">
        <f>IF(TRIM($B318)="","",IF($AQ318=1,"Leadership",IFERROR(INDEX(Lists!$X:$X,MATCH(TRIM($K318),Lists!$W:$W,0)),IF(OR(TRIM($K318)="",LOWER(TRIM($K318))="na"),IF(TRIM($G318)="","Unassigned",TRIM($G318)),TRIM($K318)))))</f>
        <v>Reporting &amp; Analytics</v>
      </c>
      <c r="AQ318" s="865" t="b">
        <f>IF(TRIM($B318)="","",--OR(TRIM($K318)="Leadership",TRIM($J318)="Leadership"))</f>
        <v>0</v>
      </c>
      <c r="AR318" s="1136" t="str">
        <f>IF(TRIM($B318)="","",IF(IFERROR(INDEX(Lists!$AQ$2:$AQ$11,MATCH(ROW(),Lists!$AN$2:$AN$11,0)),"")&lt;&gt;"",IFERROR(INDEX(Lists!$AQ$2:$AQ$11,MATCH(ROW(),Lists!$AN$2:$AN$11,0)),""),IF(ISNUMBER(SEARCH("head of ",$C318)),"Head of Technology",IF(ISNUMBER(SEARCH("TDD BP",$C318)),"Business Partner",IF(OR(ISNUMBER(SEARCH("domain architect",$C318)),ISNUMBER(SEARCH("enterprise architect",$C318))),"Domain Architect",IF(ISNUMBER(SEARCH("delivery man",$C318)),"Delivery Manager",IF(OR(ISNUMBER(SEARCH("technology manager",$C318)),ISNUMBER(SEARCH("technology manger",$C318)),ISNUMBER(SEARCH("tech manager",$C318))),"Technology Manager","Squad")))))))</f>
        <v>Squad</v>
      </c>
      <c r="AS318" s="1136" t="str">
        <f>IF(TRIM($B318)="","",IFERROR(INDEX(Lists!$AA:$AA,MATCH($AP318,Lists!$Z:$Z,0)),$AP318))</f>
        <v>Reporting &amp; Analytics</v>
      </c>
      <c r="AT318" s="1136" t="str">
        <f>IF(TRIM($B318)="","",IF(IFERROR(INDEX(Lists!$AP$2:$AP$11,MATCH(ROW(),Lists!$AN$2:$AN$11,0)),"")&lt;&gt;"",IFERROR(INDEX(Lists!$AP$2:$AP$11,MATCH(ROW(),Lists!$AN$2:$AN$11,0)),""),IF(OR(LEFT($AJ318,3)="COE",$AJ318="EGI"),$AP318,IF($AR318&lt;&gt;"Squad",$AR318,$AP318))))</f>
        <v>Reporting &amp; Analytics</v>
      </c>
    </row>
    <row r="319" ht="18" customHeight="1" s="866">
      <c r="A319" s="1155" t="inlineStr">
        <is>
          <t>V</t>
        </is>
      </c>
      <c r="B319" s="1156" t="inlineStr">
        <is>
          <t>Vacant</t>
        </is>
      </c>
      <c r="C319" s="1156" t="inlineStr">
        <is>
          <t>Engineer - Data</t>
        </is>
      </c>
      <c r="D319" s="1156" t="inlineStr">
        <is>
          <t>Roozbeh Shahbazirad</t>
        </is>
      </c>
      <c r="E319" s="1156" t="inlineStr">
        <is>
          <t>Lead Engineer (Databricks)</t>
        </is>
      </c>
      <c r="F319" s="1257" t="inlineStr">
        <is>
          <t>Strategy, Architecture &amp; Data</t>
        </is>
      </c>
      <c r="G319" s="1158" t="inlineStr">
        <is>
          <t>Group Data</t>
        </is>
      </c>
      <c r="H319" s="1199" t="inlineStr">
        <is>
          <t>Data Engineering &amp; Platforms</t>
        </is>
      </c>
      <c r="I319" s="1158" t="inlineStr">
        <is>
          <t>Enterprise Data</t>
        </is>
      </c>
      <c r="J319" s="1199" t="inlineStr">
        <is>
          <t>Group Data</t>
        </is>
      </c>
      <c r="K319" s="1158" t="inlineStr">
        <is>
          <t>Data Platform</t>
        </is>
      </c>
      <c r="L319" s="1158" t="n"/>
      <c r="M319" s="1159" t="inlineStr">
        <is>
          <t>Australia</t>
        </is>
      </c>
      <c r="N319" s="1160" t="inlineStr">
        <is>
          <t>CIB</t>
        </is>
      </c>
      <c r="O319" s="1160" t="n">
        <v>1</v>
      </c>
      <c r="P319" s="1160" t="n"/>
      <c r="Q319" s="1160" t="inlineStr">
        <is>
          <t>V</t>
        </is>
      </c>
      <c r="R319" s="1162" t="n"/>
      <c r="S319" s="1162" t="n"/>
      <c r="T319" s="1162" t="n">
        <v>151950</v>
      </c>
      <c r="U319" s="1164" t="n">
        <v>151950</v>
      </c>
      <c r="V319" s="1166" t="n">
        <v>0.12</v>
      </c>
      <c r="W319" s="1170" t="n">
        <v>0.055</v>
      </c>
      <c r="X319" s="1170" t="n">
        <v>0.12</v>
      </c>
      <c r="Y319" s="1171" t="n"/>
      <c r="Z319" s="1170" t="n">
        <v>0.04</v>
      </c>
      <c r="AA319" s="1168">
        <f>IF(TRIM($B319)="","",IF(N($AU319)&gt;0,$AU319,IF(N($S319)&gt;0,$S319*Lists!$AG$15*(1+N($Z319)),N($U319)*(1+N($V319)+N($W319)+N($X319)+N($Z319))+N($Y319))))</f>
        <v>202853.25</v>
      </c>
      <c r="AJ319" s="865" t="str">
        <f>IF(TRIM($B319)="","",IF(IFERROR(INDEX(Lists!$AO$2:$AO$11,MATCH(ROW(),Lists!$AN$2:$AN$11,0)),"")&lt;&gt;"",IFERROR(INDEX(Lists!$AO$2:$AO$11,MATCH(ROW(),Lists!$AN$2:$AN$11,0)),""),IFERROR(INDEX(Lists!$U:$U,MATCH(TRIM($I319),Lists!$T:$T,0)),TRIM($I319))))</f>
        <v>Enterprise Data</v>
      </c>
      <c r="AK319" s="865" t="str">
        <f>IF(ISNUMBER(SEARCH("vacant",$B319)),"Vacant","Filled")</f>
        <v>Vacant</v>
      </c>
      <c r="AL319" s="865" t="str">
        <f>IF($M319="NZ","NZ","AU")</f>
        <v>AU</v>
      </c>
      <c r="AM319" s="865">
        <f>COUNTIF($AJ$2:$AJ319,$AJ319)</f>
        <v>23</v>
      </c>
      <c r="AN319" s="865" t="str">
        <f>$AJ319&amp;"|"&amp;$AM319</f>
        <v>Enterprise Data|23</v>
      </c>
      <c r="AP319" s="865" t="str">
        <f>IF(TRIM($B319)="","",IF($AQ319=1,"Leadership",IFERROR(INDEX(Lists!$X:$X,MATCH(TRIM($K319),Lists!$W:$W,0)),IF(OR(TRIM($K319)="",LOWER(TRIM($K319))="na"),IF(TRIM($G319)="","Unassigned",TRIM($G319)),TRIM($K319)))))</f>
        <v>Data Platforms</v>
      </c>
      <c r="AQ319" s="865" t="b">
        <f>IF(TRIM($B319)="","",--OR(TRIM($K319)="Leadership",TRIM($J319)="Leadership"))</f>
        <v>0</v>
      </c>
      <c r="AR319" s="1136" t="str">
        <f>IF(TRIM($B319)="","",IF(IFERROR(INDEX(Lists!$AQ$2:$AQ$11,MATCH(ROW(),Lists!$AN$2:$AN$11,0)),"")&lt;&gt;"",IFERROR(INDEX(Lists!$AQ$2:$AQ$11,MATCH(ROW(),Lists!$AN$2:$AN$11,0)),""),IF(ISNUMBER(SEARCH("head of ",$C319)),"Head of Technology",IF(ISNUMBER(SEARCH("TDD BP",$C319)),"Business Partner",IF(OR(ISNUMBER(SEARCH("domain architect",$C319)),ISNUMBER(SEARCH("enterprise architect",$C319))),"Domain Architect",IF(ISNUMBER(SEARCH("delivery man",$C319)),"Delivery Manager",IF(OR(ISNUMBER(SEARCH("technology manager",$C319)),ISNUMBER(SEARCH("technology manger",$C319)),ISNUMBER(SEARCH("tech manager",$C319))),"Technology Manager","Squad")))))))</f>
        <v>Squad</v>
      </c>
      <c r="AS319" s="1136" t="str">
        <f>IF(TRIM($B319)="","",IFERROR(INDEX(Lists!$AA:$AA,MATCH($AP319,Lists!$Z:$Z,0)),$AP319))</f>
        <v>Data Platforms</v>
      </c>
      <c r="AT319" s="1136" t="str">
        <f>IF(TRIM($B319)="","",IF(IFERROR(INDEX(Lists!$AP$2:$AP$11,MATCH(ROW(),Lists!$AN$2:$AN$11,0)),"")&lt;&gt;"",IFERROR(INDEX(Lists!$AP$2:$AP$11,MATCH(ROW(),Lists!$AN$2:$AN$11,0)),""),IF(OR(LEFT($AJ319,3)="COE",$AJ319="EGI"),$AP319,IF($AR319&lt;&gt;"Squad",$AR319,$AP319))))</f>
        <v>Data Platforms</v>
      </c>
    </row>
    <row r="320" ht="18" customHeight="1" s="866">
      <c r="A320" s="1155" t="inlineStr">
        <is>
          <t>V</t>
        </is>
      </c>
      <c r="B320" s="1156" t="inlineStr">
        <is>
          <t>Vacant</t>
        </is>
      </c>
      <c r="C320" s="1156" t="inlineStr">
        <is>
          <t>Quality Assurance</t>
        </is>
      </c>
      <c r="D320" s="1156" t="inlineStr">
        <is>
          <t>Roozbeh Shahbazirad</t>
        </is>
      </c>
      <c r="E320" s="1156" t="inlineStr">
        <is>
          <t>Lead Engineer (Databricks)</t>
        </is>
      </c>
      <c r="F320" s="1257" t="inlineStr">
        <is>
          <t>Strategy, Architecture &amp; Data</t>
        </is>
      </c>
      <c r="G320" s="1158" t="inlineStr">
        <is>
          <t>Group Data</t>
        </is>
      </c>
      <c r="H320" s="1199" t="inlineStr">
        <is>
          <t>Data Engineering &amp; Platforms</t>
        </is>
      </c>
      <c r="I320" s="1158" t="inlineStr">
        <is>
          <t>Enterprise Data</t>
        </is>
      </c>
      <c r="J320" s="1199" t="inlineStr">
        <is>
          <t>EGI</t>
        </is>
      </c>
      <c r="K320" s="1158" t="inlineStr">
        <is>
          <t>Data Platform</t>
        </is>
      </c>
      <c r="L320" s="1158" t="n"/>
      <c r="M320" s="1159" t="inlineStr">
        <is>
          <t>Australia</t>
        </is>
      </c>
      <c r="N320" s="1160" t="inlineStr">
        <is>
          <t>CIA</t>
        </is>
      </c>
      <c r="O320" s="1160" t="n">
        <v>1</v>
      </c>
      <c r="P320" s="1160" t="n"/>
      <c r="Q320" s="1160" t="inlineStr">
        <is>
          <t>v</t>
        </is>
      </c>
      <c r="R320" s="1162" t="n"/>
      <c r="S320" s="1162" t="n"/>
      <c r="T320" s="1162" t="n">
        <v>129650</v>
      </c>
      <c r="U320" s="1164" t="n">
        <v>129650</v>
      </c>
      <c r="V320" s="1166" t="n">
        <v>0.1</v>
      </c>
      <c r="W320" s="1170" t="n">
        <v>0.055</v>
      </c>
      <c r="X320" s="1170" t="n">
        <v>0.12</v>
      </c>
      <c r="Y320" s="1171" t="n"/>
      <c r="Z320" s="1170" t="n">
        <v>0.04</v>
      </c>
      <c r="AA320" s="1168">
        <f>IF(TRIM($B320)="","",IF(N($AU320)&gt;0,$AU320,IF(N($S320)&gt;0,$S320*Lists!$AG$15*(1+N($Z320)),N($U320)*(1+N($V320)+N($W320)+N($X320)+N($Z320))+N($Y320))))</f>
        <v>170489.75</v>
      </c>
      <c r="AJ320" s="865" t="str">
        <f>IF(TRIM($B320)="","",IF(IFERROR(INDEX(Lists!$AO$2:$AO$11,MATCH(ROW(),Lists!$AN$2:$AN$11,0)),"")&lt;&gt;"",IFERROR(INDEX(Lists!$AO$2:$AO$11,MATCH(ROW(),Lists!$AN$2:$AN$11,0)),""),IFERROR(INDEX(Lists!$U:$U,MATCH(TRIM($I320),Lists!$T:$T,0)),TRIM($I320))))</f>
        <v>Enterprise Data</v>
      </c>
      <c r="AK320" s="865" t="str">
        <f>IF(ISNUMBER(SEARCH("vacant",$B320)),"Vacant","Filled")</f>
        <v>Vacant</v>
      </c>
      <c r="AL320" s="865" t="str">
        <f>IF($M320="NZ","NZ","AU")</f>
        <v>AU</v>
      </c>
      <c r="AM320" s="865">
        <f>COUNTIF($AJ$2:$AJ320,$AJ320)</f>
        <v>24</v>
      </c>
      <c r="AN320" s="865" t="str">
        <f>$AJ320&amp;"|"&amp;$AM320</f>
        <v>Enterprise Data|24</v>
      </c>
      <c r="AP320" s="865" t="str">
        <f>IF(TRIM($B320)="","",IF($AQ320=1,"Leadership",IFERROR(INDEX(Lists!$X:$X,MATCH(TRIM($K320),Lists!$W:$W,0)),IF(OR(TRIM($K320)="",LOWER(TRIM($K320))="na"),IF(TRIM($G320)="","Unassigned",TRIM($G320)),TRIM($K320)))))</f>
        <v>Data Platforms</v>
      </c>
      <c r="AQ320" s="865" t="b">
        <f>IF(TRIM($B320)="","",--OR(TRIM($K320)="Leadership",TRIM($J320)="Leadership"))</f>
        <v>0</v>
      </c>
      <c r="AR320" s="1136" t="str">
        <f>IF(TRIM($B320)="","",IF(IFERROR(INDEX(Lists!$AQ$2:$AQ$11,MATCH(ROW(),Lists!$AN$2:$AN$11,0)),"")&lt;&gt;"",IFERROR(INDEX(Lists!$AQ$2:$AQ$11,MATCH(ROW(),Lists!$AN$2:$AN$11,0)),""),IF(ISNUMBER(SEARCH("head of ",$C320)),"Head of Technology",IF(ISNUMBER(SEARCH("TDD BP",$C320)),"Business Partner",IF(OR(ISNUMBER(SEARCH("domain architect",$C320)),ISNUMBER(SEARCH("enterprise architect",$C320))),"Domain Architect",IF(ISNUMBER(SEARCH("delivery man",$C320)),"Delivery Manager",IF(OR(ISNUMBER(SEARCH("technology manager",$C320)),ISNUMBER(SEARCH("technology manger",$C320)),ISNUMBER(SEARCH("tech manager",$C320))),"Technology Manager","Squad")))))))</f>
        <v>Squad</v>
      </c>
      <c r="AS320" s="1136" t="str">
        <f>IF(TRIM($B320)="","",IFERROR(INDEX(Lists!$AA:$AA,MATCH($AP320,Lists!$Z:$Z,0)),$AP320))</f>
        <v>Data Platforms</v>
      </c>
      <c r="AT320" s="1136" t="str">
        <f>IF(TRIM($B320)="","",IF(IFERROR(INDEX(Lists!$AP$2:$AP$11,MATCH(ROW(),Lists!$AN$2:$AN$11,0)),"")&lt;&gt;"",IFERROR(INDEX(Lists!$AP$2:$AP$11,MATCH(ROW(),Lists!$AN$2:$AN$11,0)),""),IF(OR(LEFT($AJ320,3)="COE",$AJ320="EGI"),$AP320,IF($AR320&lt;&gt;"Squad",$AR320,$AP320))))</f>
        <v>Data Platforms</v>
      </c>
    </row>
    <row r="321" ht="18" customHeight="1" s="866">
      <c r="A321" s="1155" t="inlineStr">
        <is>
          <t>V</t>
        </is>
      </c>
      <c r="B321" s="1156" t="inlineStr">
        <is>
          <t>Vacant</t>
        </is>
      </c>
      <c r="C321" s="1156" t="inlineStr">
        <is>
          <t>Data Governance Lead</t>
        </is>
      </c>
      <c r="D321" s="1158" t="inlineStr">
        <is>
          <t>Sanjay Tikoo</t>
        </is>
      </c>
      <c r="E321" s="1156" t="inlineStr">
        <is>
          <t>Data Capability Manager</t>
        </is>
      </c>
      <c r="F321" s="1257" t="inlineStr">
        <is>
          <t>Strategy, Architecture &amp; Data</t>
        </is>
      </c>
      <c r="G321" s="1158" t="inlineStr">
        <is>
          <t>Group Data</t>
        </is>
      </c>
      <c r="H321" s="1199" t="inlineStr">
        <is>
          <t>Data Capability</t>
        </is>
      </c>
      <c r="I321" s="1199" t="inlineStr">
        <is>
          <t>COE - Strategy, Architecture, Data</t>
        </is>
      </c>
      <c r="J321" s="1199" t="n"/>
      <c r="K321" s="1158" t="n"/>
      <c r="L321" s="1158" t="n"/>
      <c r="M321" s="1159" t="inlineStr">
        <is>
          <t>australia</t>
        </is>
      </c>
      <c r="N321" s="1833" t="inlineStr">
        <is>
          <t>CSC</t>
        </is>
      </c>
      <c r="O321" s="1160" t="n">
        <v>1</v>
      </c>
      <c r="P321" s="1160" t="n"/>
      <c r="Q321" s="1160" t="inlineStr">
        <is>
          <t>V</t>
        </is>
      </c>
      <c r="R321" s="1162" t="n"/>
      <c r="S321" s="1162" t="n"/>
      <c r="T321" s="1162" t="n">
        <v>275340</v>
      </c>
      <c r="U321" s="1164" t="n">
        <v>275340</v>
      </c>
      <c r="V321" s="1166" t="n">
        <v>0.2</v>
      </c>
      <c r="W321" s="1170" t="n">
        <v>0.055</v>
      </c>
      <c r="X321" s="1170" t="n">
        <v>0.12</v>
      </c>
      <c r="Y321" s="1171" t="n"/>
      <c r="Z321" s="1170" t="n">
        <v>0.04</v>
      </c>
      <c r="AA321" s="1168">
        <f>IF(TRIM($B321)="","",IF(N($AU321)&gt;0,$AU321,IF(N($S321)&gt;0,$S321*Lists!$AG$15*(1+N($Z321)),N($U321)*(1+N($V321)+N($W321)+N($X321)+N($Z321))+N($Y321))))</f>
        <v>389606.1</v>
      </c>
      <c r="AJ321" s="865" t="str">
        <f>IF(TRIM($B321)="","",IF(IFERROR(INDEX(Lists!$AO$2:$AO$11,MATCH(ROW(),Lists!$AN$2:$AN$11,0)),"")&lt;&gt;"",IFERROR(INDEX(Lists!$AO$2:$AO$11,MATCH(ROW(),Lists!$AN$2:$AN$11,0)),""),IFERROR(INDEX(Lists!$U:$U,MATCH(TRIM($I321),Lists!$T:$T,0)),TRIM($I321))))</f>
        <v>COE SA&amp;D</v>
      </c>
      <c r="AK321" s="865" t="str">
        <f>IF(ISNUMBER(SEARCH("vacant",$B321)),"Vacant","Filled")</f>
        <v>Vacant</v>
      </c>
      <c r="AL321" s="865" t="str">
        <f>IF($M321="NZ","NZ","AU")</f>
        <v>AU</v>
      </c>
      <c r="AM321" s="865">
        <f>COUNTIF($AJ$2:$AJ321,$AJ321)</f>
        <v>19</v>
      </c>
      <c r="AN321" s="865" t="str">
        <f>$AJ321&amp;"|"&amp;$AM321</f>
        <v>COE SA&amp;D|19</v>
      </c>
      <c r="AP321" s="865" t="str">
        <f>IF(TRIM($B321)="","",IF($AQ321=1,"Leadership",IFERROR(INDEX(Lists!$X:$X,MATCH(TRIM($K321),Lists!$W:$W,0)),IF(OR(TRIM($K321)="",LOWER(TRIM($K321))="na"),IF(TRIM($G321)="","Unassigned",TRIM($G321)),TRIM($K321)))))</f>
        <v>Group Data</v>
      </c>
      <c r="AQ321" s="865" t="b">
        <f>IF(TRIM($B321)="","",--OR(TRIM($K321)="Leadership",TRIM($J321)="Leadership"))</f>
        <v>0</v>
      </c>
      <c r="AR321" s="1136" t="str">
        <f>IF(TRIM($B321)="","",IF(IFERROR(INDEX(Lists!$AQ$2:$AQ$11,MATCH(ROW(),Lists!$AN$2:$AN$11,0)),"")&lt;&gt;"",IFERROR(INDEX(Lists!$AQ$2:$AQ$11,MATCH(ROW(),Lists!$AN$2:$AN$11,0)),""),IF(ISNUMBER(SEARCH("head of ",$C321)),"Head of Technology",IF(ISNUMBER(SEARCH("TDD BP",$C321)),"Business Partner",IF(OR(ISNUMBER(SEARCH("domain architect",$C321)),ISNUMBER(SEARCH("enterprise architect",$C321))),"Domain Architect",IF(ISNUMBER(SEARCH("delivery man",$C321)),"Delivery Manager",IF(OR(ISNUMBER(SEARCH("technology manager",$C321)),ISNUMBER(SEARCH("technology manger",$C321)),ISNUMBER(SEARCH("tech manager",$C321))),"Technology Manager","Squad")))))))</f>
        <v>Squad</v>
      </c>
      <c r="AS321" s="1136" t="str">
        <f>IF(TRIM($B321)="","",IFERROR(INDEX(Lists!$AA:$AA,MATCH($AP321,Lists!$Z:$Z,0)),$AP321))</f>
        <v>Group Data</v>
      </c>
      <c r="AT321" s="1136" t="str">
        <f>IF(TRIM($B321)="","",IF(IFERROR(INDEX(Lists!$AP$2:$AP$11,MATCH(ROW(),Lists!$AN$2:$AN$11,0)),"")&lt;&gt;"",IFERROR(INDEX(Lists!$AP$2:$AP$11,MATCH(ROW(),Lists!$AN$2:$AN$11,0)),""),IF(OR(LEFT($AJ321,3)="COE",$AJ321="EGI"),$AP321,IF($AR321&lt;&gt;"Squad",$AR321,$AP321))))</f>
        <v>Group Data</v>
      </c>
    </row>
    <row r="322" ht="18" customHeight="1" s="866">
      <c r="A322" s="1155" t="inlineStr">
        <is>
          <t>V</t>
        </is>
      </c>
      <c r="B322" s="1156" t="inlineStr">
        <is>
          <t>Vacant</t>
        </is>
      </c>
      <c r="C322" s="1156" t="inlineStr">
        <is>
          <t>Head of Architecture</t>
        </is>
      </c>
      <c r="D322" s="1156" t="inlineStr">
        <is>
          <t>Matt Ashley</t>
        </is>
      </c>
      <c r="E322" s="1156" t="inlineStr">
        <is>
          <t>GM TDD, Strategy, Architecture, Data</t>
        </is>
      </c>
      <c r="F322" s="1257" t="inlineStr">
        <is>
          <t>Strategy, Architecture &amp; Data</t>
        </is>
      </c>
      <c r="G322" s="1158" t="inlineStr">
        <is>
          <t>Architecture</t>
        </is>
      </c>
      <c r="H322" s="1158" t="inlineStr">
        <is>
          <t>Architecture</t>
        </is>
      </c>
      <c r="I322" s="1199" t="inlineStr">
        <is>
          <t>COE - Strategy, Architecture, Data</t>
        </is>
      </c>
      <c r="J322" s="1199" t="inlineStr">
        <is>
          <t>Leadership</t>
        </is>
      </c>
      <c r="K322" s="1199" t="n"/>
      <c r="L322" s="1158" t="n"/>
      <c r="M322" s="1159" t="inlineStr">
        <is>
          <t>Australia</t>
        </is>
      </c>
      <c r="N322" s="1160" t="inlineStr">
        <is>
          <t>CSC</t>
        </is>
      </c>
      <c r="O322" s="1160" t="n">
        <v>1</v>
      </c>
      <c r="P322" s="1160" t="n"/>
      <c r="Q322" s="1160" t="inlineStr">
        <is>
          <t>v</t>
        </is>
      </c>
      <c r="R322" s="1162" t="n"/>
      <c r="S322" s="1162" t="n"/>
      <c r="T322" s="1162" t="n">
        <v>236730</v>
      </c>
      <c r="U322" s="1164" t="n">
        <v>236730</v>
      </c>
      <c r="V322" s="1166" t="n">
        <v>0.2</v>
      </c>
      <c r="W322" s="1170" t="n">
        <v>0.055</v>
      </c>
      <c r="X322" s="1170" t="n">
        <v>0.12</v>
      </c>
      <c r="Y322" s="1171" t="n"/>
      <c r="Z322" s="1170" t="n">
        <v>0.04</v>
      </c>
      <c r="AA322" s="1168">
        <f>IF(TRIM($B322)="","",IF(N($AU322)&gt;0,$AU322,IF(N($S322)&gt;0,$S322*Lists!$AG$15*(1+N($Z322)),N($U322)*(1+N($V322)+N($W322)+N($X322)+N($Z322))+N($Y322))))</f>
        <v>334972.95</v>
      </c>
      <c r="AJ322" s="865" t="str">
        <f>IF(TRIM($B322)="","",IF(IFERROR(INDEX(Lists!$AO$2:$AO$11,MATCH(ROW(),Lists!$AN$2:$AN$11,0)),"")&lt;&gt;"",IFERROR(INDEX(Lists!$AO$2:$AO$11,MATCH(ROW(),Lists!$AN$2:$AN$11,0)),""),IFERROR(INDEX(Lists!$U:$U,MATCH(TRIM($I322),Lists!$T:$T,0)),TRIM($I322))))</f>
        <v>COE SA&amp;D</v>
      </c>
      <c r="AK322" s="865" t="str">
        <f>IF(ISNUMBER(SEARCH("vacant",$B322)),"Vacant","Filled")</f>
        <v>Vacant</v>
      </c>
      <c r="AL322" s="865" t="str">
        <f>IF($M322="NZ","NZ","AU")</f>
        <v>AU</v>
      </c>
      <c r="AM322" s="865">
        <f>COUNTIF($AJ$2:$AJ322,$AJ322)</f>
        <v>20</v>
      </c>
      <c r="AN322" s="865" t="str">
        <f>$AJ322&amp;"|"&amp;$AM322</f>
        <v>COE SA&amp;D|20</v>
      </c>
      <c r="AP322" s="865" t="str">
        <f>IF(TRIM($B322)="","",IF($AQ322=1,"Leadership",IFERROR(INDEX(Lists!$X:$X,MATCH(TRIM($K322),Lists!$W:$W,0)),IF(OR(TRIM($K322)="",LOWER(TRIM($K322))="na"),IF(TRIM($G322)="","Unassigned",TRIM($G322)),TRIM($K322)))))</f>
        <v>Leadership</v>
      </c>
      <c r="AQ322" s="865" t="b">
        <f>IF(TRIM($B322)="","",--OR(TRIM($K322)="Leadership",TRIM($J322)="Leadership"))</f>
        <v>1</v>
      </c>
      <c r="AR322" s="1136" t="str">
        <f>IF(TRIM($B322)="","",IF(IFERROR(INDEX(Lists!$AQ$2:$AQ$11,MATCH(ROW(),Lists!$AN$2:$AN$11,0)),"")&lt;&gt;"",IFERROR(INDEX(Lists!$AQ$2:$AQ$11,MATCH(ROW(),Lists!$AN$2:$AN$11,0)),""),IF(ISNUMBER(SEARCH("head of ",$C322)),"Head of Technology",IF(ISNUMBER(SEARCH("TDD BP",$C322)),"Business Partner",IF(OR(ISNUMBER(SEARCH("domain architect",$C322)),ISNUMBER(SEARCH("enterprise architect",$C322))),"Domain Architect",IF(ISNUMBER(SEARCH("delivery man",$C322)),"Delivery Manager",IF(OR(ISNUMBER(SEARCH("technology manager",$C322)),ISNUMBER(SEARCH("technology manger",$C322)),ISNUMBER(SEARCH("tech manager",$C322))),"Technology Manager","Squad")))))))</f>
        <v>Head of Technology</v>
      </c>
      <c r="AS322" s="1136" t="str">
        <f>IF(TRIM($B322)="","",IFERROR(INDEX(Lists!$AA:$AA,MATCH($AP322,Lists!$Z:$Z,0)),$AP322))</f>
        <v>Leadership</v>
      </c>
      <c r="AT322" s="1136" t="str">
        <f>IF(TRIM($B322)="","",IF(IFERROR(INDEX(Lists!$AP$2:$AP$11,MATCH(ROW(),Lists!$AN$2:$AN$11,0)),"")&lt;&gt;"",IFERROR(INDEX(Lists!$AP$2:$AP$11,MATCH(ROW(),Lists!$AN$2:$AN$11,0)),""),IF(OR(LEFT($AJ322,3)="COE",$AJ322="EGI"),$AP322,IF($AR322&lt;&gt;"Squad",$AR322,$AP322))))</f>
        <v>Leadership</v>
      </c>
    </row>
    <row r="323" ht="18" customHeight="1" s="866">
      <c r="A323" s="1155" t="inlineStr">
        <is>
          <t>V</t>
        </is>
      </c>
      <c r="B323" s="1156" t="inlineStr">
        <is>
          <t>Vacant</t>
        </is>
      </c>
      <c r="C323" s="1156" t="inlineStr">
        <is>
          <t>Head of Technology Strategy &amp; AI Capability</t>
        </is>
      </c>
      <c r="D323" s="1156" t="inlineStr">
        <is>
          <t>Matt Ashley</t>
        </is>
      </c>
      <c r="E323" s="1156" t="inlineStr">
        <is>
          <t>GM TDD, Strategy, Architecture, Data</t>
        </is>
      </c>
      <c r="F323" s="1257" t="inlineStr">
        <is>
          <t>Strategy, Architecture &amp; Data</t>
        </is>
      </c>
      <c r="G323" s="1158" t="inlineStr">
        <is>
          <t>Technology Strategy &amp; AI Capability</t>
        </is>
      </c>
      <c r="H323" s="1158" t="inlineStr">
        <is>
          <t>Technology Strategy &amp; AI Capability</t>
        </is>
      </c>
      <c r="I323" s="1199" t="inlineStr">
        <is>
          <t>COE - Strategy, Architecture, Data</t>
        </is>
      </c>
      <c r="J323" s="1199" t="inlineStr">
        <is>
          <t>Leadership</t>
        </is>
      </c>
      <c r="K323" s="1199" t="n"/>
      <c r="L323" s="1158" t="n"/>
      <c r="M323" s="1159" t="inlineStr">
        <is>
          <t>Australia</t>
        </is>
      </c>
      <c r="N323" s="1160" t="inlineStr">
        <is>
          <t>CSC</t>
        </is>
      </c>
      <c r="O323" s="1160" t="n">
        <v>1</v>
      </c>
      <c r="P323" s="1160" t="n"/>
      <c r="Q323" s="1160" t="inlineStr">
        <is>
          <t>v</t>
        </is>
      </c>
      <c r="R323" s="1162" t="n"/>
      <c r="S323" s="1162" t="n"/>
      <c r="T323" s="1162" t="n">
        <v>235350</v>
      </c>
      <c r="U323" s="1164" t="n">
        <v>235350</v>
      </c>
      <c r="V323" s="1166" t="n">
        <v>0.2</v>
      </c>
      <c r="W323" s="1170" t="n">
        <v>0.055</v>
      </c>
      <c r="X323" s="1170" t="n">
        <v>0.12</v>
      </c>
      <c r="Y323" s="1171" t="n"/>
      <c r="Z323" s="1170" t="n">
        <v>0.04</v>
      </c>
      <c r="AA323" s="1168">
        <f>IF(TRIM($B323)="","",IF(N($AU323)&gt;0,$AU323,IF(N($S323)&gt;0,$S323*Lists!$AG$15*(1+N($Z323)),N($U323)*(1+N($V323)+N($W323)+N($X323)+N($Z323))+N($Y323))))</f>
        <v>333020.25</v>
      </c>
      <c r="AJ323" s="865" t="str">
        <f>IF(TRIM($B323)="","",IF(IFERROR(INDEX(Lists!$AO$2:$AO$11,MATCH(ROW(),Lists!$AN$2:$AN$11,0)),"")&lt;&gt;"",IFERROR(INDEX(Lists!$AO$2:$AO$11,MATCH(ROW(),Lists!$AN$2:$AN$11,0)),""),IFERROR(INDEX(Lists!$U:$U,MATCH(TRIM($I323),Lists!$T:$T,0)),TRIM($I323))))</f>
        <v>COE SA&amp;D</v>
      </c>
      <c r="AK323" s="865" t="str">
        <f>IF(ISNUMBER(SEARCH("vacant",$B323)),"Vacant","Filled")</f>
        <v>Vacant</v>
      </c>
      <c r="AL323" s="865" t="str">
        <f>IF($M323="NZ","NZ","AU")</f>
        <v>AU</v>
      </c>
      <c r="AM323" s="865">
        <f>COUNTIF($AJ$2:$AJ323,$AJ323)</f>
        <v>21</v>
      </c>
      <c r="AN323" s="865" t="str">
        <f>$AJ323&amp;"|"&amp;$AM323</f>
        <v>COE SA&amp;D|21</v>
      </c>
      <c r="AP323" s="865" t="str">
        <f>IF(TRIM($B323)="","",IF($AQ323=1,"Leadership",IFERROR(INDEX(Lists!$X:$X,MATCH(TRIM($K323),Lists!$W:$W,0)),IF(OR(TRIM($K323)="",LOWER(TRIM($K323))="na"),IF(TRIM($G323)="","Unassigned",TRIM($G323)),TRIM($K323)))))</f>
        <v>Leadership</v>
      </c>
      <c r="AQ323" s="865" t="b">
        <f>IF(TRIM($B323)="","",--OR(TRIM($K323)="Leadership",TRIM($J323)="Leadership"))</f>
        <v>1</v>
      </c>
      <c r="AR323" s="1136" t="str">
        <f>IF(TRIM($B323)="","",IF(IFERROR(INDEX(Lists!$AQ$2:$AQ$11,MATCH(ROW(),Lists!$AN$2:$AN$11,0)),"")&lt;&gt;"",IFERROR(INDEX(Lists!$AQ$2:$AQ$11,MATCH(ROW(),Lists!$AN$2:$AN$11,0)),""),IF(ISNUMBER(SEARCH("head of ",$C323)),"Head of Technology",IF(ISNUMBER(SEARCH("TDD BP",$C323)),"Business Partner",IF(OR(ISNUMBER(SEARCH("domain architect",$C323)),ISNUMBER(SEARCH("enterprise architect",$C323))),"Domain Architect",IF(ISNUMBER(SEARCH("delivery man",$C323)),"Delivery Manager",IF(OR(ISNUMBER(SEARCH("technology manager",$C323)),ISNUMBER(SEARCH("technology manger",$C323)),ISNUMBER(SEARCH("tech manager",$C323))),"Technology Manager","Squad")))))))</f>
        <v>Head of Technology</v>
      </c>
      <c r="AS323" s="1136" t="str">
        <f>IF(TRIM($B323)="","",IFERROR(INDEX(Lists!$AA:$AA,MATCH($AP323,Lists!$Z:$Z,0)),$AP323))</f>
        <v>Leadership</v>
      </c>
      <c r="AT323" s="1136" t="str">
        <f>IF(TRIM($B323)="","",IF(IFERROR(INDEX(Lists!$AP$2:$AP$11,MATCH(ROW(),Lists!$AN$2:$AN$11,0)),"")&lt;&gt;"",IFERROR(INDEX(Lists!$AP$2:$AP$11,MATCH(ROW(),Lists!$AN$2:$AN$11,0)),""),IF(OR(LEFT($AJ323,3)="COE",$AJ323="EGI"),$AP323,IF($AR323&lt;&gt;"Squad",$AR323,$AP323))))</f>
        <v>Leadership</v>
      </c>
    </row>
    <row r="324" ht="18" customHeight="1" s="866">
      <c r="A324" s="1155" t="inlineStr">
        <is>
          <t>V</t>
        </is>
      </c>
      <c r="B324" s="1156" t="inlineStr">
        <is>
          <t>Vacant</t>
        </is>
      </c>
      <c r="C324" s="1156" t="inlineStr">
        <is>
          <t>Senior Communications Advisor</t>
        </is>
      </c>
      <c r="D324" s="1156" t="inlineStr">
        <is>
          <t>Matt Ashley</t>
        </is>
      </c>
      <c r="E324" s="1156" t="inlineStr">
        <is>
          <t>GM TDD, Strategy, Architecture, Data</t>
        </is>
      </c>
      <c r="F324" s="1257" t="inlineStr">
        <is>
          <t>Strategy, Architecture &amp; Data</t>
        </is>
      </c>
      <c r="G324" s="1158" t="inlineStr">
        <is>
          <t>na</t>
        </is>
      </c>
      <c r="H324" s="1158" t="n"/>
      <c r="I324" s="1199" t="inlineStr">
        <is>
          <t>COE - Strategy, Architecture, Data</t>
        </is>
      </c>
      <c r="J324" s="1199" t="inlineStr">
        <is>
          <t>Leadership</t>
        </is>
      </c>
      <c r="K324" s="1199" t="n"/>
      <c r="L324" s="1158" t="n"/>
      <c r="M324" s="1159" t="inlineStr">
        <is>
          <t>Australia</t>
        </is>
      </c>
      <c r="N324" s="1160" t="inlineStr">
        <is>
          <t>CIB</t>
        </is>
      </c>
      <c r="O324" s="1160" t="n">
        <v>1</v>
      </c>
      <c r="P324" s="1160" t="n"/>
      <c r="Q324" s="1160" t="inlineStr">
        <is>
          <t>v</t>
        </is>
      </c>
      <c r="R324" s="1162" t="n"/>
      <c r="S324" s="1162" t="n"/>
      <c r="T324" s="1162" t="n">
        <v>140000</v>
      </c>
      <c r="U324" s="1164" t="n">
        <v>140000</v>
      </c>
      <c r="V324" s="1166" t="n">
        <v>0.12</v>
      </c>
      <c r="W324" s="1170" t="n">
        <v>0.055</v>
      </c>
      <c r="X324" s="1170" t="n">
        <v>0.12</v>
      </c>
      <c r="Y324" s="1171" t="n"/>
      <c r="Z324" s="1170" t="n">
        <v>0.04</v>
      </c>
      <c r="AA324" s="1168">
        <f>IF(TRIM($B324)="","",IF(N($AU324)&gt;0,$AU324,IF(N($S324)&gt;0,$S324*Lists!$AG$15*(1+N($Z324)),N($U324)*(1+N($V324)+N($W324)+N($X324)+N($Z324))+N($Y324))))</f>
        <v>186900</v>
      </c>
      <c r="AJ324" s="865" t="str">
        <f>IF(TRIM($B324)="","",IF(IFERROR(INDEX(Lists!$AO$2:$AO$11,MATCH(ROW(),Lists!$AN$2:$AN$11,0)),"")&lt;&gt;"",IFERROR(INDEX(Lists!$AO$2:$AO$11,MATCH(ROW(),Lists!$AN$2:$AN$11,0)),""),IFERROR(INDEX(Lists!$U:$U,MATCH(TRIM($I324),Lists!$T:$T,0)),TRIM($I324))))</f>
        <v>COE SA&amp;D</v>
      </c>
      <c r="AK324" s="865" t="str">
        <f>IF(ISNUMBER(SEARCH("vacant",$B324)),"Vacant","Filled")</f>
        <v>Vacant</v>
      </c>
      <c r="AL324" s="865" t="str">
        <f>IF($M324="NZ","NZ","AU")</f>
        <v>AU</v>
      </c>
      <c r="AM324" s="865">
        <f>COUNTIF($AJ$2:$AJ324,$AJ324)</f>
        <v>22</v>
      </c>
      <c r="AN324" s="865" t="str">
        <f>$AJ324&amp;"|"&amp;$AM324</f>
        <v>COE SA&amp;D|22</v>
      </c>
      <c r="AP324" s="865" t="str">
        <f>IF(TRIM($B324)="","",IF($AQ324=1,"Leadership",IFERROR(INDEX(Lists!$X:$X,MATCH(TRIM($K324),Lists!$W:$W,0)),IF(OR(TRIM($K324)="",LOWER(TRIM($K324))="na"),IF(TRIM($G324)="","Unassigned",TRIM($G324)),TRIM($K324)))))</f>
        <v>Leadership</v>
      </c>
      <c r="AQ324" s="865" t="b">
        <f>IF(TRIM($B324)="","",--OR(TRIM($K324)="Leadership",TRIM($J324)="Leadership"))</f>
        <v>1</v>
      </c>
      <c r="AR324" s="1136" t="str">
        <f>IF(TRIM($B324)="","",IF(IFERROR(INDEX(Lists!$AQ$2:$AQ$11,MATCH(ROW(),Lists!$AN$2:$AN$11,0)),"")&lt;&gt;"",IFERROR(INDEX(Lists!$AQ$2:$AQ$11,MATCH(ROW(),Lists!$AN$2:$AN$11,0)),""),IF(ISNUMBER(SEARCH("head of ",$C324)),"Head of Technology",IF(ISNUMBER(SEARCH("TDD BP",$C324)),"Business Partner",IF(OR(ISNUMBER(SEARCH("domain architect",$C324)),ISNUMBER(SEARCH("enterprise architect",$C324))),"Domain Architect",IF(ISNUMBER(SEARCH("delivery man",$C324)),"Delivery Manager",IF(OR(ISNUMBER(SEARCH("technology manager",$C324)),ISNUMBER(SEARCH("technology manger",$C324)),ISNUMBER(SEARCH("tech manager",$C324))),"Technology Manager","Squad")))))))</f>
        <v>Squad</v>
      </c>
      <c r="AS324" s="1136" t="str">
        <f>IF(TRIM($B324)="","",IFERROR(INDEX(Lists!$AA:$AA,MATCH($AP324,Lists!$Z:$Z,0)),$AP324))</f>
        <v>Leadership</v>
      </c>
      <c r="AT324" s="1136" t="str">
        <f>IF(TRIM($B324)="","",IF(IFERROR(INDEX(Lists!$AP$2:$AP$11,MATCH(ROW(),Lists!$AN$2:$AN$11,0)),"")&lt;&gt;"",IFERROR(INDEX(Lists!$AP$2:$AP$11,MATCH(ROW(),Lists!$AN$2:$AN$11,0)),""),IF(OR(LEFT($AJ324,3)="COE",$AJ324="EGI"),$AP324,IF($AR324&lt;&gt;"Squad",$AR324,$AP324))))</f>
        <v>Leadership</v>
      </c>
    </row>
    <row r="325" ht="18" customHeight="1" s="866">
      <c r="A325" s="1155" t="inlineStr">
        <is>
          <t>V</t>
        </is>
      </c>
      <c r="B325" s="1156" t="inlineStr">
        <is>
          <t>Vacant</t>
        </is>
      </c>
      <c r="C325" s="1156" t="inlineStr">
        <is>
          <t>AI Capability Lead</t>
        </is>
      </c>
      <c r="D325" s="1156" t="inlineStr">
        <is>
          <t>Vacant</t>
        </is>
      </c>
      <c r="E325" s="1156" t="inlineStr">
        <is>
          <t>Head of Technology  Strategy &amp; AI Capability</t>
        </is>
      </c>
      <c r="F325" s="1257" t="inlineStr">
        <is>
          <t>Strategy, Architecture &amp; Data</t>
        </is>
      </c>
      <c r="G325" s="1158" t="inlineStr">
        <is>
          <t>Technology Strategy &amp; AI Capability</t>
        </is>
      </c>
      <c r="H325" s="1158" t="inlineStr">
        <is>
          <t>Technology Strategy &amp; AI Capability</t>
        </is>
      </c>
      <c r="I325" s="1199" t="inlineStr">
        <is>
          <t>COE - Strategy, Architecture, Data</t>
        </is>
      </c>
      <c r="J325" s="1199" t="n"/>
      <c r="K325" s="1158" t="n"/>
      <c r="L325" s="1158" t="n"/>
      <c r="M325" s="1159" t="inlineStr">
        <is>
          <t>Australia</t>
        </is>
      </c>
      <c r="N325" s="1160" t="inlineStr">
        <is>
          <t>CSB</t>
        </is>
      </c>
      <c r="O325" s="1160" t="n">
        <v>1</v>
      </c>
      <c r="P325" s="1160" t="n"/>
      <c r="Q325" s="1160" t="inlineStr">
        <is>
          <t>V</t>
        </is>
      </c>
      <c r="R325" s="1162" t="n"/>
      <c r="S325" s="1162" t="n"/>
      <c r="T325" s="1163" t="n">
        <v>203550</v>
      </c>
      <c r="U325" s="1164" t="n">
        <v>203550</v>
      </c>
      <c r="V325" s="1166" t="n">
        <v>0.14</v>
      </c>
      <c r="W325" s="1170" t="n">
        <v>0.055</v>
      </c>
      <c r="X325" s="1170" t="n">
        <v>0.12</v>
      </c>
      <c r="Y325" s="1171" t="n"/>
      <c r="Z325" s="1170" t="n">
        <v>0.04</v>
      </c>
      <c r="AA325" s="1168">
        <f>IF(TRIM($B325)="","",IF(N($AU325)&gt;0,$AU325,IF(N($S325)&gt;0,$S325*Lists!$AG$15*(1+N($Z325)),N($U325)*(1+N($V325)+N($W325)+N($X325)+N($Z325))+N($Y325))))</f>
        <v>275810.25</v>
      </c>
      <c r="AJ325" s="865" t="str">
        <f>IF(TRIM($B325)="","",IF(IFERROR(INDEX(Lists!$AO$2:$AO$11,MATCH(ROW(),Lists!$AN$2:$AN$11,0)),"")&lt;&gt;"",IFERROR(INDEX(Lists!$AO$2:$AO$11,MATCH(ROW(),Lists!$AN$2:$AN$11,0)),""),IFERROR(INDEX(Lists!$U:$U,MATCH(TRIM($I325),Lists!$T:$T,0)),TRIM($I325))))</f>
        <v>COE SA&amp;D</v>
      </c>
      <c r="AK325" s="865" t="str">
        <f>IF(ISNUMBER(SEARCH("vacant",$B325)),"Vacant","Filled")</f>
        <v>Vacant</v>
      </c>
      <c r="AL325" s="865" t="str">
        <f>IF($M325="NZ","NZ","AU")</f>
        <v>AU</v>
      </c>
      <c r="AM325" s="865">
        <f>COUNTIF($AJ$2:$AJ325,$AJ325)</f>
        <v>23</v>
      </c>
      <c r="AN325" s="865" t="str">
        <f>$AJ325&amp;"|"&amp;$AM325</f>
        <v>COE SA&amp;D|23</v>
      </c>
      <c r="AP325" s="865" t="str">
        <f>IF(TRIM($B325)="","",IF($AQ325=1,"Leadership",IFERROR(INDEX(Lists!$X:$X,MATCH(TRIM($K325),Lists!$W:$W,0)),IF(OR(TRIM($K325)="",LOWER(TRIM($K325))="na"),IF(TRIM($G325)="","Unassigned",TRIM($G325)),TRIM($K325)))))</f>
        <v>Technology Strategy &amp; AI Capability</v>
      </c>
      <c r="AQ325" s="865" t="b">
        <f>IF(TRIM($B325)="","",--OR(TRIM($K325)="Leadership",TRIM($J325)="Leadership"))</f>
        <v>0</v>
      </c>
      <c r="AR325" s="1136" t="str">
        <f>IF(TRIM($B325)="","",IF(IFERROR(INDEX(Lists!$AQ$2:$AQ$11,MATCH(ROW(),Lists!$AN$2:$AN$11,0)),"")&lt;&gt;"",IFERROR(INDEX(Lists!$AQ$2:$AQ$11,MATCH(ROW(),Lists!$AN$2:$AN$11,0)),""),IF(ISNUMBER(SEARCH("head of ",$C325)),"Head of Technology",IF(ISNUMBER(SEARCH("TDD BP",$C325)),"Business Partner",IF(OR(ISNUMBER(SEARCH("domain architect",$C325)),ISNUMBER(SEARCH("enterprise architect",$C325))),"Domain Architect",IF(ISNUMBER(SEARCH("delivery man",$C325)),"Delivery Manager",IF(OR(ISNUMBER(SEARCH("technology manager",$C325)),ISNUMBER(SEARCH("technology manger",$C325)),ISNUMBER(SEARCH("tech manager",$C325))),"Technology Manager","Squad")))))))</f>
        <v>Squad</v>
      </c>
      <c r="AS325" s="1136" t="str">
        <f>IF(TRIM($B325)="","",IFERROR(INDEX(Lists!$AA:$AA,MATCH($AP325,Lists!$Z:$Z,0)),$AP325))</f>
        <v>Technology Strategy &amp; AI Capability</v>
      </c>
      <c r="AT325" s="1136" t="str">
        <f>IF(TRIM($B325)="","",IF(IFERROR(INDEX(Lists!$AP$2:$AP$11,MATCH(ROW(),Lists!$AN$2:$AN$11,0)),"")&lt;&gt;"",IFERROR(INDEX(Lists!$AP$2:$AP$11,MATCH(ROW(),Lists!$AN$2:$AN$11,0)),""),IF(OR(LEFT($AJ325,3)="COE",$AJ325="EGI"),$AP325,IF($AR325&lt;&gt;"Squad",$AR325,$AP325))))</f>
        <v>Technology Strategy &amp; AI Capability</v>
      </c>
    </row>
    <row r="326" ht="18" customHeight="1" s="866">
      <c r="A326" s="1155" t="inlineStr">
        <is>
          <t>V</t>
        </is>
      </c>
      <c r="B326" s="1156" t="inlineStr">
        <is>
          <t>Vacant</t>
        </is>
      </c>
      <c r="C326" s="1156" t="inlineStr">
        <is>
          <t>Enterprise Process Lead</t>
        </is>
      </c>
      <c r="D326" s="1156" t="inlineStr">
        <is>
          <t>Vacant</t>
        </is>
      </c>
      <c r="E326" s="1156" t="inlineStr">
        <is>
          <t>Head of Technology  Strategy &amp; AI Capability</t>
        </is>
      </c>
      <c r="F326" s="1257" t="inlineStr">
        <is>
          <t>Strategy, Architecture &amp; Data</t>
        </is>
      </c>
      <c r="G326" s="1158" t="inlineStr">
        <is>
          <t>Technology Strategy &amp; AI Capability</t>
        </is>
      </c>
      <c r="H326" s="1158" t="inlineStr">
        <is>
          <t>Technology Strategy &amp; AI Capability</t>
        </is>
      </c>
      <c r="I326" s="1199" t="inlineStr">
        <is>
          <t>COE - Strategy, Architecture, Data</t>
        </is>
      </c>
      <c r="J326" s="1199" t="n"/>
      <c r="K326" s="1158" t="n"/>
      <c r="L326" s="1158" t="n"/>
      <c r="M326" s="1159" t="inlineStr">
        <is>
          <t>Australia</t>
        </is>
      </c>
      <c r="N326" s="1160" t="inlineStr">
        <is>
          <t>CIB</t>
        </is>
      </c>
      <c r="O326" s="1160" t="n">
        <v>1</v>
      </c>
      <c r="P326" s="1160" t="n"/>
      <c r="Q326" s="1160" t="inlineStr">
        <is>
          <t>V</t>
        </is>
      </c>
      <c r="R326" s="1162" t="n"/>
      <c r="S326" s="1162" t="n"/>
      <c r="T326" s="1163" t="n">
        <v>151950</v>
      </c>
      <c r="U326" s="1164" t="n">
        <v>151950</v>
      </c>
      <c r="V326" s="1166" t="n">
        <v>0.12</v>
      </c>
      <c r="W326" s="1170" t="n">
        <v>0.055</v>
      </c>
      <c r="X326" s="1170" t="n">
        <v>0.12</v>
      </c>
      <c r="Y326" s="1171" t="n"/>
      <c r="Z326" s="1170" t="n">
        <v>0.04</v>
      </c>
      <c r="AA326" s="1168">
        <f>IF(TRIM($B326)="","",IF(N($AU326)&gt;0,$AU326,IF(N($S326)&gt;0,$S326*Lists!$AG$15*(1+N($Z326)),N($U326)*(1+N($V326)+N($W326)+N($X326)+N($Z326))+N($Y326))))</f>
        <v>202853.25</v>
      </c>
      <c r="AJ326" s="865" t="str">
        <f>IF(TRIM($B326)="","",IF(IFERROR(INDEX(Lists!$AO$2:$AO$11,MATCH(ROW(),Lists!$AN$2:$AN$11,0)),"")&lt;&gt;"",IFERROR(INDEX(Lists!$AO$2:$AO$11,MATCH(ROW(),Lists!$AN$2:$AN$11,0)),""),IFERROR(INDEX(Lists!$U:$U,MATCH(TRIM($I326),Lists!$T:$T,0)),TRIM($I326))))</f>
        <v>COE SA&amp;D</v>
      </c>
      <c r="AK326" s="865" t="str">
        <f>IF(ISNUMBER(SEARCH("vacant",$B326)),"Vacant","Filled")</f>
        <v>Vacant</v>
      </c>
      <c r="AL326" s="865" t="str">
        <f>IF($M326="NZ","NZ","AU")</f>
        <v>AU</v>
      </c>
      <c r="AM326" s="865">
        <f>COUNTIF($AJ$2:$AJ326,$AJ326)</f>
        <v>24</v>
      </c>
      <c r="AN326" s="865" t="str">
        <f>$AJ326&amp;"|"&amp;$AM326</f>
        <v>COE SA&amp;D|24</v>
      </c>
      <c r="AP326" s="865" t="str">
        <f>IF(TRIM($B326)="","",IF($AQ326=1,"Leadership",IFERROR(INDEX(Lists!$X:$X,MATCH(TRIM($K326),Lists!$W:$W,0)),IF(OR(TRIM($K326)="",LOWER(TRIM($K326))="na"),IF(TRIM($G326)="","Unassigned",TRIM($G326)),TRIM($K326)))))</f>
        <v>Technology Strategy &amp; AI Capability</v>
      </c>
      <c r="AQ326" s="865" t="b">
        <f>IF(TRIM($B326)="","",--OR(TRIM($K326)="Leadership",TRIM($J326)="Leadership"))</f>
        <v>0</v>
      </c>
      <c r="AR326" s="1136" t="str">
        <f>IF(TRIM($B326)="","",IF(IFERROR(INDEX(Lists!$AQ$2:$AQ$11,MATCH(ROW(),Lists!$AN$2:$AN$11,0)),"")&lt;&gt;"",IFERROR(INDEX(Lists!$AQ$2:$AQ$11,MATCH(ROW(),Lists!$AN$2:$AN$11,0)),""),IF(ISNUMBER(SEARCH("head of ",$C326)),"Head of Technology",IF(ISNUMBER(SEARCH("TDD BP",$C326)),"Business Partner",IF(OR(ISNUMBER(SEARCH("domain architect",$C326)),ISNUMBER(SEARCH("enterprise architect",$C326))),"Domain Architect",IF(ISNUMBER(SEARCH("delivery man",$C326)),"Delivery Manager",IF(OR(ISNUMBER(SEARCH("technology manager",$C326)),ISNUMBER(SEARCH("technology manger",$C326)),ISNUMBER(SEARCH("tech manager",$C326))),"Technology Manager","Squad")))))))</f>
        <v>Squad</v>
      </c>
      <c r="AS326" s="1136" t="str">
        <f>IF(TRIM($B326)="","",IFERROR(INDEX(Lists!$AA:$AA,MATCH($AP326,Lists!$Z:$Z,0)),$AP326))</f>
        <v>Technology Strategy &amp; AI Capability</v>
      </c>
      <c r="AT326" s="1136" t="str">
        <f>IF(TRIM($B326)="","",IF(IFERROR(INDEX(Lists!$AP$2:$AP$11,MATCH(ROW(),Lists!$AN$2:$AN$11,0)),"")&lt;&gt;"",IFERROR(INDEX(Lists!$AP$2:$AP$11,MATCH(ROW(),Lists!$AN$2:$AN$11,0)),""),IF(OR(LEFT($AJ326,3)="COE",$AJ326="EGI"),$AP326,IF($AR326&lt;&gt;"Squad",$AR326,$AP326))))</f>
        <v>Technology Strategy &amp; AI Capability</v>
      </c>
    </row>
    <row r="327" ht="18" customHeight="1" s="866">
      <c r="A327" s="1155" t="inlineStr">
        <is>
          <t>V</t>
        </is>
      </c>
      <c r="B327" s="1156" t="inlineStr">
        <is>
          <t>Vacant</t>
        </is>
      </c>
      <c r="C327" s="1156" t="inlineStr">
        <is>
          <t>EnterpriseProcess Analyst</t>
        </is>
      </c>
      <c r="D327" s="1158" t="inlineStr">
        <is>
          <t>Vacant</t>
        </is>
      </c>
      <c r="E327" s="1156" t="inlineStr">
        <is>
          <t>Enterprise Process Lead</t>
        </is>
      </c>
      <c r="F327" s="1257" t="inlineStr">
        <is>
          <t>Strategy, Architecture &amp; Data</t>
        </is>
      </c>
      <c r="G327" s="1158" t="inlineStr">
        <is>
          <t>Technology Strategy &amp; AI Capability</t>
        </is>
      </c>
      <c r="H327" s="1158" t="inlineStr">
        <is>
          <t>Technology Strategy &amp; AI Capability</t>
        </is>
      </c>
      <c r="I327" s="1199" t="inlineStr">
        <is>
          <t>COE - Strategy, Architecture, Data</t>
        </is>
      </c>
      <c r="J327" s="1199" t="n"/>
      <c r="K327" s="1158" t="n"/>
      <c r="L327" s="1158" t="n"/>
      <c r="M327" s="1159" t="inlineStr">
        <is>
          <t>Australia</t>
        </is>
      </c>
      <c r="N327" s="1160" t="inlineStr">
        <is>
          <t>CIA</t>
        </is>
      </c>
      <c r="O327" s="1160" t="n">
        <v>1</v>
      </c>
      <c r="P327" s="1160" t="n"/>
      <c r="Q327" s="1160" t="inlineStr">
        <is>
          <t>V</t>
        </is>
      </c>
      <c r="R327" s="1162" t="n"/>
      <c r="S327" s="1162" t="n"/>
      <c r="T327" s="1163" t="n">
        <v>129650</v>
      </c>
      <c r="U327" s="1164" t="n">
        <v>129650</v>
      </c>
      <c r="V327" s="1166" t="n">
        <v>0.1</v>
      </c>
      <c r="W327" s="1170" t="n">
        <v>0.055</v>
      </c>
      <c r="X327" s="1170" t="n">
        <v>0.12</v>
      </c>
      <c r="Y327" s="1171" t="n"/>
      <c r="Z327" s="1170" t="n">
        <v>0.04</v>
      </c>
      <c r="AA327" s="1168">
        <f>IF(TRIM($B327)="","",IF(N($AU327)&gt;0,$AU327,IF(N($S327)&gt;0,$S327*Lists!$AG$15*(1+N($Z327)),N($U327)*(1+N($V327)+N($W327)+N($X327)+N($Z327))+N($Y327))))</f>
        <v>170489.75</v>
      </c>
      <c r="AJ327" s="865" t="str">
        <f>IF(TRIM($B327)="","",IF(IFERROR(INDEX(Lists!$AO$2:$AO$11,MATCH(ROW(),Lists!$AN$2:$AN$11,0)),"")&lt;&gt;"",IFERROR(INDEX(Lists!$AO$2:$AO$11,MATCH(ROW(),Lists!$AN$2:$AN$11,0)),""),IFERROR(INDEX(Lists!$U:$U,MATCH(TRIM($I327),Lists!$T:$T,0)),TRIM($I327))))</f>
        <v>COE SA&amp;D</v>
      </c>
      <c r="AK327" s="865" t="str">
        <f>IF(ISNUMBER(SEARCH("vacant",$B327)),"Vacant","Filled")</f>
        <v>Vacant</v>
      </c>
      <c r="AL327" s="865" t="str">
        <f>IF($M327="NZ","NZ","AU")</f>
        <v>AU</v>
      </c>
      <c r="AM327" s="865">
        <f>COUNTIF($AJ$2:$AJ327,$AJ327)</f>
        <v>25</v>
      </c>
      <c r="AN327" s="865" t="str">
        <f>$AJ327&amp;"|"&amp;$AM327</f>
        <v>COE SA&amp;D|25</v>
      </c>
      <c r="AP327" s="865" t="str">
        <f>IF(TRIM($B327)="","",IF($AQ327=1,"Leadership",IFERROR(INDEX(Lists!$X:$X,MATCH(TRIM($K327),Lists!$W:$W,0)),IF(OR(TRIM($K327)="",LOWER(TRIM($K327))="na"),IF(TRIM($G327)="","Unassigned",TRIM($G327)),TRIM($K327)))))</f>
        <v>Technology Strategy &amp; AI Capability</v>
      </c>
      <c r="AQ327" s="865" t="b">
        <f>IF(TRIM($B327)="","",--OR(TRIM($K327)="Leadership",TRIM($J327)="Leadership"))</f>
        <v>0</v>
      </c>
      <c r="AR327" s="1136" t="str">
        <f>IF(TRIM($B327)="","",IF(IFERROR(INDEX(Lists!$AQ$2:$AQ$11,MATCH(ROW(),Lists!$AN$2:$AN$11,0)),"")&lt;&gt;"",IFERROR(INDEX(Lists!$AQ$2:$AQ$11,MATCH(ROW(),Lists!$AN$2:$AN$11,0)),""),IF(ISNUMBER(SEARCH("head of ",$C327)),"Head of Technology",IF(ISNUMBER(SEARCH("TDD BP",$C327)),"Business Partner",IF(OR(ISNUMBER(SEARCH("domain architect",$C327)),ISNUMBER(SEARCH("enterprise architect",$C327))),"Domain Architect",IF(ISNUMBER(SEARCH("delivery man",$C327)),"Delivery Manager",IF(OR(ISNUMBER(SEARCH("technology manager",$C327)),ISNUMBER(SEARCH("technology manger",$C327)),ISNUMBER(SEARCH("tech manager",$C327))),"Technology Manager","Squad")))))))</f>
        <v>Squad</v>
      </c>
      <c r="AS327" s="1136" t="str">
        <f>IF(TRIM($B327)="","",IFERROR(INDEX(Lists!$AA:$AA,MATCH($AP327,Lists!$Z:$Z,0)),$AP327))</f>
        <v>Technology Strategy &amp; AI Capability</v>
      </c>
      <c r="AT327" s="1136" t="str">
        <f>IF(TRIM($B327)="","",IF(IFERROR(INDEX(Lists!$AP$2:$AP$11,MATCH(ROW(),Lists!$AN$2:$AN$11,0)),"")&lt;&gt;"",IFERROR(INDEX(Lists!$AP$2:$AP$11,MATCH(ROW(),Lists!$AN$2:$AN$11,0)),""),IF(OR(LEFT($AJ327,3)="COE",$AJ327="EGI"),$AP327,IF($AR327&lt;&gt;"Squad",$AR327,$AP327))))</f>
        <v>Technology Strategy &amp; AI Capability</v>
      </c>
    </row>
    <row r="328" ht="18" customHeight="1" s="866">
      <c r="A328" s="1155" t="inlineStr">
        <is>
          <t>V</t>
        </is>
      </c>
      <c r="B328" s="1156" t="inlineStr">
        <is>
          <t>Vacant</t>
        </is>
      </c>
      <c r="C328" s="1156" t="inlineStr">
        <is>
          <t>Strategy Analyst</t>
        </is>
      </c>
      <c r="D328" s="1156" t="inlineStr">
        <is>
          <t>Vacant</t>
        </is>
      </c>
      <c r="E328" s="1156" t="inlineStr">
        <is>
          <t>Head of Technology  Strategy &amp; AI Capability</t>
        </is>
      </c>
      <c r="F328" s="1257" t="inlineStr">
        <is>
          <t>Strategy, Architecture &amp; Data</t>
        </is>
      </c>
      <c r="G328" s="1158" t="inlineStr">
        <is>
          <t>Technology Strategy &amp; AI Capability</t>
        </is>
      </c>
      <c r="H328" s="1158" t="inlineStr">
        <is>
          <t>Technology Strategy &amp; AI Capability</t>
        </is>
      </c>
      <c r="I328" s="1199" t="inlineStr">
        <is>
          <t>COE - Strategy, Architecture, Data</t>
        </is>
      </c>
      <c r="J328" s="1199" t="n"/>
      <c r="K328" s="1158" t="n"/>
      <c r="L328" s="1158" t="n"/>
      <c r="M328" s="1159" t="inlineStr">
        <is>
          <t>Australia</t>
        </is>
      </c>
      <c r="N328" s="1160" t="inlineStr">
        <is>
          <t>CIA</t>
        </is>
      </c>
      <c r="O328" s="1160" t="n">
        <v>1</v>
      </c>
      <c r="P328" s="1160" t="n"/>
      <c r="Q328" s="1160" t="inlineStr">
        <is>
          <t>v</t>
        </is>
      </c>
      <c r="R328" s="1162" t="n"/>
      <c r="S328" s="1162" t="n"/>
      <c r="T328" s="1163" t="n">
        <v>129650</v>
      </c>
      <c r="U328" s="1164" t="n">
        <v>129650</v>
      </c>
      <c r="V328" s="1166" t="n">
        <v>0.1</v>
      </c>
      <c r="W328" s="1170" t="n">
        <v>0.055</v>
      </c>
      <c r="X328" s="1170" t="n">
        <v>0.12</v>
      </c>
      <c r="Y328" s="1171" t="n"/>
      <c r="Z328" s="1170" t="n">
        <v>0.04</v>
      </c>
      <c r="AA328" s="1168">
        <f>IF(TRIM($B328)="","",IF(N($AU328)&gt;0,$AU328,IF(N($S328)&gt;0,$S328*Lists!$AG$15*(1+N($Z328)),N($U328)*(1+N($V328)+N($W328)+N($X328)+N($Z328))+N($Y328))))</f>
        <v>170489.75</v>
      </c>
      <c r="AJ328" s="865" t="str">
        <f>IF(TRIM($B328)="","",IF(IFERROR(INDEX(Lists!$AO$2:$AO$11,MATCH(ROW(),Lists!$AN$2:$AN$11,0)),"")&lt;&gt;"",IFERROR(INDEX(Lists!$AO$2:$AO$11,MATCH(ROW(),Lists!$AN$2:$AN$11,0)),""),IFERROR(INDEX(Lists!$U:$U,MATCH(TRIM($I328),Lists!$T:$T,0)),TRIM($I328))))</f>
        <v>COE SA&amp;D</v>
      </c>
      <c r="AK328" s="865" t="str">
        <f>IF(ISNUMBER(SEARCH("vacant",$B328)),"Vacant","Filled")</f>
        <v>Vacant</v>
      </c>
      <c r="AL328" s="865" t="str">
        <f>IF($M328="NZ","NZ","AU")</f>
        <v>AU</v>
      </c>
      <c r="AM328" s="865">
        <f>COUNTIF($AJ$2:$AJ328,$AJ328)</f>
        <v>26</v>
      </c>
      <c r="AN328" s="865" t="str">
        <f>$AJ328&amp;"|"&amp;$AM328</f>
        <v>COE SA&amp;D|26</v>
      </c>
      <c r="AP328" s="865" t="str">
        <f>IF(TRIM($B328)="","",IF($AQ328=1,"Leadership",IFERROR(INDEX(Lists!$X:$X,MATCH(TRIM($K328),Lists!$W:$W,0)),IF(OR(TRIM($K328)="",LOWER(TRIM($K328))="na"),IF(TRIM($G328)="","Unassigned",TRIM($G328)),TRIM($K328)))))</f>
        <v>Technology Strategy &amp; AI Capability</v>
      </c>
      <c r="AQ328" s="865" t="b">
        <f>IF(TRIM($B328)="","",--OR(TRIM($K328)="Leadership",TRIM($J328)="Leadership"))</f>
        <v>0</v>
      </c>
      <c r="AR328" s="1136" t="str">
        <f>IF(TRIM($B328)="","",IF(IFERROR(INDEX(Lists!$AQ$2:$AQ$11,MATCH(ROW(),Lists!$AN$2:$AN$11,0)),"")&lt;&gt;"",IFERROR(INDEX(Lists!$AQ$2:$AQ$11,MATCH(ROW(),Lists!$AN$2:$AN$11,0)),""),IF(ISNUMBER(SEARCH("head of ",$C328)),"Head of Technology",IF(ISNUMBER(SEARCH("TDD BP",$C328)),"Business Partner",IF(OR(ISNUMBER(SEARCH("domain architect",$C328)),ISNUMBER(SEARCH("enterprise architect",$C328))),"Domain Architect",IF(ISNUMBER(SEARCH("delivery man",$C328)),"Delivery Manager",IF(OR(ISNUMBER(SEARCH("technology manager",$C328)),ISNUMBER(SEARCH("technology manger",$C328)),ISNUMBER(SEARCH("tech manager",$C328))),"Technology Manager","Squad")))))))</f>
        <v>Squad</v>
      </c>
      <c r="AS328" s="1136" t="str">
        <f>IF(TRIM($B328)="","",IFERROR(INDEX(Lists!$AA:$AA,MATCH($AP328,Lists!$Z:$Z,0)),$AP328))</f>
        <v>Technology Strategy &amp; AI Capability</v>
      </c>
      <c r="AT328" s="1136" t="str">
        <f>IF(TRIM($B328)="","",IF(IFERROR(INDEX(Lists!$AP$2:$AP$11,MATCH(ROW(),Lists!$AN$2:$AN$11,0)),"")&lt;&gt;"",IFERROR(INDEX(Lists!$AP$2:$AP$11,MATCH(ROW(),Lists!$AN$2:$AN$11,0)),""),IF(OR(LEFT($AJ328,3)="COE",$AJ328="EGI"),$AP328,IF($AR328&lt;&gt;"Squad",$AR328,$AP328))))</f>
        <v>Technology Strategy &amp; AI Capability</v>
      </c>
    </row>
    <row r="329" ht="18" customHeight="1" s="866">
      <c r="A329" s="1155" t="inlineStr">
        <is>
          <t>V</t>
        </is>
      </c>
      <c r="B329" s="1156" t="inlineStr">
        <is>
          <t>Vacant</t>
        </is>
      </c>
      <c r="C329" s="1156" t="inlineStr">
        <is>
          <t>Applications Specialist - Strategic Programs</t>
        </is>
      </c>
      <c r="D329" s="1156" t="inlineStr">
        <is>
          <t>Sai Konka</t>
        </is>
      </c>
      <c r="E329" s="1156" t="inlineStr">
        <is>
          <t>Applications &amp; Analytics Manager</t>
        </is>
      </c>
      <c r="F329" s="1257" t="inlineStr">
        <is>
          <t>Strategy, Architecture &amp; Data</t>
        </is>
      </c>
      <c r="G329" s="1158" t="inlineStr">
        <is>
          <t>Group Data</t>
        </is>
      </c>
      <c r="H329" s="1199" t="inlineStr">
        <is>
          <t>Data Engineering &amp; Platforms</t>
        </is>
      </c>
      <c r="I329" s="1158" t="inlineStr">
        <is>
          <t>Enterprise Data</t>
        </is>
      </c>
      <c r="J329" s="1199" t="inlineStr">
        <is>
          <t>EGI</t>
        </is>
      </c>
      <c r="K329" s="1199" t="inlineStr">
        <is>
          <t>Reporting &amp; Analytics</t>
        </is>
      </c>
      <c r="L329" s="1158" t="n"/>
      <c r="M329" s="1159" t="inlineStr">
        <is>
          <t>Australia</t>
        </is>
      </c>
      <c r="N329" s="1160" t="inlineStr">
        <is>
          <t>CIB</t>
        </is>
      </c>
      <c r="O329" s="1160" t="n">
        <v>1</v>
      </c>
      <c r="P329" s="1160" t="n"/>
      <c r="Q329" s="1160" t="inlineStr">
        <is>
          <t>V</t>
        </is>
      </c>
      <c r="R329" s="1162" t="n"/>
      <c r="S329" s="1162" t="n"/>
      <c r="T329" s="1163" t="n">
        <v>151950</v>
      </c>
      <c r="U329" s="1164" t="n">
        <v>151950</v>
      </c>
      <c r="V329" s="1166" t="n">
        <v>0.12</v>
      </c>
      <c r="W329" s="1170" t="n">
        <v>0.055</v>
      </c>
      <c r="X329" s="1170" t="n">
        <v>0.12</v>
      </c>
      <c r="Y329" s="1171" t="n"/>
      <c r="Z329" s="1170" t="n">
        <v>0.04</v>
      </c>
      <c r="AA329" s="1168">
        <f>IF(TRIM($B329)="","",IF(N($AU329)&gt;0,$AU329,IF(N($S329)&gt;0,$S329*Lists!$AG$15*(1+N($Z329)),N($U329)*(1+N($V329)+N($W329)+N($X329)+N($Z329))+N($Y329))))</f>
        <v>202853.25</v>
      </c>
      <c r="AJ329" s="865" t="str">
        <f>IF(TRIM($B329)="","",IF(IFERROR(INDEX(Lists!$AO$2:$AO$11,MATCH(ROW(),Lists!$AN$2:$AN$11,0)),"")&lt;&gt;"",IFERROR(INDEX(Lists!$AO$2:$AO$11,MATCH(ROW(),Lists!$AN$2:$AN$11,0)),""),IFERROR(INDEX(Lists!$U:$U,MATCH(TRIM($I329),Lists!$T:$T,0)),TRIM($I329))))</f>
        <v>Enterprise Data</v>
      </c>
      <c r="AK329" s="865" t="str">
        <f>IF(ISNUMBER(SEARCH("vacant",$B329)),"Vacant","Filled")</f>
        <v>Vacant</v>
      </c>
      <c r="AL329" s="865" t="str">
        <f>IF($M329="NZ","NZ","AU")</f>
        <v>AU</v>
      </c>
      <c r="AM329" s="865">
        <f>COUNTIF($AJ$2:$AJ329,$AJ329)</f>
        <v>25</v>
      </c>
      <c r="AN329" s="865" t="str">
        <f>$AJ329&amp;"|"&amp;$AM329</f>
        <v>Enterprise Data|25</v>
      </c>
      <c r="AP329" s="865" t="str">
        <f>IF(TRIM($B329)="","",IF($AQ329=1,"Leadership",IFERROR(INDEX(Lists!$X:$X,MATCH(TRIM($K329),Lists!$W:$W,0)),IF(OR(TRIM($K329)="",LOWER(TRIM($K329))="na"),IF(TRIM($G329)="","Unassigned",TRIM($G329)),TRIM($K329)))))</f>
        <v>Reporting &amp; Analytics</v>
      </c>
      <c r="AQ329" s="865" t="b">
        <f>IF(TRIM($B329)="","",--OR(TRIM($K329)="Leadership",TRIM($J329)="Leadership"))</f>
        <v>0</v>
      </c>
      <c r="AR329" s="1136" t="str">
        <f>IF(TRIM($B329)="","",IF(IFERROR(INDEX(Lists!$AQ$2:$AQ$11,MATCH(ROW(),Lists!$AN$2:$AN$11,0)),"")&lt;&gt;"",IFERROR(INDEX(Lists!$AQ$2:$AQ$11,MATCH(ROW(),Lists!$AN$2:$AN$11,0)),""),IF(ISNUMBER(SEARCH("head of ",$C329)),"Head of Technology",IF(ISNUMBER(SEARCH("TDD BP",$C329)),"Business Partner",IF(OR(ISNUMBER(SEARCH("domain architect",$C329)),ISNUMBER(SEARCH("enterprise architect",$C329))),"Domain Architect",IF(ISNUMBER(SEARCH("delivery man",$C329)),"Delivery Manager",IF(OR(ISNUMBER(SEARCH("technology manager",$C329)),ISNUMBER(SEARCH("technology manger",$C329)),ISNUMBER(SEARCH("tech manager",$C329))),"Technology Manager","Squad")))))))</f>
        <v>Squad</v>
      </c>
      <c r="AS329" s="1136" t="str">
        <f>IF(TRIM($B329)="","",IFERROR(INDEX(Lists!$AA:$AA,MATCH($AP329,Lists!$Z:$Z,0)),$AP329))</f>
        <v>Reporting &amp; Analytics</v>
      </c>
      <c r="AT329" s="1136" t="str">
        <f>IF(TRIM($B329)="","",IF(IFERROR(INDEX(Lists!$AP$2:$AP$11,MATCH(ROW(),Lists!$AN$2:$AN$11,0)),"")&lt;&gt;"",IFERROR(INDEX(Lists!$AP$2:$AP$11,MATCH(ROW(),Lists!$AN$2:$AN$11,0)),""),IF(OR(LEFT($AJ329,3)="COE",$AJ329="EGI"),$AP329,IF($AR329&lt;&gt;"Squad",$AR329,$AP329))))</f>
        <v>Reporting &amp; Analytics</v>
      </c>
    </row>
    <row r="330" ht="18" customHeight="1" s="866">
      <c r="A330" s="1263" t="inlineStr">
        <is>
          <t>V</t>
        </is>
      </c>
      <c r="B330" s="1156" t="inlineStr">
        <is>
          <t>Vacant</t>
        </is>
      </c>
      <c r="C330" s="1264" t="inlineStr">
        <is>
          <t>Reporting analysts - Strategic Programs</t>
        </is>
      </c>
      <c r="D330" s="1264" t="inlineStr">
        <is>
          <t>Prashanth Krishnankutty</t>
        </is>
      </c>
      <c r="E330" s="1264" t="inlineStr">
        <is>
          <t>Lead, Reporting &amp; Insights</t>
        </is>
      </c>
      <c r="F330" s="1265" t="inlineStr">
        <is>
          <t>Strategy, Architecture &amp; Data</t>
        </is>
      </c>
      <c r="G330" s="1266" t="inlineStr">
        <is>
          <t>Group Data</t>
        </is>
      </c>
      <c r="H330" s="1267" t="inlineStr">
        <is>
          <t>Data Engineering &amp; Platforms</t>
        </is>
      </c>
      <c r="I330" s="1266" t="inlineStr">
        <is>
          <t>Enterprise Data</t>
        </is>
      </c>
      <c r="J330" s="1267" t="inlineStr">
        <is>
          <t>Group Data</t>
        </is>
      </c>
      <c r="K330" s="1267" t="inlineStr">
        <is>
          <t>Reporting &amp; Analytics</t>
        </is>
      </c>
      <c r="L330" s="1266" t="n"/>
      <c r="M330" s="1268" t="inlineStr">
        <is>
          <t>Australia</t>
        </is>
      </c>
      <c r="N330" s="1269" t="inlineStr">
        <is>
          <t>CIB</t>
        </is>
      </c>
      <c r="O330" s="1269" t="n">
        <v>1</v>
      </c>
      <c r="P330" s="1269" t="n"/>
      <c r="Q330" s="1269" t="inlineStr">
        <is>
          <t>v</t>
        </is>
      </c>
      <c r="R330" s="1200" t="n"/>
      <c r="S330" s="1200" t="n"/>
      <c r="T330" s="1270" t="n">
        <v>151950</v>
      </c>
      <c r="U330" s="1271" t="n">
        <v>151950</v>
      </c>
      <c r="V330" s="1272" t="n">
        <v>0.12</v>
      </c>
      <c r="W330" s="1273" t="n">
        <v>0.055</v>
      </c>
      <c r="X330" s="1273" t="n">
        <v>0.12</v>
      </c>
      <c r="Y330" s="1274" t="n"/>
      <c r="Z330" s="1273" t="n">
        <v>0.04</v>
      </c>
      <c r="AA330" s="1275">
        <f>IF(TRIM($B330)="","",IF(N($AU330)&gt;0,$AU330,IF(N($S330)&gt;0,$S330*Lists!$AG$15*(1+N($Z330)),N($U330)*(1+N($V330)+N($W330)+N($X330)+N($Z330))+N($Y330))))</f>
        <v>202853.25</v>
      </c>
      <c r="AB330" s="1201" t="n"/>
      <c r="AJ330" s="865" t="str">
        <f>IF(TRIM($B330)="","",IF(IFERROR(INDEX(Lists!$AO$2:$AO$11,MATCH(ROW(),Lists!$AN$2:$AN$11,0)),"")&lt;&gt;"",IFERROR(INDEX(Lists!$AO$2:$AO$11,MATCH(ROW(),Lists!$AN$2:$AN$11,0)),""),IFERROR(INDEX(Lists!$U:$U,MATCH(TRIM($I330),Lists!$T:$T,0)),TRIM($I330))))</f>
        <v>Enterprise Data</v>
      </c>
      <c r="AK330" s="865" t="str">
        <f>IF(ISNUMBER(SEARCH("vacant",$B330)),"Vacant","Filled")</f>
        <v>Vacant</v>
      </c>
      <c r="AL330" s="865" t="str">
        <f>IF($M330="NZ","NZ","AU")</f>
        <v>AU</v>
      </c>
      <c r="AM330" s="865">
        <f>COUNTIF($AJ$2:$AJ330,$AJ330)</f>
        <v>26</v>
      </c>
      <c r="AN330" s="865" t="str">
        <f>$AJ330&amp;"|"&amp;$AM330</f>
        <v>Enterprise Data|26</v>
      </c>
      <c r="AP330" s="865" t="str">
        <f>IF(TRIM($B330)="","",IF($AQ330=1,"Leadership",IFERROR(INDEX(Lists!$X:$X,MATCH(TRIM($K330),Lists!$W:$W,0)),IF(OR(TRIM($K330)="",LOWER(TRIM($K330))="na"),IF(TRIM($G330)="","Unassigned",TRIM($G330)),TRIM($K330)))))</f>
        <v>Reporting &amp; Analytics</v>
      </c>
      <c r="AQ330" s="865" t="b">
        <f>IF(TRIM($B330)="","",--OR(TRIM($K330)="Leadership",TRIM($J330)="Leadership"))</f>
        <v>0</v>
      </c>
      <c r="AR330" s="1136" t="str">
        <f>IF(TRIM($B330)="","",IF(IFERROR(INDEX(Lists!$AQ$2:$AQ$11,MATCH(ROW(),Lists!$AN$2:$AN$11,0)),"")&lt;&gt;"",IFERROR(INDEX(Lists!$AQ$2:$AQ$11,MATCH(ROW(),Lists!$AN$2:$AN$11,0)),""),IF(ISNUMBER(SEARCH("head of ",$C330)),"Head of Technology",IF(ISNUMBER(SEARCH("TDD BP",$C330)),"Business Partner",IF(OR(ISNUMBER(SEARCH("domain architect",$C330)),ISNUMBER(SEARCH("enterprise architect",$C330))),"Domain Architect",IF(ISNUMBER(SEARCH("delivery man",$C330)),"Delivery Manager",IF(OR(ISNUMBER(SEARCH("technology manager",$C330)),ISNUMBER(SEARCH("technology manger",$C330)),ISNUMBER(SEARCH("tech manager",$C330))),"Technology Manager","Squad")))))))</f>
        <v>Squad</v>
      </c>
      <c r="AS330" s="1136" t="str">
        <f>IF(TRIM($B330)="","",IFERROR(INDEX(Lists!$AA:$AA,MATCH($AP330,Lists!$Z:$Z,0)),$AP330))</f>
        <v>Reporting &amp; Analytics</v>
      </c>
      <c r="AT330" s="1136" t="str">
        <f>IF(TRIM($B330)="","",IF(IFERROR(INDEX(Lists!$AP$2:$AP$11,MATCH(ROW(),Lists!$AN$2:$AN$11,0)),"")&lt;&gt;"",IFERROR(INDEX(Lists!$AP$2:$AP$11,MATCH(ROW(),Lists!$AN$2:$AN$11,0)),""),IF(OR(LEFT($AJ330,3)="COE",$AJ330="EGI"),$AP330,IF($AR330&lt;&gt;"Squad",$AR330,$AP330))))</f>
        <v>Reporting &amp; Analytics</v>
      </c>
    </row>
    <row r="331" ht="18" customHeight="1" s="866">
      <c r="A331" s="1155" t="n">
        <v>106026</v>
      </c>
      <c r="B331" s="1156" t="inlineStr">
        <is>
          <t>Vincent Lu</t>
        </is>
      </c>
      <c r="C331" s="1156" t="inlineStr">
        <is>
          <t>Reporting Analyst</t>
        </is>
      </c>
      <c r="D331" s="1156" t="inlineStr">
        <is>
          <t>Prashanth Krishnankutty</t>
        </is>
      </c>
      <c r="E331" s="1156" t="inlineStr">
        <is>
          <t>Lead, Reporting &amp; Insights</t>
        </is>
      </c>
      <c r="F331" s="1257" t="inlineStr">
        <is>
          <t>Strategy, Architecture &amp; Data</t>
        </is>
      </c>
      <c r="G331" s="1158" t="inlineStr">
        <is>
          <t>Group Data</t>
        </is>
      </c>
      <c r="H331" s="1199" t="inlineStr">
        <is>
          <t>Data Engineering &amp; Platforms</t>
        </is>
      </c>
      <c r="I331" s="1199" t="inlineStr">
        <is>
          <t>Enterprise Data</t>
        </is>
      </c>
      <c r="J331" s="1199" t="inlineStr">
        <is>
          <t>Group Data</t>
        </is>
      </c>
      <c r="K331" s="1199" t="inlineStr">
        <is>
          <t>Reporting &amp; Analytics</t>
        </is>
      </c>
      <c r="L331" s="1158" t="n"/>
      <c r="M331" s="1159" t="inlineStr">
        <is>
          <t>Australia</t>
        </is>
      </c>
      <c r="N331" s="1160" t="inlineStr">
        <is>
          <t>CIB</t>
        </is>
      </c>
      <c r="O331" s="1160" t="n">
        <v>1</v>
      </c>
      <c r="P331" s="1160" t="n"/>
      <c r="Q331" s="1160" t="inlineStr">
        <is>
          <t>Permanent - Full Time</t>
        </is>
      </c>
      <c r="R331" s="1162" t="n"/>
      <c r="S331" s="1162" t="n"/>
      <c r="T331" s="1163" t="n">
        <v>134550</v>
      </c>
      <c r="U331" s="1164" t="n">
        <v>134550</v>
      </c>
      <c r="V331" s="1166" t="n">
        <v>0.12</v>
      </c>
      <c r="W331" s="1170" t="n">
        <v>0.055</v>
      </c>
      <c r="X331" s="1170" t="n">
        <v>0.12</v>
      </c>
      <c r="Y331" s="1171" t="n"/>
      <c r="Z331" s="1170" t="n">
        <v>0.04</v>
      </c>
      <c r="AA331" s="1168">
        <f>IF(TRIM($B331)="","",IF(N($AU331)&gt;0,$AU331,IF(N($S331)&gt;0,$S331*Lists!$AG$15*(1+N($Z331)),N($U331)*(1+N($V331)+N($W331)+N($X331)+N($Z331))+N($Y331))))</f>
        <v>179624.25</v>
      </c>
      <c r="AJ331" s="865" t="str">
        <f>IF(TRIM($B331)="","",IF(IFERROR(INDEX(Lists!$AO$2:$AO$11,MATCH(ROW(),Lists!$AN$2:$AN$11,0)),"")&lt;&gt;"",IFERROR(INDEX(Lists!$AO$2:$AO$11,MATCH(ROW(),Lists!$AN$2:$AN$11,0)),""),IFERROR(INDEX(Lists!$U:$U,MATCH(TRIM($I331),Lists!$T:$T,0)),TRIM($I331))))</f>
        <v>Enterprise Data</v>
      </c>
      <c r="AK331" s="865" t="str">
        <f>IF(ISNUMBER(SEARCH("vacant",$B331)),"Vacant","Filled")</f>
        <v>Filled</v>
      </c>
      <c r="AL331" s="865" t="str">
        <f>IF($M331="NZ","NZ","AU")</f>
        <v>AU</v>
      </c>
      <c r="AM331" s="865">
        <f>COUNTIF($AJ$2:$AJ331,$AJ331)</f>
        <v>27</v>
      </c>
      <c r="AN331" s="865" t="str">
        <f>$AJ331&amp;"|"&amp;$AM331</f>
        <v>Enterprise Data|27</v>
      </c>
      <c r="AP331" s="865" t="str">
        <f>IF(TRIM($B331)="","",IF($AQ331=1,"Leadership",IFERROR(INDEX(Lists!$X:$X,MATCH(TRIM($K331),Lists!$W:$W,0)),IF(OR(TRIM($K331)="",LOWER(TRIM($K331))="na"),IF(TRIM($G331)="","Unassigned",TRIM($G331)),TRIM($K331)))))</f>
        <v>Reporting &amp; Analytics</v>
      </c>
      <c r="AQ331" s="865" t="b">
        <f>IF(TRIM($B331)="","",--OR(TRIM($K331)="Leadership",TRIM($J331)="Leadership"))</f>
        <v>0</v>
      </c>
      <c r="AR331" s="1136" t="str">
        <f>IF(TRIM($B331)="","",IF(IFERROR(INDEX(Lists!$AQ$2:$AQ$11,MATCH(ROW(),Lists!$AN$2:$AN$11,0)),"")&lt;&gt;"",IFERROR(INDEX(Lists!$AQ$2:$AQ$11,MATCH(ROW(),Lists!$AN$2:$AN$11,0)),""),IF(ISNUMBER(SEARCH("head of ",$C331)),"Head of Technology",IF(ISNUMBER(SEARCH("TDD BP",$C331)),"Business Partner",IF(OR(ISNUMBER(SEARCH("domain architect",$C331)),ISNUMBER(SEARCH("enterprise architect",$C331))),"Domain Architect",IF(ISNUMBER(SEARCH("delivery man",$C331)),"Delivery Manager",IF(OR(ISNUMBER(SEARCH("technology manager",$C331)),ISNUMBER(SEARCH("technology manger",$C331)),ISNUMBER(SEARCH("tech manager",$C331))),"Technology Manager","Squad")))))))</f>
        <v>Squad</v>
      </c>
      <c r="AS331" s="1136" t="str">
        <f>IF(TRIM($B331)="","",IFERROR(INDEX(Lists!$AA:$AA,MATCH($AP331,Lists!$Z:$Z,0)),$AP331))</f>
        <v>Reporting &amp; Analytics</v>
      </c>
      <c r="AT331" s="1136" t="str">
        <f>IF(TRIM($B331)="","",IF(IFERROR(INDEX(Lists!$AP$2:$AP$11,MATCH(ROW(),Lists!$AN$2:$AN$11,0)),"")&lt;&gt;"",IFERROR(INDEX(Lists!$AP$2:$AP$11,MATCH(ROW(),Lists!$AN$2:$AN$11,0)),""),IF(OR(LEFT($AJ331,3)="COE",$AJ331="EGI"),$AP331,IF($AR331&lt;&gt;"Squad",$AR331,$AP331))))</f>
        <v>Reporting &amp; Analytics</v>
      </c>
    </row>
    <row r="332" ht="18" customHeight="1" s="866">
      <c r="A332" s="1155" t="n">
        <v>101166</v>
      </c>
      <c r="B332" s="1158" t="inlineStr">
        <is>
          <t>Yu Chen</t>
        </is>
      </c>
      <c r="C332" s="1158" t="inlineStr">
        <is>
          <t>Senior Data Scientist</t>
        </is>
      </c>
      <c r="D332" s="1156" t="inlineStr">
        <is>
          <t>Jonathan Robinson</t>
        </is>
      </c>
      <c r="E332" s="1156" t="inlineStr">
        <is>
          <t>Technology Manager, Data Science</t>
        </is>
      </c>
      <c r="F332" s="1257" t="inlineStr">
        <is>
          <t>Strategy, Architecture &amp; Data</t>
        </is>
      </c>
      <c r="G332" s="1158" t="inlineStr">
        <is>
          <t>Group Data</t>
        </is>
      </c>
      <c r="H332" s="1199" t="inlineStr">
        <is>
          <t>Data Science</t>
        </is>
      </c>
      <c r="I332" s="1199" t="inlineStr">
        <is>
          <t>Enterprise Data</t>
        </is>
      </c>
      <c r="J332" s="1199" t="inlineStr">
        <is>
          <t>Group Data</t>
        </is>
      </c>
      <c r="K332" s="1158" t="inlineStr">
        <is>
          <t>Data Science</t>
        </is>
      </c>
      <c r="L332" s="1158" t="n"/>
      <c r="M332" s="1159" t="inlineStr">
        <is>
          <t>Australia</t>
        </is>
      </c>
      <c r="N332" s="1160" t="inlineStr">
        <is>
          <t>CIC</t>
        </is>
      </c>
      <c r="O332" s="1160" t="n">
        <v>1</v>
      </c>
      <c r="P332" s="1160" t="n"/>
      <c r="Q332" s="1160" t="inlineStr">
        <is>
          <t>Permanent - Full Time</t>
        </is>
      </c>
      <c r="R332" s="1162" t="n"/>
      <c r="S332" s="1162" t="n"/>
      <c r="T332" s="1163" t="n">
        <v>173470</v>
      </c>
      <c r="U332" s="1164" t="n">
        <v>173470</v>
      </c>
      <c r="V332" s="1166" t="n">
        <v>0.12</v>
      </c>
      <c r="W332" s="1170" t="n">
        <v>0.055</v>
      </c>
      <c r="X332" s="1170" t="n">
        <v>0.12</v>
      </c>
      <c r="Y332" s="1171" t="n"/>
      <c r="Z332" s="1170" t="n">
        <v>0.04</v>
      </c>
      <c r="AA332" s="1168">
        <f>IF(TRIM($B332)="","",IF(N($AU332)&gt;0,$AU332,IF(N($S332)&gt;0,$S332*Lists!$AG$15*(1+N($Z332)),N($U332)*(1+N($V332)+N($W332)+N($X332)+N($Z332))+N($Y332))))</f>
        <v>231582.45</v>
      </c>
      <c r="AJ332" s="865" t="str">
        <f>IF(TRIM($B332)="","",IF(IFERROR(INDEX(Lists!$AO$2:$AO$11,MATCH(ROW(),Lists!$AN$2:$AN$11,0)),"")&lt;&gt;"",IFERROR(INDEX(Lists!$AO$2:$AO$11,MATCH(ROW(),Lists!$AN$2:$AN$11,0)),""),IFERROR(INDEX(Lists!$U:$U,MATCH(TRIM($I332),Lists!$T:$T,0)),TRIM($I332))))</f>
        <v>Enterprise Data</v>
      </c>
      <c r="AK332" s="865" t="str">
        <f>IF(ISNUMBER(SEARCH("vacant",$B332)),"Vacant","Filled")</f>
        <v>Filled</v>
      </c>
      <c r="AL332" s="865" t="str">
        <f>IF($M332="NZ","NZ","AU")</f>
        <v>AU</v>
      </c>
      <c r="AM332" s="865">
        <f>COUNTIF($AJ$2:$AJ332,$AJ332)</f>
        <v>28</v>
      </c>
      <c r="AN332" s="865" t="str">
        <f>$AJ332&amp;"|"&amp;$AM332</f>
        <v>Enterprise Data|28</v>
      </c>
      <c r="AP332" s="865" t="str">
        <f>IF(TRIM($B332)="","",IF($AQ332=1,"Leadership",IFERROR(INDEX(Lists!$X:$X,MATCH(TRIM($K332),Lists!$W:$W,0)),IF(OR(TRIM($K332)="",LOWER(TRIM($K332))="na"),IF(TRIM($G332)="","Unassigned",TRIM($G332)),TRIM($K332)))))</f>
        <v>Data Science</v>
      </c>
      <c r="AQ332" s="865" t="b">
        <f>IF(TRIM($B332)="","",--OR(TRIM($K332)="Leadership",TRIM($J332)="Leadership"))</f>
        <v>0</v>
      </c>
      <c r="AR332" s="1136" t="str">
        <f>IF(TRIM($B332)="","",IF(IFERROR(INDEX(Lists!$AQ$2:$AQ$11,MATCH(ROW(),Lists!$AN$2:$AN$11,0)),"")&lt;&gt;"",IFERROR(INDEX(Lists!$AQ$2:$AQ$11,MATCH(ROW(),Lists!$AN$2:$AN$11,0)),""),IF(ISNUMBER(SEARCH("head of ",$C332)),"Head of Technology",IF(ISNUMBER(SEARCH("TDD BP",$C332)),"Business Partner",IF(OR(ISNUMBER(SEARCH("domain architect",$C332)),ISNUMBER(SEARCH("enterprise architect",$C332))),"Domain Architect",IF(ISNUMBER(SEARCH("delivery man",$C332)),"Delivery Manager",IF(OR(ISNUMBER(SEARCH("technology manager",$C332)),ISNUMBER(SEARCH("technology manger",$C332)),ISNUMBER(SEARCH("tech manager",$C332))),"Technology Manager","Squad")))))))</f>
        <v>Squad</v>
      </c>
      <c r="AS332" s="1136" t="str">
        <f>IF(TRIM($B332)="","",IFERROR(INDEX(Lists!$AA:$AA,MATCH($AP332,Lists!$Z:$Z,0)),$AP332))</f>
        <v>Data Science</v>
      </c>
      <c r="AT332" s="1136" t="str">
        <f>IF(TRIM($B332)="","",IF(IFERROR(INDEX(Lists!$AP$2:$AP$11,MATCH(ROW(),Lists!$AN$2:$AN$11,0)),"")&lt;&gt;"",IFERROR(INDEX(Lists!$AP$2:$AP$11,MATCH(ROW(),Lists!$AN$2:$AN$11,0)),""),IF(OR(LEFT($AJ332,3)="COE",$AJ332="EGI"),$AP332,IF($AR332&lt;&gt;"Squad",$AR332,$AP332))))</f>
        <v>Data Science</v>
      </c>
    </row>
    <row r="333" ht="18" customHeight="1" s="866">
      <c r="A333" s="1155" t="n">
        <v>107588</v>
      </c>
      <c r="B333" s="1156" t="inlineStr">
        <is>
          <t>Akhil Sriram</t>
        </is>
      </c>
      <c r="C333" s="1156" t="inlineStr">
        <is>
          <t>Snr Business Analyst</t>
        </is>
      </c>
      <c r="D333" s="1158" t="inlineStr">
        <is>
          <t>Vacant</t>
        </is>
      </c>
      <c r="E333" s="1156" t="inlineStr">
        <is>
          <t>Delivery Manager</t>
        </is>
      </c>
      <c r="F333" s="1157" t="inlineStr">
        <is>
          <t>TDD CFE&amp;I</t>
        </is>
      </c>
      <c r="G333" s="1158" t="inlineStr">
        <is>
          <t>Fuel Infrastructure</t>
        </is>
      </c>
      <c r="H333" s="1158" t="inlineStr">
        <is>
          <t>Fuel Infrastructure, Delivery</t>
        </is>
      </c>
      <c r="I333" s="1158" t="inlineStr">
        <is>
          <t>Infrastructure</t>
        </is>
      </c>
      <c r="J333" s="1158" t="inlineStr">
        <is>
          <t>Manufacturing</t>
        </is>
      </c>
      <c r="K333" s="1156" t="inlineStr">
        <is>
          <t>Manufacturing Group Projects</t>
        </is>
      </c>
      <c r="L333" s="1158" t="n"/>
      <c r="M333" s="1159" t="inlineStr">
        <is>
          <t>Australia</t>
        </is>
      </c>
      <c r="N333" s="1160" t="inlineStr">
        <is>
          <t>CIB</t>
        </is>
      </c>
      <c r="O333" s="1160" t="n">
        <v>1</v>
      </c>
      <c r="P333" s="1160" t="n"/>
      <c r="Q333" s="1160" t="inlineStr">
        <is>
          <t>Permanent - Full Time</t>
        </is>
      </c>
      <c r="R333" s="1162" t="n"/>
      <c r="S333" s="1162" t="n"/>
      <c r="T333" s="1163" t="n">
        <v>166140</v>
      </c>
      <c r="U333" s="1164" t="n">
        <v>166140</v>
      </c>
      <c r="V333" s="1166" t="n">
        <v>0.12</v>
      </c>
      <c r="W333" s="1170" t="n">
        <v>0.055</v>
      </c>
      <c r="X333" s="1170" t="n">
        <v>0.12</v>
      </c>
      <c r="Y333" s="1171" t="n"/>
      <c r="Z333" s="1170" t="n">
        <v>0.04</v>
      </c>
      <c r="AA333" s="1168">
        <f>IF(TRIM($B333)="","",IF(N($AU333)&gt;0,$AU333,IF(N($S333)&gt;0,$S333*Lists!$AG$15*(1+N($Z333)),N($U333)*(1+N($V333)+N($W333)+N($X333)+N($Z333))+N($Y333))))</f>
        <v>221796.9</v>
      </c>
      <c r="AJ333" s="865" t="str">
        <f>IF(TRIM($B333)="","",IF(IFERROR(INDEX(Lists!$AO$2:$AO$11,MATCH(ROW(),Lists!$AN$2:$AN$11,0)),"")&lt;&gt;"",IFERROR(INDEX(Lists!$AO$2:$AO$11,MATCH(ROW(),Lists!$AN$2:$AN$11,0)),""),IFERROR(INDEX(Lists!$U:$U,MATCH(TRIM($I333),Lists!$T:$T,0)),TRIM($I333))))</f>
        <v>Infrastructure</v>
      </c>
      <c r="AK333" s="865" t="str">
        <f>IF(ISNUMBER(SEARCH("vacant",$B333)),"Vacant","Filled")</f>
        <v>Filled</v>
      </c>
      <c r="AL333" s="865" t="str">
        <f>IF($M333="NZ","NZ","AU")</f>
        <v>AU</v>
      </c>
      <c r="AM333" s="865">
        <f>COUNTIF($AJ$2:$AJ333,$AJ333)</f>
        <v>1</v>
      </c>
      <c r="AN333" s="865" t="str">
        <f>$AJ333&amp;"|"&amp;$AM333</f>
        <v>Infrastructure|1</v>
      </c>
      <c r="AP333" s="865" t="str">
        <f>IF(TRIM($B333)="","",IF($AQ333=1,"Leadership",IFERROR(INDEX(Lists!$X:$X,MATCH(TRIM($K333),Lists!$W:$W,0)),IF(OR(TRIM($K333)="",LOWER(TRIM($K333))="na"),IF(TRIM($G333)="","Unassigned",TRIM($G333)),TRIM($K333)))))</f>
        <v>Manufacturing Group Projects</v>
      </c>
      <c r="AQ333" s="865" t="b">
        <f>IF(TRIM($B333)="","",--OR(TRIM($K333)="Leadership",TRIM($J333)="Leadership"))</f>
        <v>0</v>
      </c>
      <c r="AR333" s="1136" t="str">
        <f>IF(TRIM($B333)="","",IF(IFERROR(INDEX(Lists!$AQ$2:$AQ$11,MATCH(ROW(),Lists!$AN$2:$AN$11,0)),"")&lt;&gt;"",IFERROR(INDEX(Lists!$AQ$2:$AQ$11,MATCH(ROW(),Lists!$AN$2:$AN$11,0)),""),IF(ISNUMBER(SEARCH("head of ",$C333)),"Head of Technology",IF(ISNUMBER(SEARCH("TDD BP",$C333)),"Business Partner",IF(OR(ISNUMBER(SEARCH("domain architect",$C333)),ISNUMBER(SEARCH("enterprise architect",$C333))),"Domain Architect",IF(ISNUMBER(SEARCH("delivery man",$C333)),"Delivery Manager",IF(OR(ISNUMBER(SEARCH("technology manager",$C333)),ISNUMBER(SEARCH("technology manger",$C333)),ISNUMBER(SEARCH("tech manager",$C333))),"Technology Manager","Squad")))))))</f>
        <v>Squad</v>
      </c>
      <c r="AS333" s="1136" t="str">
        <f>IF(TRIM($B333)="","",IFERROR(INDEX(Lists!$AA:$AA,MATCH($AP333,Lists!$Z:$Z,0)),$AP333))</f>
        <v>Manufacturing Group Projects</v>
      </c>
      <c r="AT333" s="1136" t="str">
        <f>IF(TRIM($B333)="","",IF(IFERROR(INDEX(Lists!$AP$2:$AP$11,MATCH(ROW(),Lists!$AN$2:$AN$11,0)),"")&lt;&gt;"",IFERROR(INDEX(Lists!$AP$2:$AP$11,MATCH(ROW(),Lists!$AN$2:$AN$11,0)),""),IF(OR(LEFT($AJ333,3)="COE",$AJ333="EGI"),$AP333,IF($AR333&lt;&gt;"Squad",$AR333,$AP333))))</f>
        <v>Manufacturing Group Projects</v>
      </c>
    </row>
    <row r="334" ht="18" customHeight="1" s="866">
      <c r="A334" s="1155" t="n">
        <v>99999101912</v>
      </c>
      <c r="B334" s="1156" t="inlineStr">
        <is>
          <t>Alex Abelita</t>
        </is>
      </c>
      <c r="C334" s="1156" t="inlineStr">
        <is>
          <t>Associate Engineer - Automation Testing</t>
        </is>
      </c>
      <c r="D334" s="1156" t="inlineStr">
        <is>
          <t>Elle Spencer</t>
        </is>
      </c>
      <c r="E334" s="1156" t="inlineStr">
        <is>
          <t>Technology Manager, Energy Solutions</t>
        </is>
      </c>
      <c r="F334" s="1157" t="inlineStr">
        <is>
          <t>TDD CFE&amp;I</t>
        </is>
      </c>
      <c r="G334" s="1158" t="inlineStr">
        <is>
          <t>B2B &amp; Energy Solutions</t>
        </is>
      </c>
      <c r="H334" s="1158" t="inlineStr">
        <is>
          <t>Technology B2B</t>
        </is>
      </c>
      <c r="I334" s="1158" t="inlineStr">
        <is>
          <t>B2B &amp; Energy Solutions</t>
        </is>
      </c>
      <c r="J334" s="1156" t="inlineStr">
        <is>
          <t>B2B</t>
        </is>
      </c>
      <c r="K334" s="1156" t="inlineStr">
        <is>
          <t>B2B</t>
        </is>
      </c>
      <c r="L334" s="1158" t="n"/>
      <c r="M334" s="1159" t="inlineStr">
        <is>
          <t>NZ</t>
        </is>
      </c>
      <c r="N334" s="1160" t="inlineStr">
        <is>
          <t>CDB</t>
        </is>
      </c>
      <c r="O334" s="1161" t="n">
        <v>1</v>
      </c>
      <c r="P334" s="1160" t="n"/>
      <c r="Q334" s="1161" t="inlineStr">
        <is>
          <t>Permanent - Full Time</t>
        </is>
      </c>
      <c r="R334" s="1162" t="n"/>
      <c r="S334" s="1162" t="n"/>
      <c r="T334" s="1276" t="n">
        <v>77500</v>
      </c>
      <c r="U334" s="1164" t="n">
        <v>71300</v>
      </c>
      <c r="V334" s="1165" t="n">
        <v>0.1</v>
      </c>
      <c r="W334" s="1161" t="n"/>
      <c r="X334" s="1166" t="n">
        <v>0.05</v>
      </c>
      <c r="Y334" s="1907" t="n">
        <v>2910</v>
      </c>
      <c r="Z334" s="1166" t="n">
        <v>0.03</v>
      </c>
      <c r="AA334" s="1168">
        <f>IF(TRIM($B334)="","",IF(N($AU334)&gt;0,$AU334,IF(N($S334)&gt;0,$S334*Lists!$AG$15*(1+N($Z334)),N($U334)*(1+N($V334)+N($W334)+N($X334)+N($Z334))+N($Y334))))</f>
        <v>87044</v>
      </c>
      <c r="AJ334" s="865" t="str">
        <f>IF(TRIM($B334)="","",IF(IFERROR(INDEX(Lists!$AO$2:$AO$11,MATCH(ROW(),Lists!$AN$2:$AN$11,0)),"")&lt;&gt;"",IFERROR(INDEX(Lists!$AO$2:$AO$11,MATCH(ROW(),Lists!$AN$2:$AN$11,0)),""),IFERROR(INDEX(Lists!$U:$U,MATCH(TRIM($I334),Lists!$T:$T,0)),TRIM($I334))))</f>
        <v>Energy Solutions &amp; B2B</v>
      </c>
      <c r="AK334" s="865" t="str">
        <f>IF(ISNUMBER(SEARCH("vacant",$B334)),"Vacant","Filled")</f>
        <v>Filled</v>
      </c>
      <c r="AL334" s="865" t="str">
        <f>IF($M334="NZ","NZ","AU")</f>
        <v>NZ</v>
      </c>
      <c r="AM334" s="865">
        <f>COUNTIF($AJ$2:$AJ334,$AJ334)</f>
        <v>1</v>
      </c>
      <c r="AN334" s="865" t="str">
        <f>$AJ334&amp;"|"&amp;$AM334</f>
        <v>Energy Solutions &amp; B2B|1</v>
      </c>
      <c r="AP334" s="865" t="str">
        <f>IF(TRIM($B334)="","",IF($AQ334=1,"Leadership",IFERROR(INDEX(Lists!$X:$X,MATCH(TRIM($K334),Lists!$W:$W,0)),IF(OR(TRIM($K334)="",LOWER(TRIM($K334))="na"),IF(TRIM($G334)="","Unassigned",TRIM($G334)),TRIM($K334)))))</f>
        <v>B2B</v>
      </c>
      <c r="AQ334" s="865" t="b">
        <f>IF(TRIM($B334)="","",--OR(TRIM($K334)="Leadership",TRIM($J334)="Leadership"))</f>
        <v>0</v>
      </c>
      <c r="AR334" s="1136" t="str">
        <f>IF(TRIM($B334)="","",IF(IFERROR(INDEX(Lists!$AQ$2:$AQ$11,MATCH(ROW(),Lists!$AN$2:$AN$11,0)),"")&lt;&gt;"",IFERROR(INDEX(Lists!$AQ$2:$AQ$11,MATCH(ROW(),Lists!$AN$2:$AN$11,0)),""),IF(ISNUMBER(SEARCH("head of ",$C334)),"Head of Technology",IF(ISNUMBER(SEARCH("TDD BP",$C334)),"Business Partner",IF(OR(ISNUMBER(SEARCH("domain architect",$C334)),ISNUMBER(SEARCH("enterprise architect",$C334))),"Domain Architect",IF(ISNUMBER(SEARCH("delivery man",$C334)),"Delivery Manager",IF(OR(ISNUMBER(SEARCH("technology manager",$C334)),ISNUMBER(SEARCH("technology manger",$C334)),ISNUMBER(SEARCH("tech manager",$C334))),"Technology Manager","Squad")))))))</f>
        <v>Squad</v>
      </c>
      <c r="AS334" s="1136" t="str">
        <f>IF(TRIM($B334)="","",IFERROR(INDEX(Lists!$AA:$AA,MATCH($AP334,Lists!$Z:$Z,0)),$AP334))</f>
        <v>B2B</v>
      </c>
      <c r="AT334" s="1136" t="str">
        <f>IF(TRIM($B334)="","",IF(IFERROR(INDEX(Lists!$AP$2:$AP$11,MATCH(ROW(),Lists!$AN$2:$AN$11,0)),"")&lt;&gt;"",IFERROR(INDEX(Lists!$AP$2:$AP$11,MATCH(ROW(),Lists!$AN$2:$AN$11,0)),""),IF(OR(LEFT($AJ334,3)="COE",$AJ334="EGI"),$AP334,IF($AR334&lt;&gt;"Squad",$AR334,$AP334))))</f>
        <v>B2B</v>
      </c>
    </row>
    <row r="335" ht="18" customHeight="1" s="866">
      <c r="A335" s="1155" t="n">
        <v>92699</v>
      </c>
      <c r="B335" s="1156" t="inlineStr">
        <is>
          <t>Alison Rosier</t>
        </is>
      </c>
      <c r="C335" s="1156" t="inlineStr">
        <is>
          <t>Technology Support Engineer - Infrastructure</t>
        </is>
      </c>
      <c r="D335" s="1156" t="inlineStr">
        <is>
          <t>Glenn Earl</t>
        </is>
      </c>
      <c r="E335" s="1156" t="inlineStr">
        <is>
          <t>Lead Support, Infrastructure</t>
        </is>
      </c>
      <c r="F335" s="1157" t="inlineStr">
        <is>
          <t>TDD CFE&amp;I</t>
        </is>
      </c>
      <c r="G335" s="1158" t="inlineStr">
        <is>
          <t>Fuel Infrastructure</t>
        </is>
      </c>
      <c r="H335" s="1158" t="inlineStr">
        <is>
          <t>Refinery Applications</t>
        </is>
      </c>
      <c r="I335" s="1158" t="inlineStr">
        <is>
          <t>Infrastructure</t>
        </is>
      </c>
      <c r="J335" s="1158" t="inlineStr">
        <is>
          <t>Fuel Infrastructure</t>
        </is>
      </c>
      <c r="K335" s="1156" t="inlineStr">
        <is>
          <t>Technology Suport</t>
        </is>
      </c>
      <c r="L335" s="1158" t="n"/>
      <c r="M335" s="1159" t="inlineStr">
        <is>
          <t>Australia</t>
        </is>
      </c>
      <c r="N335" s="1160" t="inlineStr">
        <is>
          <t>CIA</t>
        </is>
      </c>
      <c r="O335" s="1160" t="n">
        <v>1</v>
      </c>
      <c r="P335" s="1160" t="n"/>
      <c r="Q335" s="1160" t="inlineStr">
        <is>
          <t>Permanent - Full Time</t>
        </is>
      </c>
      <c r="R335" s="1162" t="n"/>
      <c r="S335" s="1162" t="n"/>
      <c r="T335" s="1163" t="n">
        <v>123906</v>
      </c>
      <c r="U335" s="1164" t="n">
        <v>123906</v>
      </c>
      <c r="V335" s="1166" t="n">
        <v>0.1</v>
      </c>
      <c r="W335" s="1170" t="n">
        <v>0.055</v>
      </c>
      <c r="X335" s="1170" t="n">
        <v>0.12</v>
      </c>
      <c r="Y335" s="1171" t="n"/>
      <c r="Z335" s="1170" t="n">
        <v>0.04</v>
      </c>
      <c r="AA335" s="1168">
        <f>IF(TRIM($B335)="","",IF(N($AU335)&gt;0,$AU335,IF(N($S335)&gt;0,$S335*Lists!$AG$15*(1+N($Z335)),N($U335)*(1+N($V335)+N($W335)+N($X335)+N($Z335))+N($Y335))))</f>
        <v>162936.39</v>
      </c>
      <c r="AJ335" s="865" t="str">
        <f>IF(TRIM($B335)="","",IF(IFERROR(INDEX(Lists!$AO$2:$AO$11,MATCH(ROW(),Lists!$AN$2:$AN$11,0)),"")&lt;&gt;"",IFERROR(INDEX(Lists!$AO$2:$AO$11,MATCH(ROW(),Lists!$AN$2:$AN$11,0)),""),IFERROR(INDEX(Lists!$U:$U,MATCH(TRIM($I335),Lists!$T:$T,0)),TRIM($I335))))</f>
        <v>Infrastructure</v>
      </c>
      <c r="AK335" s="865" t="str">
        <f>IF(ISNUMBER(SEARCH("vacant",$B335)),"Vacant","Filled")</f>
        <v>Filled</v>
      </c>
      <c r="AL335" s="865" t="str">
        <f>IF($M335="NZ","NZ","AU")</f>
        <v>AU</v>
      </c>
      <c r="AM335" s="865">
        <f>COUNTIF($AJ$2:$AJ335,$AJ335)</f>
        <v>2</v>
      </c>
      <c r="AN335" s="865" t="str">
        <f>$AJ335&amp;"|"&amp;$AM335</f>
        <v>Infrastructure|2</v>
      </c>
      <c r="AP335" s="865" t="str">
        <f>IF(TRIM($B335)="","",IF($AQ335=1,"Leadership",IFERROR(INDEX(Lists!$X:$X,MATCH(TRIM($K335),Lists!$W:$W,0)),IF(OR(TRIM($K335)="",LOWER(TRIM($K335))="na"),IF(TRIM($G335)="","Unassigned",TRIM($G335)),TRIM($K335)))))</f>
        <v>Technology Support</v>
      </c>
      <c r="AQ335" s="865" t="b">
        <f>IF(TRIM($B335)="","",--OR(TRIM($K335)="Leadership",TRIM($J335)="Leadership"))</f>
        <v>0</v>
      </c>
      <c r="AR335" s="1136" t="str">
        <f>IF(TRIM($B335)="","",IF(IFERROR(INDEX(Lists!$AQ$2:$AQ$11,MATCH(ROW(),Lists!$AN$2:$AN$11,0)),"")&lt;&gt;"",IFERROR(INDEX(Lists!$AQ$2:$AQ$11,MATCH(ROW(),Lists!$AN$2:$AN$11,0)),""),IF(ISNUMBER(SEARCH("head of ",$C335)),"Head of Technology",IF(ISNUMBER(SEARCH("TDD BP",$C335)),"Business Partner",IF(OR(ISNUMBER(SEARCH("domain architect",$C335)),ISNUMBER(SEARCH("enterprise architect",$C335))),"Domain Architect",IF(ISNUMBER(SEARCH("delivery man",$C335)),"Delivery Manager",IF(OR(ISNUMBER(SEARCH("technology manager",$C335)),ISNUMBER(SEARCH("technology manger",$C335)),ISNUMBER(SEARCH("tech manager",$C335))),"Technology Manager","Squad")))))))</f>
        <v>Squad</v>
      </c>
      <c r="AS335" s="1136" t="str">
        <f>IF(TRIM($B335)="","",IFERROR(INDEX(Lists!$AA:$AA,MATCH($AP335,Lists!$Z:$Z,0)),$AP335))</f>
        <v>Technology Support</v>
      </c>
      <c r="AT335" s="1136" t="str">
        <f>IF(TRIM($B335)="","",IF(IFERROR(INDEX(Lists!$AP$2:$AP$11,MATCH(ROW(),Lists!$AN$2:$AN$11,0)),"")&lt;&gt;"",IFERROR(INDEX(Lists!$AP$2:$AP$11,MATCH(ROW(),Lists!$AN$2:$AN$11,0)),""),IF(OR(LEFT($AJ335,3)="COE",$AJ335="EGI"),$AP335,IF($AR335&lt;&gt;"Squad",$AR335,$AP335))))</f>
        <v>Technology Support</v>
      </c>
    </row>
    <row r="336" ht="18" customHeight="1" s="866">
      <c r="A336" s="1155" t="n">
        <v>13925</v>
      </c>
      <c r="B336" s="1156" t="inlineStr">
        <is>
          <t>Allan Francia</t>
        </is>
      </c>
      <c r="C336" s="1156" t="inlineStr">
        <is>
          <t>Technology Manager - T&amp;S</t>
        </is>
      </c>
      <c r="D336" s="1158" t="inlineStr">
        <is>
          <t>Vacant</t>
        </is>
      </c>
      <c r="E336" s="1156" t="inlineStr">
        <is>
          <t>Head of Technology, Commercial Fuels</t>
        </is>
      </c>
      <c r="F336" s="1157" t="inlineStr">
        <is>
          <t>TDD CFE&amp;I</t>
        </is>
      </c>
      <c r="G336" s="1158" t="inlineStr">
        <is>
          <t>Commercial Fuels</t>
        </is>
      </c>
      <c r="H336" s="1158" t="inlineStr">
        <is>
          <t>Technology, Trading &amp; Shipping</t>
        </is>
      </c>
      <c r="I336" s="1158" t="inlineStr">
        <is>
          <t>Commercial Fuels</t>
        </is>
      </c>
      <c r="J336" s="1158" t="inlineStr">
        <is>
          <t>Leadership</t>
        </is>
      </c>
      <c r="K336" s="1158" t="inlineStr">
        <is>
          <t>Leadership</t>
        </is>
      </c>
      <c r="L336" s="1158" t="n"/>
      <c r="M336" s="1159" t="inlineStr">
        <is>
          <t>Australia</t>
        </is>
      </c>
      <c r="N336" s="1162" t="inlineStr">
        <is>
          <t>CSB</t>
        </is>
      </c>
      <c r="O336" s="1162" t="n">
        <v>1</v>
      </c>
      <c r="P336" s="1162" t="n"/>
      <c r="Q336" s="1162" t="inlineStr">
        <is>
          <t>Permanent - Full Time</t>
        </is>
      </c>
      <c r="R336" s="1162" t="n"/>
      <c r="S336" s="1162" t="n"/>
      <c r="T336" s="1163" t="n">
        <v>212020</v>
      </c>
      <c r="U336" s="1164" t="n">
        <v>212020</v>
      </c>
      <c r="V336" s="1166" t="n">
        <v>0.14</v>
      </c>
      <c r="W336" s="1170" t="n">
        <v>0.055</v>
      </c>
      <c r="X336" s="1170" t="n">
        <v>0.12</v>
      </c>
      <c r="Y336" s="1171" t="n"/>
      <c r="Z336" s="1170" t="n">
        <v>0.04</v>
      </c>
      <c r="AA336" s="1168">
        <f>IF(TRIM($B336)="","",IF(N($AU336)&gt;0,$AU336,IF(N($S336)&gt;0,$S336*Lists!$AG$15*(1+N($Z336)),N($U336)*(1+N($V336)+N($W336)+N($X336)+N($Z336))+N($Y336))))</f>
        <v>287287.1</v>
      </c>
      <c r="AJ336" s="865" t="str">
        <f>IF(TRIM($B336)="","",IF(IFERROR(INDEX(Lists!$AO$2:$AO$11,MATCH(ROW(),Lists!$AN$2:$AN$11,0)),"")&lt;&gt;"",IFERROR(INDEX(Lists!$AO$2:$AO$11,MATCH(ROW(),Lists!$AN$2:$AN$11,0)),""),IFERROR(INDEX(Lists!$U:$U,MATCH(TRIM($I336),Lists!$T:$T,0)),TRIM($I336))))</f>
        <v>Commercial Fuels</v>
      </c>
      <c r="AK336" s="865" t="str">
        <f>IF(ISNUMBER(SEARCH("vacant",$B336)),"Vacant","Filled")</f>
        <v>Filled</v>
      </c>
      <c r="AL336" s="865" t="str">
        <f>IF($M336="NZ","NZ","AU")</f>
        <v>AU</v>
      </c>
      <c r="AM336" s="865">
        <f>COUNTIF($AJ$2:$AJ336,$AJ336)</f>
        <v>1</v>
      </c>
      <c r="AN336" s="865" t="str">
        <f>$AJ336&amp;"|"&amp;$AM336</f>
        <v>Commercial Fuels|1</v>
      </c>
      <c r="AP336" s="865" t="str">
        <f>IF(TRIM($B336)="","",IF($AQ336=1,"Leadership",IFERROR(INDEX(Lists!$X:$X,MATCH(TRIM($K336),Lists!$W:$W,0)),IF(OR(TRIM($K336)="",LOWER(TRIM($K336))="na"),IF(TRIM($G336)="","Unassigned",TRIM($G336)),TRIM($K336)))))</f>
        <v>Leadership</v>
      </c>
      <c r="AQ336" s="865" t="b">
        <f>IF(TRIM($B336)="","",--OR(TRIM($K336)="Leadership",TRIM($J336)="Leadership"))</f>
        <v>1</v>
      </c>
      <c r="AR336" s="1136" t="str">
        <f>IF(TRIM($B336)="","",IF(IFERROR(INDEX(Lists!$AQ$2:$AQ$11,MATCH(ROW(),Lists!$AN$2:$AN$11,0)),"")&lt;&gt;"",IFERROR(INDEX(Lists!$AQ$2:$AQ$11,MATCH(ROW(),Lists!$AN$2:$AN$11,0)),""),IF(ISNUMBER(SEARCH("head of ",$C336)),"Head of Technology",IF(ISNUMBER(SEARCH("TDD BP",$C336)),"Business Partner",IF(OR(ISNUMBER(SEARCH("domain architect",$C336)),ISNUMBER(SEARCH("enterprise architect",$C336))),"Domain Architect",IF(ISNUMBER(SEARCH("delivery man",$C336)),"Delivery Manager",IF(OR(ISNUMBER(SEARCH("technology manager",$C336)),ISNUMBER(SEARCH("technology manger",$C336)),ISNUMBER(SEARCH("tech manager",$C336))),"Technology Manager","Squad")))))))</f>
        <v>Technology Manager</v>
      </c>
      <c r="AS336" s="1136" t="str">
        <f>IF(TRIM($B336)="","",IFERROR(INDEX(Lists!$AA:$AA,MATCH($AP336,Lists!$Z:$Z,0)),$AP336))</f>
        <v>Leadership</v>
      </c>
      <c r="AT336" s="1136" t="str">
        <f>IF(TRIM($B336)="","",IF(IFERROR(INDEX(Lists!$AP$2:$AP$11,MATCH(ROW(),Lists!$AN$2:$AN$11,0)),"")&lt;&gt;"",IFERROR(INDEX(Lists!$AP$2:$AP$11,MATCH(ROW(),Lists!$AN$2:$AN$11,0)),""),IF(OR(LEFT($AJ336,3)="COE",$AJ336="EGI"),$AP336,IF($AR336&lt;&gt;"Squad",$AR336,$AP336))))</f>
        <v>Technology Manager</v>
      </c>
    </row>
    <row r="337" ht="18" customHeight="1" s="866">
      <c r="A337" s="1155" t="n">
        <v>114366</v>
      </c>
      <c r="B337" s="1156" t="inlineStr">
        <is>
          <t>Allyn Puente</t>
        </is>
      </c>
      <c r="C337" s="1156" t="inlineStr">
        <is>
          <t>Graduate</t>
        </is>
      </c>
      <c r="D337" s="1156" t="inlineStr">
        <is>
          <t>Elle Spencer</t>
        </is>
      </c>
      <c r="E337" s="1156" t="inlineStr">
        <is>
          <t>Technology Manager, Energy Solutions</t>
        </is>
      </c>
      <c r="F337" s="1157" t="inlineStr">
        <is>
          <t>TDD CFE&amp;I</t>
        </is>
      </c>
      <c r="G337" s="1158" t="inlineStr">
        <is>
          <t>B2B &amp; Energy Solutions</t>
        </is>
      </c>
      <c r="H337" s="1158" t="inlineStr">
        <is>
          <t>Technology B2B</t>
        </is>
      </c>
      <c r="I337" s="1158" t="inlineStr">
        <is>
          <t>B2B &amp; Energy Solutions</t>
        </is>
      </c>
      <c r="J337" s="1156" t="inlineStr">
        <is>
          <t>B2B</t>
        </is>
      </c>
      <c r="K337" s="1156" t="inlineStr">
        <is>
          <t>B2B</t>
        </is>
      </c>
      <c r="L337" s="1158" t="n"/>
      <c r="M337" s="1159" t="inlineStr">
        <is>
          <t>Australia</t>
        </is>
      </c>
      <c r="N337" s="1160" t="inlineStr">
        <is>
          <t>CDB</t>
        </is>
      </c>
      <c r="O337" s="1160" t="n">
        <v>1</v>
      </c>
      <c r="P337" s="1160" t="n"/>
      <c r="Q337" s="1160" t="inlineStr">
        <is>
          <t>Permanent - Full Time</t>
        </is>
      </c>
      <c r="R337" s="1162" t="n"/>
      <c r="S337" s="1162" t="n"/>
      <c r="T337" s="1163" t="n">
        <v>85000</v>
      </c>
      <c r="U337" s="1164" t="n">
        <v>85000</v>
      </c>
      <c r="V337" s="1166" t="n">
        <v>0.08</v>
      </c>
      <c r="W337" s="1170" t="n">
        <v>0.055</v>
      </c>
      <c r="X337" s="1170" t="n">
        <v>0.12</v>
      </c>
      <c r="Y337" s="1171" t="n"/>
      <c r="Z337" s="1170" t="n">
        <v>0.04</v>
      </c>
      <c r="AA337" s="1168">
        <f>IF(TRIM($B337)="","",IF(N($AU337)&gt;0,$AU337,IF(N($S337)&gt;0,$S337*Lists!$AG$15*(1+N($Z337)),N($U337)*(1+N($V337)+N($W337)+N($X337)+N($Z337))+N($Y337))))</f>
        <v>110075</v>
      </c>
      <c r="AJ337" s="865" t="str">
        <f>IF(TRIM($B337)="","",IF(IFERROR(INDEX(Lists!$AO$2:$AO$11,MATCH(ROW(),Lists!$AN$2:$AN$11,0)),"")&lt;&gt;"",IFERROR(INDEX(Lists!$AO$2:$AO$11,MATCH(ROW(),Lists!$AN$2:$AN$11,0)),""),IFERROR(INDEX(Lists!$U:$U,MATCH(TRIM($I337),Lists!$T:$T,0)),TRIM($I337))))</f>
        <v>Energy Solutions &amp; B2B</v>
      </c>
      <c r="AK337" s="865" t="str">
        <f>IF(ISNUMBER(SEARCH("vacant",$B337)),"Vacant","Filled")</f>
        <v>Filled</v>
      </c>
      <c r="AL337" s="865" t="str">
        <f>IF($M337="NZ","NZ","AU")</f>
        <v>AU</v>
      </c>
      <c r="AM337" s="865">
        <f>COUNTIF($AJ$2:$AJ337,$AJ337)</f>
        <v>2</v>
      </c>
      <c r="AN337" s="865" t="str">
        <f>$AJ337&amp;"|"&amp;$AM337</f>
        <v>Energy Solutions &amp; B2B|2</v>
      </c>
      <c r="AP337" s="865" t="str">
        <f>IF(TRIM($B337)="","",IF($AQ337=1,"Leadership",IFERROR(INDEX(Lists!$X:$X,MATCH(TRIM($K337),Lists!$W:$W,0)),IF(OR(TRIM($K337)="",LOWER(TRIM($K337))="na"),IF(TRIM($G337)="","Unassigned",TRIM($G337)),TRIM($K337)))))</f>
        <v>B2B</v>
      </c>
      <c r="AQ337" s="865" t="b">
        <f>IF(TRIM($B337)="","",--OR(TRIM($K337)="Leadership",TRIM($J337)="Leadership"))</f>
        <v>0</v>
      </c>
      <c r="AR337" s="1136" t="str">
        <f>IF(TRIM($B337)="","",IF(IFERROR(INDEX(Lists!$AQ$2:$AQ$11,MATCH(ROW(),Lists!$AN$2:$AN$11,0)),"")&lt;&gt;"",IFERROR(INDEX(Lists!$AQ$2:$AQ$11,MATCH(ROW(),Lists!$AN$2:$AN$11,0)),""),IF(ISNUMBER(SEARCH("head of ",$C337)),"Head of Technology",IF(ISNUMBER(SEARCH("TDD BP",$C337)),"Business Partner",IF(OR(ISNUMBER(SEARCH("domain architect",$C337)),ISNUMBER(SEARCH("enterprise architect",$C337))),"Domain Architect",IF(ISNUMBER(SEARCH("delivery man",$C337)),"Delivery Manager",IF(OR(ISNUMBER(SEARCH("technology manager",$C337)),ISNUMBER(SEARCH("technology manger",$C337)),ISNUMBER(SEARCH("tech manager",$C337))),"Technology Manager","Squad")))))))</f>
        <v>Squad</v>
      </c>
      <c r="AS337" s="1136" t="str">
        <f>IF(TRIM($B337)="","",IFERROR(INDEX(Lists!$AA:$AA,MATCH($AP337,Lists!$Z:$Z,0)),$AP337))</f>
        <v>B2B</v>
      </c>
      <c r="AT337" s="1136" t="str">
        <f>IF(TRIM($B337)="","",IF(IFERROR(INDEX(Lists!$AP$2:$AP$11,MATCH(ROW(),Lists!$AN$2:$AN$11,0)),"")&lt;&gt;"",IFERROR(INDEX(Lists!$AP$2:$AP$11,MATCH(ROW(),Lists!$AN$2:$AN$11,0)),""),IF(OR(LEFT($AJ337,3)="COE",$AJ337="EGI"),$AP337,IF($AR337&lt;&gt;"Squad",$AR337,$AP337))))</f>
        <v>B2B</v>
      </c>
    </row>
    <row r="338" ht="18" customHeight="1" s="866">
      <c r="A338" s="1155" t="n">
        <v>99999101752</v>
      </c>
      <c r="B338" s="1156" t="inlineStr">
        <is>
          <t>Amanda Turnbull</t>
        </is>
      </c>
      <c r="C338" s="1156" t="inlineStr">
        <is>
          <t>Engineer Software</t>
        </is>
      </c>
      <c r="D338" s="1158" t="inlineStr">
        <is>
          <t>Vacant</t>
        </is>
      </c>
      <c r="E338" s="1156" t="inlineStr">
        <is>
          <t>Technology Manager, Engineering</t>
        </is>
      </c>
      <c r="F338" s="1157" t="inlineStr">
        <is>
          <t>TDD CFE&amp;I</t>
        </is>
      </c>
      <c r="G338" s="1158" t="inlineStr">
        <is>
          <t>Commercial Fuels</t>
        </is>
      </c>
      <c r="H338" s="1158" t="inlineStr">
        <is>
          <t>Technology, CF Engineering</t>
        </is>
      </c>
      <c r="I338" s="1158" t="inlineStr">
        <is>
          <t>Commercial Fuels</t>
        </is>
      </c>
      <c r="J338" s="1156" t="inlineStr">
        <is>
          <t>CTRM</t>
        </is>
      </c>
      <c r="K338" s="1156" t="inlineStr">
        <is>
          <t>CTRM</t>
        </is>
      </c>
      <c r="L338" s="1158" t="n"/>
      <c r="M338" s="1159" t="inlineStr">
        <is>
          <t>NZ</t>
        </is>
      </c>
      <c r="N338" s="1160" t="inlineStr">
        <is>
          <t>CDB</t>
        </is>
      </c>
      <c r="O338" s="1161" t="n">
        <v>1</v>
      </c>
      <c r="P338" s="1160" t="n"/>
      <c r="Q338" s="1161" t="inlineStr">
        <is>
          <t>Permanent - Full Time</t>
        </is>
      </c>
      <c r="R338" s="1162" t="n"/>
      <c r="S338" s="1162" t="n"/>
      <c r="T338" s="1163" t="n">
        <v>90760</v>
      </c>
      <c r="U338" s="1164" t="n">
        <v>83499.2</v>
      </c>
      <c r="V338" s="1165" t="n">
        <v>0.1</v>
      </c>
      <c r="W338" s="1161" t="n"/>
      <c r="X338" s="1166" t="n">
        <v>0.05</v>
      </c>
      <c r="Y338" s="1907" t="n">
        <v>2910</v>
      </c>
      <c r="Z338" s="1166" t="n">
        <v>0.03</v>
      </c>
      <c r="AA338" s="1168">
        <f>IF(TRIM($B338)="","",IF(N($AU338)&gt;0,$AU338,IF(N($S338)&gt;0,$S338*Lists!$AG$15*(1+N($Z338)),N($U338)*(1+N($V338)+N($W338)+N($X338)+N($Z338))+N($Y338))))</f>
        <v>101439.056</v>
      </c>
      <c r="AJ338" s="865" t="str">
        <f>IF(TRIM($B338)="","",IF(IFERROR(INDEX(Lists!$AO$2:$AO$11,MATCH(ROW(),Lists!$AN$2:$AN$11,0)),"")&lt;&gt;"",IFERROR(INDEX(Lists!$AO$2:$AO$11,MATCH(ROW(),Lists!$AN$2:$AN$11,0)),""),IFERROR(INDEX(Lists!$U:$U,MATCH(TRIM($I338),Lists!$T:$T,0)),TRIM($I338))))</f>
        <v>Commercial Fuels</v>
      </c>
      <c r="AK338" s="865" t="str">
        <f>IF(ISNUMBER(SEARCH("vacant",$B338)),"Vacant","Filled")</f>
        <v>Filled</v>
      </c>
      <c r="AL338" s="865" t="str">
        <f>IF($M338="NZ","NZ","AU")</f>
        <v>NZ</v>
      </c>
      <c r="AM338" s="865">
        <f>COUNTIF($AJ$2:$AJ338,$AJ338)</f>
        <v>2</v>
      </c>
      <c r="AN338" s="865" t="str">
        <f>$AJ338&amp;"|"&amp;$AM338</f>
        <v>Commercial Fuels|2</v>
      </c>
      <c r="AP338" s="865" t="str">
        <f>IF(TRIM($B338)="","",IF($AQ338=1,"Leadership",IFERROR(INDEX(Lists!$X:$X,MATCH(TRIM($K338),Lists!$W:$W,0)),IF(OR(TRIM($K338)="",LOWER(TRIM($K338))="na"),IF(TRIM($G338)="","Unassigned",TRIM($G338)),TRIM($K338)))))</f>
        <v>CTRM</v>
      </c>
      <c r="AQ338" s="865" t="b">
        <f>IF(TRIM($B338)="","",--OR(TRIM($K338)="Leadership",TRIM($J338)="Leadership"))</f>
        <v>0</v>
      </c>
      <c r="AR338" s="1136" t="str">
        <f>IF(TRIM($B338)="","",IF(IFERROR(INDEX(Lists!$AQ$2:$AQ$11,MATCH(ROW(),Lists!$AN$2:$AN$11,0)),"")&lt;&gt;"",IFERROR(INDEX(Lists!$AQ$2:$AQ$11,MATCH(ROW(),Lists!$AN$2:$AN$11,0)),""),IF(ISNUMBER(SEARCH("head of ",$C338)),"Head of Technology",IF(ISNUMBER(SEARCH("TDD BP",$C338)),"Business Partner",IF(OR(ISNUMBER(SEARCH("domain architect",$C338)),ISNUMBER(SEARCH("enterprise architect",$C338))),"Domain Architect",IF(ISNUMBER(SEARCH("delivery man",$C338)),"Delivery Manager",IF(OR(ISNUMBER(SEARCH("technology manager",$C338)),ISNUMBER(SEARCH("technology manger",$C338)),ISNUMBER(SEARCH("tech manager",$C338))),"Technology Manager","Squad")))))))</f>
        <v>Squad</v>
      </c>
      <c r="AS338" s="1136" t="str">
        <f>IF(TRIM($B338)="","",IFERROR(INDEX(Lists!$AA:$AA,MATCH($AP338,Lists!$Z:$Z,0)),$AP338))</f>
        <v>CTRM</v>
      </c>
      <c r="AT338" s="1136" t="str">
        <f>IF(TRIM($B338)="","",IF(IFERROR(INDEX(Lists!$AP$2:$AP$11,MATCH(ROW(),Lists!$AN$2:$AN$11,0)),"")&lt;&gt;"",IFERROR(INDEX(Lists!$AP$2:$AP$11,MATCH(ROW(),Lists!$AN$2:$AN$11,0)),""),IF(OR(LEFT($AJ338,3)="COE",$AJ338="EGI"),$AP338,IF($AR338&lt;&gt;"Squad",$AR338,$AP338))))</f>
        <v>CTRM</v>
      </c>
    </row>
    <row r="339" ht="18" customHeight="1" s="866">
      <c r="A339" s="1155" t="n">
        <v>97098</v>
      </c>
      <c r="B339" s="1156" t="inlineStr">
        <is>
          <t>Amish Pandit</t>
        </is>
      </c>
      <c r="C339" s="1156" t="inlineStr">
        <is>
          <t>Head of Technology, Fuel Infrastructure</t>
        </is>
      </c>
      <c r="D339" s="1156" t="inlineStr">
        <is>
          <t>Roanne Steele</t>
        </is>
      </c>
      <c r="E339" s="1156" t="inlineStr">
        <is>
          <t>GM TDD, CFE&amp;I</t>
        </is>
      </c>
      <c r="F339" s="1157" t="inlineStr">
        <is>
          <t>TDD CFE&amp;I</t>
        </is>
      </c>
      <c r="G339" s="1158" t="inlineStr">
        <is>
          <t>Fuel Infrastructure</t>
        </is>
      </c>
      <c r="H339" s="1158" t="inlineStr">
        <is>
          <t>Leadership</t>
        </is>
      </c>
      <c r="I339" s="1158" t="inlineStr">
        <is>
          <t>Infrastructure</t>
        </is>
      </c>
      <c r="J339" s="1156" t="inlineStr">
        <is>
          <t xml:space="preserve">Leadership </t>
        </is>
      </c>
      <c r="K339" s="1158" t="inlineStr">
        <is>
          <t>Leadership</t>
        </is>
      </c>
      <c r="L339" s="1158" t="n"/>
      <c r="M339" s="1159" t="inlineStr">
        <is>
          <t>Australia</t>
        </is>
      </c>
      <c r="N339" s="1160" t="inlineStr">
        <is>
          <t>CSC</t>
        </is>
      </c>
      <c r="O339" s="1160" t="n">
        <v>1</v>
      </c>
      <c r="P339" s="1160" t="n"/>
      <c r="Q339" s="1160" t="inlineStr">
        <is>
          <t>Permanent - Full Time</t>
        </is>
      </c>
      <c r="R339" s="1162" t="n"/>
      <c r="S339" s="1162" t="n"/>
      <c r="T339" s="1163" t="n">
        <v>256980</v>
      </c>
      <c r="U339" s="1164" t="n">
        <v>256980</v>
      </c>
      <c r="V339" s="1166" t="n">
        <v>0.2</v>
      </c>
      <c r="W339" s="1170" t="n">
        <v>0.055</v>
      </c>
      <c r="X339" s="1170" t="n">
        <v>0.12</v>
      </c>
      <c r="Y339" s="1171" t="n"/>
      <c r="Z339" s="1170" t="n">
        <v>0.04</v>
      </c>
      <c r="AA339" s="1168">
        <f>IF(TRIM($B339)="","",IF(N($AU339)&gt;0,$AU339,IF(N($S339)&gt;0,$S339*Lists!$AG$15*(1+N($Z339)),N($U339)*(1+N($V339)+N($W339)+N($X339)+N($Z339))+N($Y339))))</f>
        <v>363626.7</v>
      </c>
      <c r="AJ339" s="865" t="str">
        <f>IF(TRIM($B339)="","",IF(IFERROR(INDEX(Lists!$AO$2:$AO$11,MATCH(ROW(),Lists!$AN$2:$AN$11,0)),"")&lt;&gt;"",IFERROR(INDEX(Lists!$AO$2:$AO$11,MATCH(ROW(),Lists!$AN$2:$AN$11,0)),""),IFERROR(INDEX(Lists!$U:$U,MATCH(TRIM($I339),Lists!$T:$T,0)),TRIM($I339))))</f>
        <v>Infrastructure</v>
      </c>
      <c r="AK339" s="865" t="str">
        <f>IF(ISNUMBER(SEARCH("vacant",$B339)),"Vacant","Filled")</f>
        <v>Filled</v>
      </c>
      <c r="AL339" s="865" t="str">
        <f>IF($M339="NZ","NZ","AU")</f>
        <v>AU</v>
      </c>
      <c r="AM339" s="865">
        <f>COUNTIF($AJ$2:$AJ339,$AJ339)</f>
        <v>3</v>
      </c>
      <c r="AN339" s="865" t="str">
        <f>$AJ339&amp;"|"&amp;$AM339</f>
        <v>Infrastructure|3</v>
      </c>
      <c r="AP339" s="1136" t="str">
        <f>IF(TRIM($B339)="","",IF($AQ339=1,"Leadership",IFERROR(INDEX(Lists!$X:$X,MATCH(TRIM($K339),Lists!$W:$W,0)),IF(OR(TRIM($K339)="",LOWER(TRIM($K339))="na"),IF(TRIM($G339)="","Unassigned",TRIM($G339)),TRIM($K339)))))</f>
        <v>Leadership</v>
      </c>
      <c r="AQ339" s="865" t="b">
        <f>IF(TRIM($B339)="","",--OR(TRIM($K339)="Leadership",TRIM($J339)="Leadership"))</f>
        <v>1</v>
      </c>
      <c r="AR339" s="1136" t="str">
        <f>IF(TRIM($B339)="","",IF(IFERROR(INDEX(Lists!$AQ$2:$AQ$11,MATCH(ROW(),Lists!$AN$2:$AN$11,0)),"")&lt;&gt;"",IFERROR(INDEX(Lists!$AQ$2:$AQ$11,MATCH(ROW(),Lists!$AN$2:$AN$11,0)),""),IF(ISNUMBER(SEARCH("head of ",$C339)),"Head of Technology",IF(ISNUMBER(SEARCH("TDD BP",$C339)),"Business Partner",IF(OR(ISNUMBER(SEARCH("domain architect",$C339)),ISNUMBER(SEARCH("enterprise architect",$C339))),"Domain Architect",IF(ISNUMBER(SEARCH("delivery man",$C339)),"Delivery Manager",IF(OR(ISNUMBER(SEARCH("technology manager",$C339)),ISNUMBER(SEARCH("technology manger",$C339)),ISNUMBER(SEARCH("tech manager",$C339))),"Technology Manager","Squad")))))))</f>
        <v>Head of Technology</v>
      </c>
      <c r="AS339" s="1136" t="str">
        <f>IF(TRIM($B339)="","",IFERROR(INDEX(Lists!$AA:$AA,MATCH($AP339,Lists!$Z:$Z,0)),$AP339))</f>
        <v>Leadership</v>
      </c>
      <c r="AT339" s="1136" t="str">
        <f>IF(TRIM($B339)="","",IF(IFERROR(INDEX(Lists!$AP$2:$AP$11,MATCH(ROW(),Lists!$AN$2:$AN$11,0)),"")&lt;&gt;"",IFERROR(INDEX(Lists!$AP$2:$AP$11,MATCH(ROW(),Lists!$AN$2:$AN$11,0)),""),IF(OR(LEFT($AJ339,3)="COE",$AJ339="EGI"),$AP339,IF($AR339&lt;&gt;"Squad",$AR339,$AP339))))</f>
        <v>Head of Technology</v>
      </c>
    </row>
    <row r="340" ht="18" customHeight="1" s="866">
      <c r="A340" s="1155" t="n">
        <v>99999100072</v>
      </c>
      <c r="B340" s="1156" t="inlineStr">
        <is>
          <t>Angela Ross</t>
        </is>
      </c>
      <c r="C340" s="1156" t="inlineStr">
        <is>
          <t>Delivery Lead</t>
        </is>
      </c>
      <c r="D340" s="1158" t="inlineStr">
        <is>
          <t>Vacant</t>
        </is>
      </c>
      <c r="E340" s="1156" t="inlineStr">
        <is>
          <t>Delivery Manager</t>
        </is>
      </c>
      <c r="F340" s="1157" t="inlineStr">
        <is>
          <t>TDD CFE&amp;I</t>
        </is>
      </c>
      <c r="G340" s="1158" t="inlineStr">
        <is>
          <t>B2B &amp; Energy Solutions</t>
        </is>
      </c>
      <c r="H340" s="1158" t="inlineStr">
        <is>
          <t>Delivery</t>
        </is>
      </c>
      <c r="I340" s="1158" t="inlineStr">
        <is>
          <t>B2B &amp; Energy Solutions</t>
        </is>
      </c>
      <c r="J340" s="1158" t="inlineStr">
        <is>
          <t>Energy Solutions</t>
        </is>
      </c>
      <c r="K340" s="1156" t="inlineStr">
        <is>
          <t>EVCI</t>
        </is>
      </c>
      <c r="L340" s="1158" t="n"/>
      <c r="M340" s="1159" t="inlineStr">
        <is>
          <t>NZ</t>
        </is>
      </c>
      <c r="N340" s="1160" t="inlineStr">
        <is>
          <t>CIC</t>
        </is>
      </c>
      <c r="O340" s="1161" t="n">
        <v>1</v>
      </c>
      <c r="P340" s="1160" t="n"/>
      <c r="Q340" s="1161" t="inlineStr">
        <is>
          <t>Permanent - Full Time</t>
        </is>
      </c>
      <c r="R340" s="1162" t="n"/>
      <c r="S340" s="1162" t="n"/>
      <c r="T340" s="1163" t="n">
        <v>163830</v>
      </c>
      <c r="U340" s="1164" t="n">
        <v>150723.6</v>
      </c>
      <c r="V340" s="1165" t="n">
        <v>0.15</v>
      </c>
      <c r="W340" s="1161" t="n"/>
      <c r="X340" s="1166" t="n">
        <v>0.05</v>
      </c>
      <c r="Y340" s="1907" t="n">
        <v>2910</v>
      </c>
      <c r="Z340" s="1166" t="n">
        <v>0.03</v>
      </c>
      <c r="AA340" s="1168">
        <f>IF(TRIM($B340)="","",IF(N($AU340)&gt;0,$AU340,IF(N($S340)&gt;0,$S340*Lists!$AG$15*(1+N($Z340)),N($U340)*(1+N($V340)+N($W340)+N($X340)+N($Z340))+N($Y340))))</f>
        <v>188300.028</v>
      </c>
      <c r="AJ340" s="865" t="str">
        <f>IF(TRIM($B340)="","",IF(IFERROR(INDEX(Lists!$AO$2:$AO$11,MATCH(ROW(),Lists!$AN$2:$AN$11,0)),"")&lt;&gt;"",IFERROR(INDEX(Lists!$AO$2:$AO$11,MATCH(ROW(),Lists!$AN$2:$AN$11,0)),""),IFERROR(INDEX(Lists!$U:$U,MATCH(TRIM($I340),Lists!$T:$T,0)),TRIM($I340))))</f>
        <v>Energy Solutions &amp; B2B</v>
      </c>
      <c r="AK340" s="865" t="str">
        <f>IF(ISNUMBER(SEARCH("vacant",$B340)),"Vacant","Filled")</f>
        <v>Filled</v>
      </c>
      <c r="AL340" s="865" t="str">
        <f>IF($M340="NZ","NZ","AU")</f>
        <v>NZ</v>
      </c>
      <c r="AM340" s="865">
        <f>COUNTIF($AJ$2:$AJ340,$AJ340)</f>
        <v>3</v>
      </c>
      <c r="AN340" s="865" t="str">
        <f>$AJ340&amp;"|"&amp;$AM340</f>
        <v>Energy Solutions &amp; B2B|3</v>
      </c>
      <c r="AP340" s="865" t="str">
        <f>IF(TRIM($B340)="","",IF($AQ340=1,"Leadership",IFERROR(INDEX(Lists!$X:$X,MATCH(TRIM($K340),Lists!$W:$W,0)),IF(OR(TRIM($K340)="",LOWER(TRIM($K340))="na"),IF(TRIM($G340)="","Unassigned",TRIM($G340)),TRIM($K340)))))</f>
        <v>EVCI</v>
      </c>
      <c r="AQ340" s="865" t="b">
        <f>IF(TRIM($B340)="","",--OR(TRIM($K340)="Leadership",TRIM($J340)="Leadership"))</f>
        <v>0</v>
      </c>
      <c r="AR340" s="1136" t="str">
        <f>IF(TRIM($B340)="","",IF(IFERROR(INDEX(Lists!$AQ$2:$AQ$11,MATCH(ROW(),Lists!$AN$2:$AN$11,0)),"")&lt;&gt;"",IFERROR(INDEX(Lists!$AQ$2:$AQ$11,MATCH(ROW(),Lists!$AN$2:$AN$11,0)),""),IF(ISNUMBER(SEARCH("head of ",$C340)),"Head of Technology",IF(ISNUMBER(SEARCH("TDD BP",$C340)),"Business Partner",IF(OR(ISNUMBER(SEARCH("domain architect",$C340)),ISNUMBER(SEARCH("enterprise architect",$C340))),"Domain Architect",IF(ISNUMBER(SEARCH("delivery man",$C340)),"Delivery Manager",IF(OR(ISNUMBER(SEARCH("technology manager",$C340)),ISNUMBER(SEARCH("technology manger",$C340)),ISNUMBER(SEARCH("tech manager",$C340))),"Technology Manager","Squad")))))))</f>
        <v>Squad</v>
      </c>
      <c r="AS340" s="1136" t="str">
        <f>IF(TRIM($B340)="","",IFERROR(INDEX(Lists!$AA:$AA,MATCH($AP340,Lists!$Z:$Z,0)),$AP340))</f>
        <v>EVCI</v>
      </c>
      <c r="AT340" s="1136" t="str">
        <f>IF(TRIM($B340)="","",IF(IFERROR(INDEX(Lists!$AP$2:$AP$11,MATCH(ROW(),Lists!$AN$2:$AN$11,0)),"")&lt;&gt;"",IFERROR(INDEX(Lists!$AP$2:$AP$11,MATCH(ROW(),Lists!$AN$2:$AN$11,0)),""),IF(OR(LEFT($AJ340,3)="COE",$AJ340="EGI"),$AP340,IF($AR340&lt;&gt;"Squad",$AR340,$AP340))))</f>
        <v>EVCI</v>
      </c>
    </row>
    <row r="341" ht="18" customHeight="1" s="866">
      <c r="A341" s="1155" t="n">
        <v>81395</v>
      </c>
      <c r="B341" s="1156" t="inlineStr">
        <is>
          <t>Angus Gibson</t>
        </is>
      </c>
      <c r="C341" s="1156" t="inlineStr">
        <is>
          <t>Senior Systems Analyst</t>
        </is>
      </c>
      <c r="D341" s="1156" t="inlineStr">
        <is>
          <t>Karla Orozco Loza</t>
        </is>
      </c>
      <c r="E341" s="1156" t="inlineStr">
        <is>
          <t>Technology Manager, Future Infrastructure</t>
        </is>
      </c>
      <c r="F341" s="1157" t="inlineStr">
        <is>
          <t>TDD CFE&amp;I</t>
        </is>
      </c>
      <c r="G341" s="1158" t="inlineStr">
        <is>
          <t>Fuel Infrastructure</t>
        </is>
      </c>
      <c r="H341" s="1158" t="inlineStr">
        <is>
          <t>Technology - Distribution</t>
        </is>
      </c>
      <c r="I341" s="1158" t="inlineStr">
        <is>
          <t>Infrastructure</t>
        </is>
      </c>
      <c r="J341" s="1156" t="inlineStr">
        <is>
          <t>Distribution</t>
        </is>
      </c>
      <c r="K341" s="1156" t="inlineStr">
        <is>
          <t>Distribution, Sales &amp; Services</t>
        </is>
      </c>
      <c r="L341" s="1158" t="n"/>
      <c r="M341" s="1159" t="inlineStr">
        <is>
          <t>Australia</t>
        </is>
      </c>
      <c r="N341" s="1162" t="inlineStr">
        <is>
          <t>CIC</t>
        </is>
      </c>
      <c r="O341" s="1162" t="n">
        <v>1</v>
      </c>
      <c r="P341" s="1162" t="n"/>
      <c r="Q341" s="1162" t="inlineStr">
        <is>
          <t>Permanent - Full Time</t>
        </is>
      </c>
      <c r="R341" s="1162" t="n"/>
      <c r="S341" s="1162" t="n"/>
      <c r="T341" s="1163" t="n">
        <v>176400</v>
      </c>
      <c r="U341" s="1164" t="n">
        <v>176400</v>
      </c>
      <c r="V341" s="1166" t="n">
        <v>0.12</v>
      </c>
      <c r="W341" s="1170" t="n">
        <v>0.055</v>
      </c>
      <c r="X341" s="1170" t="n">
        <v>0.12</v>
      </c>
      <c r="Y341" s="1171" t="n"/>
      <c r="Z341" s="1170" t="n">
        <v>0.04</v>
      </c>
      <c r="AA341" s="1168">
        <f>IF(TRIM($B341)="","",IF(N($AU341)&gt;0,$AU341,IF(N($S341)&gt;0,$S341*Lists!$AG$15*(1+N($Z341)),N($U341)*(1+N($V341)+N($W341)+N($X341)+N($Z341))+N($Y341))))</f>
        <v>235494</v>
      </c>
      <c r="AJ341" s="865" t="str">
        <f>IF(TRIM($B341)="","",IF(IFERROR(INDEX(Lists!$AO$2:$AO$11,MATCH(ROW(),Lists!$AN$2:$AN$11,0)),"")&lt;&gt;"",IFERROR(INDEX(Lists!$AO$2:$AO$11,MATCH(ROW(),Lists!$AN$2:$AN$11,0)),""),IFERROR(INDEX(Lists!$U:$U,MATCH(TRIM($I341),Lists!$T:$T,0)),TRIM($I341))))</f>
        <v>Infrastructure</v>
      </c>
      <c r="AK341" s="865" t="str">
        <f>IF(ISNUMBER(SEARCH("vacant",$B341)),"Vacant","Filled")</f>
        <v>Filled</v>
      </c>
      <c r="AL341" s="865" t="str">
        <f>IF($M341="NZ","NZ","AU")</f>
        <v>AU</v>
      </c>
      <c r="AM341" s="865">
        <f>COUNTIF($AJ$2:$AJ341,$AJ341)</f>
        <v>4</v>
      </c>
      <c r="AN341" s="865" t="str">
        <f>$AJ341&amp;"|"&amp;$AM341</f>
        <v>Infrastructure|4</v>
      </c>
      <c r="AP341" s="865" t="str">
        <f>IF(TRIM($B341)="","",IF($AQ341=1,"Leadership",IFERROR(INDEX(Lists!$X:$X,MATCH(TRIM($K341),Lists!$W:$W,0)),IF(OR(TRIM($K341)="",LOWER(TRIM($K341))="na"),IF(TRIM($G341)="","Unassigned",TRIM($G341)),TRIM($K341)))))</f>
        <v>Distribution, Sales &amp; Services</v>
      </c>
      <c r="AQ341" s="865" t="b">
        <f>IF(TRIM($B341)="","",--OR(TRIM($K341)="Leadership",TRIM($J341)="Leadership"))</f>
        <v>0</v>
      </c>
      <c r="AR341" s="1136" t="str">
        <f>IF(TRIM($B341)="","",IF(IFERROR(INDEX(Lists!$AQ$2:$AQ$11,MATCH(ROW(),Lists!$AN$2:$AN$11,0)),"")&lt;&gt;"",IFERROR(INDEX(Lists!$AQ$2:$AQ$11,MATCH(ROW(),Lists!$AN$2:$AN$11,0)),""),IF(ISNUMBER(SEARCH("head of ",$C341)),"Head of Technology",IF(ISNUMBER(SEARCH("TDD BP",$C341)),"Business Partner",IF(OR(ISNUMBER(SEARCH("domain architect",$C341)),ISNUMBER(SEARCH("enterprise architect",$C341))),"Domain Architect",IF(ISNUMBER(SEARCH("delivery man",$C341)),"Delivery Manager",IF(OR(ISNUMBER(SEARCH("technology manager",$C341)),ISNUMBER(SEARCH("technology manger",$C341)),ISNUMBER(SEARCH("tech manager",$C341))),"Technology Manager","Squad")))))))</f>
        <v>Squad</v>
      </c>
      <c r="AS341" s="1136" t="str">
        <f>IF(TRIM($B341)="","",IFERROR(INDEX(Lists!$AA:$AA,MATCH($AP341,Lists!$Z:$Z,0)),$AP341))</f>
        <v>Distribution, Sales &amp; Services</v>
      </c>
      <c r="AT341" s="1136" t="str">
        <f>IF(TRIM($B341)="","",IF(IFERROR(INDEX(Lists!$AP$2:$AP$11,MATCH(ROW(),Lists!$AN$2:$AN$11,0)),"")&lt;&gt;"",IFERROR(INDEX(Lists!$AP$2:$AP$11,MATCH(ROW(),Lists!$AN$2:$AN$11,0)),""),IF(OR(LEFT($AJ341,3)="COE",$AJ341="EGI"),$AP341,IF($AR341&lt;&gt;"Squad",$AR341,$AP341))))</f>
        <v>Distribution, Sales &amp; Services</v>
      </c>
    </row>
    <row r="342" ht="18" customHeight="1" s="866">
      <c r="A342" s="1155" t="n">
        <v>99999101568</v>
      </c>
      <c r="B342" s="1156" t="inlineStr">
        <is>
          <t>Anie Camerino</t>
        </is>
      </c>
      <c r="C342" s="1156" t="inlineStr">
        <is>
          <t>Snr Quality Assurance</t>
        </is>
      </c>
      <c r="D342" s="1158" t="inlineStr">
        <is>
          <t>Vacant</t>
        </is>
      </c>
      <c r="E342" s="1156" t="inlineStr">
        <is>
          <t>Technology Manager, Energy Solutions</t>
        </is>
      </c>
      <c r="F342" s="1157" t="inlineStr">
        <is>
          <t>TDD CFE&amp;I</t>
        </is>
      </c>
      <c r="G342" s="1158" t="inlineStr">
        <is>
          <t>B2B &amp; Energy Solutions</t>
        </is>
      </c>
      <c r="H342" s="1158" t="inlineStr">
        <is>
          <t>Technology Energy Solutions</t>
        </is>
      </c>
      <c r="I342" s="1158" t="inlineStr">
        <is>
          <t>B2B &amp; Energy Solutions</t>
        </is>
      </c>
      <c r="J342" s="1158" t="inlineStr">
        <is>
          <t>Energy Solutions</t>
        </is>
      </c>
      <c r="K342" s="1156" t="inlineStr">
        <is>
          <t>EVCI</t>
        </is>
      </c>
      <c r="L342" s="1158" t="n"/>
      <c r="M342" s="1159" t="inlineStr">
        <is>
          <t>NZ</t>
        </is>
      </c>
      <c r="N342" s="1160" t="inlineStr">
        <is>
          <t>CIA</t>
        </is>
      </c>
      <c r="O342" s="1161" t="n">
        <v>1</v>
      </c>
      <c r="P342" s="1160" t="n"/>
      <c r="Q342" s="1161" t="inlineStr">
        <is>
          <t>Permanent - Full Time</t>
        </is>
      </c>
      <c r="R342" s="1162" t="n"/>
      <c r="S342" s="1162" t="n"/>
      <c r="T342" s="1163" t="n">
        <v>133080</v>
      </c>
      <c r="U342" s="1164" t="n">
        <v>122433.6</v>
      </c>
      <c r="V342" s="1165" t="n">
        <v>0.15</v>
      </c>
      <c r="W342" s="1161" t="n"/>
      <c r="X342" s="1166" t="n">
        <v>0.05</v>
      </c>
      <c r="Y342" s="1907" t="n">
        <v>2910</v>
      </c>
      <c r="Z342" s="1166" t="n">
        <v>0.03</v>
      </c>
      <c r="AA342" s="1168">
        <f>IF(TRIM($B342)="","",IF(N($AU342)&gt;0,$AU342,IF(N($S342)&gt;0,$S342*Lists!$AG$15*(1+N($Z342)),N($U342)*(1+N($V342)+N($W342)+N($X342)+N($Z342))+N($Y342))))</f>
        <v>153503.328</v>
      </c>
      <c r="AJ342" s="865" t="str">
        <f>IF(TRIM($B342)="","",IF(IFERROR(INDEX(Lists!$AO$2:$AO$11,MATCH(ROW(),Lists!$AN$2:$AN$11,0)),"")&lt;&gt;"",IFERROR(INDEX(Lists!$AO$2:$AO$11,MATCH(ROW(),Lists!$AN$2:$AN$11,0)),""),IFERROR(INDEX(Lists!$U:$U,MATCH(TRIM($I342),Lists!$T:$T,0)),TRIM($I342))))</f>
        <v>Energy Solutions &amp; B2B</v>
      </c>
      <c r="AK342" s="865" t="str">
        <f>IF(ISNUMBER(SEARCH("vacant",$B342)),"Vacant","Filled")</f>
        <v>Filled</v>
      </c>
      <c r="AL342" s="865" t="str">
        <f>IF($M342="NZ","NZ","AU")</f>
        <v>NZ</v>
      </c>
      <c r="AM342" s="865">
        <f>COUNTIF($AJ$2:$AJ342,$AJ342)</f>
        <v>4</v>
      </c>
      <c r="AN342" s="865" t="str">
        <f>$AJ342&amp;"|"&amp;$AM342</f>
        <v>Energy Solutions &amp; B2B|4</v>
      </c>
      <c r="AP342" s="865" t="str">
        <f>IF(TRIM($B342)="","",IF($AQ342=1,"Leadership",IFERROR(INDEX(Lists!$X:$X,MATCH(TRIM($K342),Lists!$W:$W,0)),IF(OR(TRIM($K342)="",LOWER(TRIM($K342))="na"),IF(TRIM($G342)="","Unassigned",TRIM($G342)),TRIM($K342)))))</f>
        <v>EVCI</v>
      </c>
      <c r="AQ342" s="865" t="b">
        <f>IF(TRIM($B342)="","",--OR(TRIM($K342)="Leadership",TRIM($J342)="Leadership"))</f>
        <v>0</v>
      </c>
      <c r="AR342" s="1136" t="str">
        <f>IF(TRIM($B342)="","",IF(IFERROR(INDEX(Lists!$AQ$2:$AQ$11,MATCH(ROW(),Lists!$AN$2:$AN$11,0)),"")&lt;&gt;"",IFERROR(INDEX(Lists!$AQ$2:$AQ$11,MATCH(ROW(),Lists!$AN$2:$AN$11,0)),""),IF(ISNUMBER(SEARCH("head of ",$C342)),"Head of Technology",IF(ISNUMBER(SEARCH("TDD BP",$C342)),"Business Partner",IF(OR(ISNUMBER(SEARCH("domain architect",$C342)),ISNUMBER(SEARCH("enterprise architect",$C342))),"Domain Architect",IF(ISNUMBER(SEARCH("delivery man",$C342)),"Delivery Manager",IF(OR(ISNUMBER(SEARCH("technology manager",$C342)),ISNUMBER(SEARCH("technology manger",$C342)),ISNUMBER(SEARCH("tech manager",$C342))),"Technology Manager","Squad")))))))</f>
        <v>Squad</v>
      </c>
      <c r="AS342" s="1136" t="str">
        <f>IF(TRIM($B342)="","",IFERROR(INDEX(Lists!$AA:$AA,MATCH($AP342,Lists!$Z:$Z,0)),$AP342))</f>
        <v>EVCI</v>
      </c>
      <c r="AT342" s="1136" t="str">
        <f>IF(TRIM($B342)="","",IF(IFERROR(INDEX(Lists!$AP$2:$AP$11,MATCH(ROW(),Lists!$AN$2:$AN$11,0)),"")&lt;&gt;"",IFERROR(INDEX(Lists!$AP$2:$AP$11,MATCH(ROW(),Lists!$AN$2:$AN$11,0)),""),IF(OR(LEFT($AJ342,3)="COE",$AJ342="EGI"),$AP342,IF($AR342&lt;&gt;"Squad",$AR342,$AP342))))</f>
        <v>EVCI</v>
      </c>
    </row>
    <row r="343" ht="18" customHeight="1" s="866">
      <c r="A343" s="1155" t="n">
        <v>6851</v>
      </c>
      <c r="B343" s="1156" t="inlineStr">
        <is>
          <t>Ann Aquino</t>
        </is>
      </c>
      <c r="C343" s="1156" t="inlineStr">
        <is>
          <t>Senior Business Analyst</t>
        </is>
      </c>
      <c r="D343" s="1158" t="inlineStr">
        <is>
          <t>Vacant</t>
        </is>
      </c>
      <c r="E343" s="1156" t="inlineStr">
        <is>
          <t>Delivery Manager</t>
        </is>
      </c>
      <c r="F343" s="1157" t="inlineStr">
        <is>
          <t>TDD CFE&amp;I</t>
        </is>
      </c>
      <c r="G343" s="1158" t="inlineStr">
        <is>
          <t>Commercial Fuels</t>
        </is>
      </c>
      <c r="H343" s="1158" t="inlineStr">
        <is>
          <t>Delivery, Commercial Fuels</t>
        </is>
      </c>
      <c r="I343" s="1158" t="inlineStr">
        <is>
          <t>Commercial Fuels</t>
        </is>
      </c>
      <c r="J343" s="1158" t="inlineStr">
        <is>
          <t>Supply</t>
        </is>
      </c>
      <c r="K343" s="1158" t="inlineStr">
        <is>
          <t>Supply</t>
        </is>
      </c>
      <c r="L343" s="1156" t="n"/>
      <c r="M343" s="1159" t="inlineStr">
        <is>
          <t>Australia</t>
        </is>
      </c>
      <c r="N343" s="1162" t="inlineStr">
        <is>
          <t>CIB</t>
        </is>
      </c>
      <c r="O343" s="1162" t="n">
        <v>1</v>
      </c>
      <c r="P343" s="1162" t="n"/>
      <c r="Q343" s="1162" t="inlineStr">
        <is>
          <t>Permanent - Full Time</t>
        </is>
      </c>
      <c r="R343" s="1162" t="n"/>
      <c r="S343" s="1162" t="n"/>
      <c r="T343" s="1163" t="n">
        <v>164050</v>
      </c>
      <c r="U343" s="1164" t="n">
        <v>164050</v>
      </c>
      <c r="V343" s="1166" t="n">
        <v>0.12</v>
      </c>
      <c r="W343" s="1170" t="n">
        <v>0.055</v>
      </c>
      <c r="X343" s="1170" t="n">
        <v>0.12</v>
      </c>
      <c r="Y343" s="1171" t="n"/>
      <c r="Z343" s="1170" t="n">
        <v>0.04</v>
      </c>
      <c r="AA343" s="1168">
        <f>IF(TRIM($B343)="","",IF(N($AU343)&gt;0,$AU343,IF(N($S343)&gt;0,$S343*Lists!$AG$15*(1+N($Z343)),N($U343)*(1+N($V343)+N($W343)+N($X343)+N($Z343))+N($Y343))))</f>
        <v>219006.75</v>
      </c>
      <c r="AJ343" s="865" t="str">
        <f>IF(TRIM($B343)="","",IF(IFERROR(INDEX(Lists!$AO$2:$AO$11,MATCH(ROW(),Lists!$AN$2:$AN$11,0)),"")&lt;&gt;"",IFERROR(INDEX(Lists!$AO$2:$AO$11,MATCH(ROW(),Lists!$AN$2:$AN$11,0)),""),IFERROR(INDEX(Lists!$U:$U,MATCH(TRIM($I343),Lists!$T:$T,0)),TRIM($I343))))</f>
        <v>Commercial Fuels</v>
      </c>
      <c r="AK343" s="865" t="str">
        <f>IF(ISNUMBER(SEARCH("vacant",$B343)),"Vacant","Filled")</f>
        <v>Filled</v>
      </c>
      <c r="AL343" s="865" t="str">
        <f>IF($M343="NZ","NZ","AU")</f>
        <v>AU</v>
      </c>
      <c r="AM343" s="865">
        <f>COUNTIF($AJ$2:$AJ343,$AJ343)</f>
        <v>3</v>
      </c>
      <c r="AN343" s="865" t="str">
        <f>$AJ343&amp;"|"&amp;$AM343</f>
        <v>Commercial Fuels|3</v>
      </c>
      <c r="AP343" s="865" t="str">
        <f>IF(TRIM($B343)="","",IF($AQ343=1,"Leadership",IFERROR(INDEX(Lists!$X:$X,MATCH(TRIM($K343),Lists!$W:$W,0)),IF(OR(TRIM($K343)="",LOWER(TRIM($K343))="na"),IF(TRIM($G343)="","Unassigned",TRIM($G343)),TRIM($K343)))))</f>
        <v>Supply</v>
      </c>
      <c r="AQ343" s="865" t="b">
        <f>IF(TRIM($B343)="","",--OR(TRIM($K343)="Leadership",TRIM($J343)="Leadership"))</f>
        <v>0</v>
      </c>
      <c r="AR343" s="1136" t="str">
        <f>IF(TRIM($B343)="","",IF(IFERROR(INDEX(Lists!$AQ$2:$AQ$11,MATCH(ROW(),Lists!$AN$2:$AN$11,0)),"")&lt;&gt;"",IFERROR(INDEX(Lists!$AQ$2:$AQ$11,MATCH(ROW(),Lists!$AN$2:$AN$11,0)),""),IF(ISNUMBER(SEARCH("head of ",$C343)),"Head of Technology",IF(ISNUMBER(SEARCH("TDD BP",$C343)),"Business Partner",IF(OR(ISNUMBER(SEARCH("domain architect",$C343)),ISNUMBER(SEARCH("enterprise architect",$C343))),"Domain Architect",IF(ISNUMBER(SEARCH("delivery man",$C343)),"Delivery Manager",IF(OR(ISNUMBER(SEARCH("technology manager",$C343)),ISNUMBER(SEARCH("technology manger",$C343)),ISNUMBER(SEARCH("tech manager",$C343))),"Technology Manager","Squad")))))))</f>
        <v>Squad</v>
      </c>
      <c r="AS343" s="1136" t="str">
        <f>IF(TRIM($B343)="","",IFERROR(INDEX(Lists!$AA:$AA,MATCH($AP343,Lists!$Z:$Z,0)),$AP343))</f>
        <v>Supply</v>
      </c>
      <c r="AT343" s="1136" t="str">
        <f>IF(TRIM($B343)="","",IF(IFERROR(INDEX(Lists!$AP$2:$AP$11,MATCH(ROW(),Lists!$AN$2:$AN$11,0)),"")&lt;&gt;"",IFERROR(INDEX(Lists!$AP$2:$AP$11,MATCH(ROW(),Lists!$AN$2:$AN$11,0)),""),IF(OR(LEFT($AJ343,3)="COE",$AJ343="EGI"),$AP343,IF($AR343&lt;&gt;"Squad",$AR343,$AP343))))</f>
        <v>Supply</v>
      </c>
    </row>
    <row r="344" ht="18" customHeight="1" s="866">
      <c r="A344" s="1155" t="n">
        <v>113039</v>
      </c>
      <c r="B344" s="1156" t="inlineStr">
        <is>
          <t>Anusha Viswanatha</t>
        </is>
      </c>
      <c r="C344" s="1156" t="inlineStr">
        <is>
          <t>Delivery Lead</t>
        </is>
      </c>
      <c r="D344" s="1158" t="inlineStr">
        <is>
          <t>Vacant</t>
        </is>
      </c>
      <c r="E344" s="1156" t="inlineStr">
        <is>
          <t>Technology Manager, Data</t>
        </is>
      </c>
      <c r="F344" s="1157" t="inlineStr">
        <is>
          <t>TDD CFE&amp;I</t>
        </is>
      </c>
      <c r="G344" s="1158" t="inlineStr">
        <is>
          <t>Commercial Fuels</t>
        </is>
      </c>
      <c r="H344" s="1158" t="inlineStr">
        <is>
          <t>Technology, T&amp;S Data</t>
        </is>
      </c>
      <c r="I344" s="1158" t="inlineStr">
        <is>
          <t>Commercial Fuels</t>
        </is>
      </c>
      <c r="J344" s="1158" t="inlineStr">
        <is>
          <t>Trading &amp; Shipping</t>
        </is>
      </c>
      <c r="K344" s="1158" t="inlineStr">
        <is>
          <t>Trading &amp; Shipping Data</t>
        </is>
      </c>
      <c r="L344" s="1158" t="n"/>
      <c r="M344" s="1159" t="inlineStr">
        <is>
          <t>Singapore</t>
        </is>
      </c>
      <c r="N344" s="1160" t="inlineStr">
        <is>
          <t>CIC</t>
        </is>
      </c>
      <c r="O344" s="1160" t="n">
        <v>1</v>
      </c>
      <c r="P344" s="1160" t="n"/>
      <c r="Q344" s="1160" t="inlineStr">
        <is>
          <t>Temporary - Full Time</t>
        </is>
      </c>
      <c r="R344" s="1162" t="n"/>
      <c r="S344" s="1162" t="n"/>
      <c r="T344" s="1163" t="n">
        <v>160000</v>
      </c>
      <c r="U344" s="1164" t="n">
        <v>193600</v>
      </c>
      <c r="V344" s="1166" t="n">
        <v>0.25</v>
      </c>
      <c r="W344" s="1162" t="n"/>
      <c r="X344" s="1166" t="n">
        <v>0.17</v>
      </c>
      <c r="Y344" s="1907" t="n">
        <v>3310</v>
      </c>
      <c r="Z344" s="1207" t="n">
        <v>0.045</v>
      </c>
      <c r="AA344" s="1168">
        <f>IF(TRIM($B344)="","",IF(N($AU344)&gt;0,$AU344,IF(N($S344)&gt;0,$S344*Lists!$AG$15*(1+N($Z344)),N($U344)*(1+N($V344)+N($W344)+N($X344)+N($Z344))+N($Y344))))</f>
        <v>286934</v>
      </c>
      <c r="AJ344" s="865" t="str">
        <f>IF(TRIM($B344)="","",IF(IFERROR(INDEX(Lists!$AO$2:$AO$11,MATCH(ROW(),Lists!$AN$2:$AN$11,0)),"")&lt;&gt;"",IFERROR(INDEX(Lists!$AO$2:$AO$11,MATCH(ROW(),Lists!$AN$2:$AN$11,0)),""),IFERROR(INDEX(Lists!$U:$U,MATCH(TRIM($I344),Lists!$T:$T,0)),TRIM($I344))))</f>
        <v>Commercial Fuels</v>
      </c>
      <c r="AK344" s="865" t="str">
        <f>IF(ISNUMBER(SEARCH("vacant",$B344)),"Vacant","Filled")</f>
        <v>Filled</v>
      </c>
      <c r="AL344" s="865" t="str">
        <f>IF($M344="NZ","NZ","AU")</f>
        <v>AU</v>
      </c>
      <c r="AM344" s="865">
        <f>COUNTIF($AJ$2:$AJ344,$AJ344)</f>
        <v>4</v>
      </c>
      <c r="AN344" s="865" t="str">
        <f>$AJ344&amp;"|"&amp;$AM344</f>
        <v>Commercial Fuels|4</v>
      </c>
      <c r="AP344" s="865" t="str">
        <f>IF(TRIM($B344)="","",IF($AQ344=1,"Leadership",IFERROR(INDEX(Lists!$X:$X,MATCH(TRIM($K344),Lists!$W:$W,0)),IF(OR(TRIM($K344)="",LOWER(TRIM($K344))="na"),IF(TRIM($G344)="","Unassigned",TRIM($G344)),TRIM($K344)))))</f>
        <v>Trading &amp; Shipping Data</v>
      </c>
      <c r="AQ344" s="865" t="b">
        <f>IF(TRIM($B344)="","",--OR(TRIM($K344)="Leadership",TRIM($J344)="Leadership"))</f>
        <v>0</v>
      </c>
      <c r="AR344" s="1136" t="str">
        <f>IF(TRIM($B344)="","",IF(IFERROR(INDEX(Lists!$AQ$2:$AQ$11,MATCH(ROW(),Lists!$AN$2:$AN$11,0)),"")&lt;&gt;"",IFERROR(INDEX(Lists!$AQ$2:$AQ$11,MATCH(ROW(),Lists!$AN$2:$AN$11,0)),""),IF(ISNUMBER(SEARCH("head of ",$C344)),"Head of Technology",IF(ISNUMBER(SEARCH("TDD BP",$C344)),"Business Partner",IF(OR(ISNUMBER(SEARCH("domain architect",$C344)),ISNUMBER(SEARCH("enterprise architect",$C344))),"Domain Architect",IF(ISNUMBER(SEARCH("delivery man",$C344)),"Delivery Manager",IF(OR(ISNUMBER(SEARCH("technology manager",$C344)),ISNUMBER(SEARCH("technology manger",$C344)),ISNUMBER(SEARCH("tech manager",$C344))),"Technology Manager","Squad")))))))</f>
        <v>Squad</v>
      </c>
      <c r="AS344" s="1136" t="str">
        <f>IF(TRIM($B344)="","",IFERROR(INDEX(Lists!$AA:$AA,MATCH($AP344,Lists!$Z:$Z,0)),$AP344))</f>
        <v>Trading &amp; Shipping Data</v>
      </c>
      <c r="AT344" s="1136" t="str">
        <f>IF(TRIM($B344)="","",IF(IFERROR(INDEX(Lists!$AP$2:$AP$11,MATCH(ROW(),Lists!$AN$2:$AN$11,0)),"")&lt;&gt;"",IFERROR(INDEX(Lists!$AP$2:$AP$11,MATCH(ROW(),Lists!$AN$2:$AN$11,0)),""),IF(OR(LEFT($AJ344,3)="COE",$AJ344="EGI"),$AP344,IF($AR344&lt;&gt;"Squad",$AR344,$AP344))))</f>
        <v>Trading &amp; Shipping Data</v>
      </c>
    </row>
    <row r="345" ht="18" customHeight="1" s="866">
      <c r="A345" s="1155" t="n">
        <v>97776</v>
      </c>
      <c r="B345" s="1156" t="inlineStr">
        <is>
          <t>Anvitha Kurra</t>
        </is>
      </c>
      <c r="C345" s="1156" t="inlineStr">
        <is>
          <t>Senior Systems Analyst</t>
        </is>
      </c>
      <c r="D345" s="1156" t="inlineStr">
        <is>
          <t>Karla Orozco Loza</t>
        </is>
      </c>
      <c r="E345" s="1156" t="inlineStr">
        <is>
          <t>Technology Manager, Future Infrastructure</t>
        </is>
      </c>
      <c r="F345" s="1157" t="inlineStr">
        <is>
          <t>TDD CFE&amp;I</t>
        </is>
      </c>
      <c r="G345" s="1158" t="inlineStr">
        <is>
          <t>Fuel Infrastructure</t>
        </is>
      </c>
      <c r="H345" s="1158" t="inlineStr">
        <is>
          <t>Technology - Distribution</t>
        </is>
      </c>
      <c r="I345" s="1158" t="inlineStr">
        <is>
          <t>Infrastructure</t>
        </is>
      </c>
      <c r="J345" s="1156" t="inlineStr">
        <is>
          <t>Distribution</t>
        </is>
      </c>
      <c r="K345" s="1156" t="inlineStr">
        <is>
          <t>Distribution, Sales &amp; Services</t>
        </is>
      </c>
      <c r="L345" s="1158" t="n"/>
      <c r="M345" s="1159" t="inlineStr">
        <is>
          <t>Australia</t>
        </is>
      </c>
      <c r="N345" s="1160" t="inlineStr">
        <is>
          <t>CIB</t>
        </is>
      </c>
      <c r="O345" s="1160" t="n">
        <v>1</v>
      </c>
      <c r="P345" s="1160" t="n"/>
      <c r="Q345" s="1160" t="inlineStr">
        <is>
          <t>Permanent - Full Time</t>
        </is>
      </c>
      <c r="R345" s="1162" t="n"/>
      <c r="S345" s="1162" t="n"/>
      <c r="T345" s="1163" t="n">
        <v>161340</v>
      </c>
      <c r="U345" s="1164" t="n">
        <v>161340</v>
      </c>
      <c r="V345" s="1166" t="n">
        <v>0.12</v>
      </c>
      <c r="W345" s="1170" t="n">
        <v>0.055</v>
      </c>
      <c r="X345" s="1170" t="n">
        <v>0.12</v>
      </c>
      <c r="Y345" s="1171" t="n"/>
      <c r="Z345" s="1170" t="n">
        <v>0.04</v>
      </c>
      <c r="AA345" s="1168">
        <f>IF(TRIM($B345)="","",IF(N($AU345)&gt;0,$AU345,IF(N($S345)&gt;0,$S345*Lists!$AG$15*(1+N($Z345)),N($U345)*(1+N($V345)+N($W345)+N($X345)+N($Z345))+N($Y345))))</f>
        <v>215388.9</v>
      </c>
      <c r="AJ345" s="865" t="str">
        <f>IF(TRIM($B345)="","",IF(IFERROR(INDEX(Lists!$AO$2:$AO$11,MATCH(ROW(),Lists!$AN$2:$AN$11,0)),"")&lt;&gt;"",IFERROR(INDEX(Lists!$AO$2:$AO$11,MATCH(ROW(),Lists!$AN$2:$AN$11,0)),""),IFERROR(INDEX(Lists!$U:$U,MATCH(TRIM($I345),Lists!$T:$T,0)),TRIM($I345))))</f>
        <v>Infrastructure</v>
      </c>
      <c r="AK345" s="865" t="str">
        <f>IF(ISNUMBER(SEARCH("vacant",$B345)),"Vacant","Filled")</f>
        <v>Filled</v>
      </c>
      <c r="AL345" s="865" t="str">
        <f>IF($M345="NZ","NZ","AU")</f>
        <v>AU</v>
      </c>
      <c r="AM345" s="865">
        <f>COUNTIF($AJ$2:$AJ345,$AJ345)</f>
        <v>5</v>
      </c>
      <c r="AN345" s="865" t="str">
        <f>$AJ345&amp;"|"&amp;$AM345</f>
        <v>Infrastructure|5</v>
      </c>
      <c r="AP345" s="865" t="str">
        <f>IF(TRIM($B345)="","",IF($AQ345=1,"Leadership",IFERROR(INDEX(Lists!$X:$X,MATCH(TRIM($K345),Lists!$W:$W,0)),IF(OR(TRIM($K345)="",LOWER(TRIM($K345))="na"),IF(TRIM($G345)="","Unassigned",TRIM($G345)),TRIM($K345)))))</f>
        <v>Distribution, Sales &amp; Services</v>
      </c>
      <c r="AQ345" s="865" t="b">
        <f>IF(TRIM($B345)="","",--OR(TRIM($K345)="Leadership",TRIM($J345)="Leadership"))</f>
        <v>0</v>
      </c>
      <c r="AR345" s="1136" t="str">
        <f>IF(TRIM($B345)="","",IF(IFERROR(INDEX(Lists!$AQ$2:$AQ$11,MATCH(ROW(),Lists!$AN$2:$AN$11,0)),"")&lt;&gt;"",IFERROR(INDEX(Lists!$AQ$2:$AQ$11,MATCH(ROW(),Lists!$AN$2:$AN$11,0)),""),IF(ISNUMBER(SEARCH("head of ",$C345)),"Head of Technology",IF(ISNUMBER(SEARCH("TDD BP",$C345)),"Business Partner",IF(OR(ISNUMBER(SEARCH("domain architect",$C345)),ISNUMBER(SEARCH("enterprise architect",$C345))),"Domain Architect",IF(ISNUMBER(SEARCH("delivery man",$C345)),"Delivery Manager",IF(OR(ISNUMBER(SEARCH("technology manager",$C345)),ISNUMBER(SEARCH("technology manger",$C345)),ISNUMBER(SEARCH("tech manager",$C345))),"Technology Manager","Squad")))))))</f>
        <v>Squad</v>
      </c>
      <c r="AS345" s="1136" t="str">
        <f>IF(TRIM($B345)="","",IFERROR(INDEX(Lists!$AA:$AA,MATCH($AP345,Lists!$Z:$Z,0)),$AP345))</f>
        <v>Distribution, Sales &amp; Services</v>
      </c>
      <c r="AT345" s="1136" t="str">
        <f>IF(TRIM($B345)="","",IF(IFERROR(INDEX(Lists!$AP$2:$AP$11,MATCH(ROW(),Lists!$AN$2:$AN$11,0)),"")&lt;&gt;"",IFERROR(INDEX(Lists!$AP$2:$AP$11,MATCH(ROW(),Lists!$AN$2:$AN$11,0)),""),IF(OR(LEFT($AJ345,3)="COE",$AJ345="EGI"),$AP345,IF($AR345&lt;&gt;"Squad",$AR345,$AP345))))</f>
        <v>Distribution, Sales &amp; Services</v>
      </c>
    </row>
    <row r="346" ht="18" customHeight="1" s="866">
      <c r="A346" s="1155" t="n">
        <v>111319</v>
      </c>
      <c r="B346" s="1156" t="inlineStr">
        <is>
          <t>Arun Prakash Jayaprakasam</t>
        </is>
      </c>
      <c r="C346" s="1156" t="inlineStr">
        <is>
          <t>Data Engineer Analyst</t>
        </is>
      </c>
      <c r="D346" s="1158" t="inlineStr">
        <is>
          <t>Vacant</t>
        </is>
      </c>
      <c r="E346" s="1156" t="inlineStr">
        <is>
          <t>Technology Manager, Data</t>
        </is>
      </c>
      <c r="F346" s="1157" t="inlineStr">
        <is>
          <t>TDD CFE&amp;I</t>
        </is>
      </c>
      <c r="G346" s="1158" t="inlineStr">
        <is>
          <t>Commercial Fuels</t>
        </is>
      </c>
      <c r="H346" s="1158" t="inlineStr">
        <is>
          <t>Technology, T&amp;S Data</t>
        </is>
      </c>
      <c r="I346" s="1158" t="inlineStr">
        <is>
          <t>Commercial Fuels</t>
        </is>
      </c>
      <c r="J346" s="1158" t="inlineStr">
        <is>
          <t>Trading &amp; Shipping</t>
        </is>
      </c>
      <c r="K346" s="1158" t="inlineStr">
        <is>
          <t>Trading &amp; Shipping Data</t>
        </is>
      </c>
      <c r="L346" s="1158" t="n"/>
      <c r="M346" s="1159" t="inlineStr">
        <is>
          <t>Singapore</t>
        </is>
      </c>
      <c r="N346" s="1160" t="inlineStr">
        <is>
          <t>CIB</t>
        </is>
      </c>
      <c r="O346" s="1160" t="n">
        <v>1</v>
      </c>
      <c r="P346" s="1160" t="n"/>
      <c r="Q346" s="1160" t="inlineStr">
        <is>
          <t>Permanent - Full Time</t>
        </is>
      </c>
      <c r="R346" s="1162" t="n"/>
      <c r="S346" s="1162" t="n"/>
      <c r="T346" s="1163" t="n">
        <v>149480</v>
      </c>
      <c r="U346" s="1164" t="n">
        <v>180870.8</v>
      </c>
      <c r="V346" s="1166" t="n">
        <v>0.25</v>
      </c>
      <c r="W346" s="1162" t="n"/>
      <c r="X346" s="1166" t="n">
        <v>0.17</v>
      </c>
      <c r="Y346" s="1907" t="n">
        <v>3310</v>
      </c>
      <c r="Z346" s="1207" t="n">
        <v>0.045</v>
      </c>
      <c r="AA346" s="1168">
        <f>IF(TRIM($B346)="","",IF(N($AU346)&gt;0,$AU346,IF(N($S346)&gt;0,$S346*Lists!$AG$15*(1+N($Z346)),N($U346)*(1+N($V346)+N($W346)+N($X346)+N($Z346))+N($Y346))))</f>
        <v>268285.722</v>
      </c>
      <c r="AJ346" s="865" t="str">
        <f>IF(TRIM($B346)="","",IF(IFERROR(INDEX(Lists!$AO$2:$AO$11,MATCH(ROW(),Lists!$AN$2:$AN$11,0)),"")&lt;&gt;"",IFERROR(INDEX(Lists!$AO$2:$AO$11,MATCH(ROW(),Lists!$AN$2:$AN$11,0)),""),IFERROR(INDEX(Lists!$U:$U,MATCH(TRIM($I346),Lists!$T:$T,0)),TRIM($I346))))</f>
        <v>Commercial Fuels</v>
      </c>
      <c r="AK346" s="865" t="str">
        <f>IF(ISNUMBER(SEARCH("vacant",$B346)),"Vacant","Filled")</f>
        <v>Filled</v>
      </c>
      <c r="AL346" s="865" t="str">
        <f>IF($M346="NZ","NZ","AU")</f>
        <v>AU</v>
      </c>
      <c r="AM346" s="865">
        <f>COUNTIF($AJ$2:$AJ346,$AJ346)</f>
        <v>5</v>
      </c>
      <c r="AN346" s="865" t="str">
        <f>$AJ346&amp;"|"&amp;$AM346</f>
        <v>Commercial Fuels|5</v>
      </c>
      <c r="AP346" s="865" t="str">
        <f>IF(TRIM($B346)="","",IF($AQ346=1,"Leadership",IFERROR(INDEX(Lists!$X:$X,MATCH(TRIM($K346),Lists!$W:$W,0)),IF(OR(TRIM($K346)="",LOWER(TRIM($K346))="na"),IF(TRIM($G346)="","Unassigned",TRIM($G346)),TRIM($K346)))))</f>
        <v>Trading &amp; Shipping Data</v>
      </c>
      <c r="AQ346" s="865" t="b">
        <f>IF(TRIM($B346)="","",--OR(TRIM($K346)="Leadership",TRIM($J346)="Leadership"))</f>
        <v>0</v>
      </c>
      <c r="AR346" s="1136" t="str">
        <f>IF(TRIM($B346)="","",IF(IFERROR(INDEX(Lists!$AQ$2:$AQ$11,MATCH(ROW(),Lists!$AN$2:$AN$11,0)),"")&lt;&gt;"",IFERROR(INDEX(Lists!$AQ$2:$AQ$11,MATCH(ROW(),Lists!$AN$2:$AN$11,0)),""),IF(ISNUMBER(SEARCH("head of ",$C346)),"Head of Technology",IF(ISNUMBER(SEARCH("TDD BP",$C346)),"Business Partner",IF(OR(ISNUMBER(SEARCH("domain architect",$C346)),ISNUMBER(SEARCH("enterprise architect",$C346))),"Domain Architect",IF(ISNUMBER(SEARCH("delivery man",$C346)),"Delivery Manager",IF(OR(ISNUMBER(SEARCH("technology manager",$C346)),ISNUMBER(SEARCH("technology manger",$C346)),ISNUMBER(SEARCH("tech manager",$C346))),"Technology Manager","Squad")))))))</f>
        <v>Squad</v>
      </c>
      <c r="AS346" s="1136" t="str">
        <f>IF(TRIM($B346)="","",IFERROR(INDEX(Lists!$AA:$AA,MATCH($AP346,Lists!$Z:$Z,0)),$AP346))</f>
        <v>Trading &amp; Shipping Data</v>
      </c>
      <c r="AT346" s="1136" t="str">
        <f>IF(TRIM($B346)="","",IF(IFERROR(INDEX(Lists!$AP$2:$AP$11,MATCH(ROW(),Lists!$AN$2:$AN$11,0)),"")&lt;&gt;"",IFERROR(INDEX(Lists!$AP$2:$AP$11,MATCH(ROW(),Lists!$AN$2:$AN$11,0)),""),IF(OR(LEFT($AJ346,3)="COE",$AJ346="EGI"),$AP346,IF($AR346&lt;&gt;"Squad",$AR346,$AP346))))</f>
        <v>Trading &amp; Shipping Data</v>
      </c>
    </row>
    <row r="347" ht="18" customHeight="1" s="866">
      <c r="A347" s="1155" t="n">
        <v>108033</v>
      </c>
      <c r="B347" s="1156" t="inlineStr">
        <is>
          <t>Ayushi Agarwal</t>
        </is>
      </c>
      <c r="C347" s="1156" t="inlineStr">
        <is>
          <t>Engineer Data</t>
        </is>
      </c>
      <c r="D347" s="1158" t="inlineStr">
        <is>
          <t>Vacant</t>
        </is>
      </c>
      <c r="E347" s="1156" t="inlineStr">
        <is>
          <t>Technology Manager, Data</t>
        </is>
      </c>
      <c r="F347" s="1157" t="inlineStr">
        <is>
          <t>TDD CFE&amp;I</t>
        </is>
      </c>
      <c r="G347" s="1158" t="inlineStr">
        <is>
          <t>Commercial Fuels</t>
        </is>
      </c>
      <c r="H347" s="1158" t="inlineStr">
        <is>
          <t>Technology, T&amp;S Data</t>
        </is>
      </c>
      <c r="I347" s="1158" t="inlineStr">
        <is>
          <t>Commercial Fuels</t>
        </is>
      </c>
      <c r="J347" s="1158" t="inlineStr">
        <is>
          <t>Trading &amp; Shipping</t>
        </is>
      </c>
      <c r="K347" s="1158" t="inlineStr">
        <is>
          <t>Trading &amp; Shipping Data</t>
        </is>
      </c>
      <c r="L347" s="1158" t="n"/>
      <c r="M347" s="1159" t="inlineStr">
        <is>
          <t>Singapore</t>
        </is>
      </c>
      <c r="N347" s="1160" t="inlineStr">
        <is>
          <t>CIB</t>
        </is>
      </c>
      <c r="O347" s="1160" t="n">
        <v>1</v>
      </c>
      <c r="P347" s="1160" t="n"/>
      <c r="Q347" s="1160" t="inlineStr">
        <is>
          <t>Permanent - Full Time</t>
        </is>
      </c>
      <c r="R347" s="1162" t="n"/>
      <c r="S347" s="1162" t="n"/>
      <c r="T347" s="1163" t="n">
        <v>145320</v>
      </c>
      <c r="U347" s="1164" t="n">
        <v>175837.2</v>
      </c>
      <c r="V347" s="1166" t="n">
        <v>0.25</v>
      </c>
      <c r="W347" s="1162" t="n"/>
      <c r="X347" s="1166" t="n">
        <v>0.17</v>
      </c>
      <c r="Y347" s="1907" t="n">
        <v>3310</v>
      </c>
      <c r="Z347" s="1207" t="n">
        <v>0.045</v>
      </c>
      <c r="AA347" s="1168">
        <f>IF(TRIM($B347)="","",IF(N($AU347)&gt;0,$AU347,IF(N($S347)&gt;0,$S347*Lists!$AG$15*(1+N($Z347)),N($U347)*(1+N($V347)+N($W347)+N($X347)+N($Z347))+N($Y347))))</f>
        <v>260911.498</v>
      </c>
      <c r="AJ347" s="865" t="str">
        <f>IF(TRIM($B347)="","",IF(IFERROR(INDEX(Lists!$AO$2:$AO$11,MATCH(ROW(),Lists!$AN$2:$AN$11,0)),"")&lt;&gt;"",IFERROR(INDEX(Lists!$AO$2:$AO$11,MATCH(ROW(),Lists!$AN$2:$AN$11,0)),""),IFERROR(INDEX(Lists!$U:$U,MATCH(TRIM($I347),Lists!$T:$T,0)),TRIM($I347))))</f>
        <v>Commercial Fuels</v>
      </c>
      <c r="AK347" s="865" t="str">
        <f>IF(ISNUMBER(SEARCH("vacant",$B347)),"Vacant","Filled")</f>
        <v>Filled</v>
      </c>
      <c r="AL347" s="865" t="str">
        <f>IF($M347="NZ","NZ","AU")</f>
        <v>AU</v>
      </c>
      <c r="AM347" s="865">
        <f>COUNTIF($AJ$2:$AJ347,$AJ347)</f>
        <v>6</v>
      </c>
      <c r="AN347" s="865" t="str">
        <f>$AJ347&amp;"|"&amp;$AM347</f>
        <v>Commercial Fuels|6</v>
      </c>
      <c r="AP347" s="865" t="str">
        <f>IF(TRIM($B347)="","",IF($AQ347=1,"Leadership",IFERROR(INDEX(Lists!$X:$X,MATCH(TRIM($K347),Lists!$W:$W,0)),IF(OR(TRIM($K347)="",LOWER(TRIM($K347))="na"),IF(TRIM($G347)="","Unassigned",TRIM($G347)),TRIM($K347)))))</f>
        <v>Trading &amp; Shipping Data</v>
      </c>
      <c r="AQ347" s="865" t="b">
        <f>IF(TRIM($B347)="","",--OR(TRIM($K347)="Leadership",TRIM($J347)="Leadership"))</f>
        <v>0</v>
      </c>
      <c r="AR347" s="1136" t="str">
        <f>IF(TRIM($B347)="","",IF(IFERROR(INDEX(Lists!$AQ$2:$AQ$11,MATCH(ROW(),Lists!$AN$2:$AN$11,0)),"")&lt;&gt;"",IFERROR(INDEX(Lists!$AQ$2:$AQ$11,MATCH(ROW(),Lists!$AN$2:$AN$11,0)),""),IF(ISNUMBER(SEARCH("head of ",$C347)),"Head of Technology",IF(ISNUMBER(SEARCH("TDD BP",$C347)),"Business Partner",IF(OR(ISNUMBER(SEARCH("domain architect",$C347)),ISNUMBER(SEARCH("enterprise architect",$C347))),"Domain Architect",IF(ISNUMBER(SEARCH("delivery man",$C347)),"Delivery Manager",IF(OR(ISNUMBER(SEARCH("technology manager",$C347)),ISNUMBER(SEARCH("technology manger",$C347)),ISNUMBER(SEARCH("tech manager",$C347))),"Technology Manager","Squad")))))))</f>
        <v>Squad</v>
      </c>
      <c r="AS347" s="1136" t="str">
        <f>IF(TRIM($B347)="","",IFERROR(INDEX(Lists!$AA:$AA,MATCH($AP347,Lists!$Z:$Z,0)),$AP347))</f>
        <v>Trading &amp; Shipping Data</v>
      </c>
      <c r="AT347" s="1136" t="str">
        <f>IF(TRIM($B347)="","",IF(IFERROR(INDEX(Lists!$AP$2:$AP$11,MATCH(ROW(),Lists!$AN$2:$AN$11,0)),"")&lt;&gt;"",IFERROR(INDEX(Lists!$AP$2:$AP$11,MATCH(ROW(),Lists!$AN$2:$AN$11,0)),""),IF(OR(LEFT($AJ347,3)="COE",$AJ347="EGI"),$AP347,IF($AR347&lt;&gt;"Squad",$AR347,$AP347))))</f>
        <v>Trading &amp; Shipping Data</v>
      </c>
    </row>
    <row r="348" ht="18" customHeight="1" s="866">
      <c r="A348" s="1155" t="n">
        <v>14100</v>
      </c>
      <c r="B348" s="1156" t="inlineStr">
        <is>
          <t>Belinda Ford</t>
        </is>
      </c>
      <c r="C348" s="1156" t="inlineStr">
        <is>
          <t>Quality Assurance</t>
        </is>
      </c>
      <c r="D348" s="1156" t="inlineStr">
        <is>
          <t>Elle Spencer</t>
        </is>
      </c>
      <c r="E348" s="1156" t="inlineStr">
        <is>
          <t>Technology Manager, Energy Solutions</t>
        </is>
      </c>
      <c r="F348" s="1157" t="inlineStr">
        <is>
          <t>TDD CFE&amp;I</t>
        </is>
      </c>
      <c r="G348" s="1158" t="inlineStr">
        <is>
          <t>B2B &amp; Energy Solutions</t>
        </is>
      </c>
      <c r="H348" s="1158" t="inlineStr">
        <is>
          <t>Technology B2B</t>
        </is>
      </c>
      <c r="I348" s="1158" t="inlineStr">
        <is>
          <t>B2B &amp; Energy Solutions</t>
        </is>
      </c>
      <c r="J348" s="1156" t="inlineStr">
        <is>
          <t>B2B</t>
        </is>
      </c>
      <c r="K348" s="1156" t="inlineStr">
        <is>
          <t>B2B</t>
        </is>
      </c>
      <c r="L348" s="1158" t="n"/>
      <c r="M348" s="1159" t="inlineStr">
        <is>
          <t>Australia</t>
        </is>
      </c>
      <c r="N348" s="1162" t="inlineStr">
        <is>
          <t>CDC</t>
        </is>
      </c>
      <c r="O348" s="1162" t="n">
        <v>1</v>
      </c>
      <c r="P348" s="1162" t="n"/>
      <c r="Q348" s="1162" t="inlineStr">
        <is>
          <t>Permanent - Full Time</t>
        </is>
      </c>
      <c r="R348" s="1162" t="n"/>
      <c r="S348" s="1162" t="n"/>
      <c r="T348" s="1163" t="n">
        <v>113430</v>
      </c>
      <c r="U348" s="1164" t="n">
        <v>113430</v>
      </c>
      <c r="V348" s="1166" t="n">
        <v>0.1</v>
      </c>
      <c r="W348" s="1170" t="n">
        <v>0.055</v>
      </c>
      <c r="X348" s="1170" t="n">
        <v>0.12</v>
      </c>
      <c r="Y348" s="1171" t="n"/>
      <c r="Z348" s="1170" t="n">
        <v>0.04</v>
      </c>
      <c r="AA348" s="1168">
        <f>IF(TRIM($B348)="","",IF(N($AU348)&gt;0,$AU348,IF(N($S348)&gt;0,$S348*Lists!$AG$15*(1+N($Z348)),N($U348)*(1+N($V348)+N($W348)+N($X348)+N($Z348))+N($Y348))))</f>
        <v>149160.45</v>
      </c>
      <c r="AJ348" s="865" t="str">
        <f>IF(TRIM($B348)="","",IF(IFERROR(INDEX(Lists!$AO$2:$AO$11,MATCH(ROW(),Lists!$AN$2:$AN$11,0)),"")&lt;&gt;"",IFERROR(INDEX(Lists!$AO$2:$AO$11,MATCH(ROW(),Lists!$AN$2:$AN$11,0)),""),IFERROR(INDEX(Lists!$U:$U,MATCH(TRIM($I348),Lists!$T:$T,0)),TRIM($I348))))</f>
        <v>Energy Solutions &amp; B2B</v>
      </c>
      <c r="AK348" s="865" t="str">
        <f>IF(ISNUMBER(SEARCH("vacant",$B348)),"Vacant","Filled")</f>
        <v>Filled</v>
      </c>
      <c r="AL348" s="865" t="str">
        <f>IF($M348="NZ","NZ","AU")</f>
        <v>AU</v>
      </c>
      <c r="AM348" s="865">
        <f>COUNTIF($AJ$2:$AJ348,$AJ348)</f>
        <v>5</v>
      </c>
      <c r="AN348" s="865" t="str">
        <f>$AJ348&amp;"|"&amp;$AM348</f>
        <v>Energy Solutions &amp; B2B|5</v>
      </c>
      <c r="AP348" s="865" t="str">
        <f>IF(TRIM($B348)="","",IF($AQ348=1,"Leadership",IFERROR(INDEX(Lists!$X:$X,MATCH(TRIM($K348),Lists!$W:$W,0)),IF(OR(TRIM($K348)="",LOWER(TRIM($K348))="na"),IF(TRIM($G348)="","Unassigned",TRIM($G348)),TRIM($K348)))))</f>
        <v>B2B</v>
      </c>
      <c r="AQ348" s="865" t="b">
        <f>IF(TRIM($B348)="","",--OR(TRIM($K348)="Leadership",TRIM($J348)="Leadership"))</f>
        <v>0</v>
      </c>
      <c r="AR348" s="1136" t="str">
        <f>IF(TRIM($B348)="","",IF(IFERROR(INDEX(Lists!$AQ$2:$AQ$11,MATCH(ROW(),Lists!$AN$2:$AN$11,0)),"")&lt;&gt;"",IFERROR(INDEX(Lists!$AQ$2:$AQ$11,MATCH(ROW(),Lists!$AN$2:$AN$11,0)),""),IF(ISNUMBER(SEARCH("head of ",$C348)),"Head of Technology",IF(ISNUMBER(SEARCH("TDD BP",$C348)),"Business Partner",IF(OR(ISNUMBER(SEARCH("domain architect",$C348)),ISNUMBER(SEARCH("enterprise architect",$C348))),"Domain Architect",IF(ISNUMBER(SEARCH("delivery man",$C348)),"Delivery Manager",IF(OR(ISNUMBER(SEARCH("technology manager",$C348)),ISNUMBER(SEARCH("technology manger",$C348)),ISNUMBER(SEARCH("tech manager",$C348))),"Technology Manager","Squad")))))))</f>
        <v>Squad</v>
      </c>
      <c r="AS348" s="1136" t="str">
        <f>IF(TRIM($B348)="","",IFERROR(INDEX(Lists!$AA:$AA,MATCH($AP348,Lists!$Z:$Z,0)),$AP348))</f>
        <v>B2B</v>
      </c>
      <c r="AT348" s="1136" t="str">
        <f>IF(TRIM($B348)="","",IF(IFERROR(INDEX(Lists!$AP$2:$AP$11,MATCH(ROW(),Lists!$AN$2:$AN$11,0)),"")&lt;&gt;"",IFERROR(INDEX(Lists!$AP$2:$AP$11,MATCH(ROW(),Lists!$AN$2:$AN$11,0)),""),IF(OR(LEFT($AJ348,3)="COE",$AJ348="EGI"),$AP348,IF($AR348&lt;&gt;"Squad",$AR348,$AP348))))</f>
        <v>B2B</v>
      </c>
    </row>
    <row r="349" ht="18" customHeight="1" s="866">
      <c r="A349" s="1155" t="n">
        <v>101539</v>
      </c>
      <c r="B349" s="1156" t="inlineStr">
        <is>
          <t>Breanna Hua</t>
        </is>
      </c>
      <c r="C349" s="1156" t="inlineStr">
        <is>
          <t>Systems Analyst</t>
        </is>
      </c>
      <c r="D349" s="1156" t="inlineStr">
        <is>
          <t>Karla Orozco Loza</t>
        </is>
      </c>
      <c r="E349" s="1156" t="inlineStr">
        <is>
          <t>Technology Manager, Future Infrastructure</t>
        </is>
      </c>
      <c r="F349" s="1157" t="inlineStr">
        <is>
          <t>TDD CFE&amp;I</t>
        </is>
      </c>
      <c r="G349" s="1158" t="inlineStr">
        <is>
          <t>Fuel Infrastructure</t>
        </is>
      </c>
      <c r="H349" s="1158" t="inlineStr">
        <is>
          <t>Fuel Infrastructure</t>
        </is>
      </c>
      <c r="I349" s="1158" t="inlineStr">
        <is>
          <t>Infrastructure</t>
        </is>
      </c>
      <c r="J349" s="1158" t="inlineStr">
        <is>
          <t>Distribution</t>
        </is>
      </c>
      <c r="K349" s="1156" t="inlineStr">
        <is>
          <t>Distribution, Sales &amp; Services</t>
        </is>
      </c>
      <c r="L349" s="1158" t="n"/>
      <c r="M349" s="1159" t="inlineStr">
        <is>
          <t>Australia</t>
        </is>
      </c>
      <c r="N349" s="1160" t="inlineStr">
        <is>
          <t>CIA</t>
        </is>
      </c>
      <c r="O349" s="1160" t="n">
        <v>1</v>
      </c>
      <c r="P349" s="1160" t="n"/>
      <c r="Q349" s="1160" t="inlineStr">
        <is>
          <t>Permanent - Full Time</t>
        </is>
      </c>
      <c r="R349" s="1162" t="n"/>
      <c r="S349" s="1162" t="n"/>
      <c r="T349" s="1163" t="n">
        <v>127110</v>
      </c>
      <c r="U349" s="1164" t="n">
        <v>127110</v>
      </c>
      <c r="V349" s="1166" t="n">
        <v>0.1</v>
      </c>
      <c r="W349" s="1170" t="n">
        <v>0.055</v>
      </c>
      <c r="X349" s="1170" t="n">
        <v>0.12</v>
      </c>
      <c r="Y349" s="1171" t="n"/>
      <c r="Z349" s="1170" t="n">
        <v>0.04</v>
      </c>
      <c r="AA349" s="1168">
        <f>IF(TRIM($B349)="","",IF(N($AU349)&gt;0,$AU349,IF(N($S349)&gt;0,$S349*Lists!$AG$15*(1+N($Z349)),N($U349)*(1+N($V349)+N($W349)+N($X349)+N($Z349))+N($Y349))))</f>
        <v>167149.65</v>
      </c>
      <c r="AJ349" s="865" t="str">
        <f>IF(TRIM($B349)="","",IF(IFERROR(INDEX(Lists!$AO$2:$AO$11,MATCH(ROW(),Lists!$AN$2:$AN$11,0)),"")&lt;&gt;"",IFERROR(INDEX(Lists!$AO$2:$AO$11,MATCH(ROW(),Lists!$AN$2:$AN$11,0)),""),IFERROR(INDEX(Lists!$U:$U,MATCH(TRIM($I349),Lists!$T:$T,0)),TRIM($I349))))</f>
        <v>Infrastructure</v>
      </c>
      <c r="AK349" s="865" t="str">
        <f>IF(ISNUMBER(SEARCH("vacant",$B349)),"Vacant","Filled")</f>
        <v>Filled</v>
      </c>
      <c r="AL349" s="865" t="str">
        <f>IF($M349="NZ","NZ","AU")</f>
        <v>AU</v>
      </c>
      <c r="AM349" s="865">
        <f>COUNTIF($AJ$2:$AJ349,$AJ349)</f>
        <v>6</v>
      </c>
      <c r="AN349" s="865" t="str">
        <f>$AJ349&amp;"|"&amp;$AM349</f>
        <v>Infrastructure|6</v>
      </c>
      <c r="AP349" s="865" t="str">
        <f>IF(TRIM($B349)="","",IF($AQ349=1,"Leadership",IFERROR(INDEX(Lists!$X:$X,MATCH(TRIM($K349),Lists!$W:$W,0)),IF(OR(TRIM($K349)="",LOWER(TRIM($K349))="na"),IF(TRIM($G349)="","Unassigned",TRIM($G349)),TRIM($K349)))))</f>
        <v>Distribution, Sales &amp; Services</v>
      </c>
      <c r="AQ349" s="865" t="b">
        <f>IF(TRIM($B349)="","",--OR(TRIM($K349)="Leadership",TRIM($J349)="Leadership"))</f>
        <v>0</v>
      </c>
      <c r="AR349" s="1136" t="str">
        <f>IF(TRIM($B349)="","",IF(IFERROR(INDEX(Lists!$AQ$2:$AQ$11,MATCH(ROW(),Lists!$AN$2:$AN$11,0)),"")&lt;&gt;"",IFERROR(INDEX(Lists!$AQ$2:$AQ$11,MATCH(ROW(),Lists!$AN$2:$AN$11,0)),""),IF(ISNUMBER(SEARCH("head of ",$C349)),"Head of Technology",IF(ISNUMBER(SEARCH("TDD BP",$C349)),"Business Partner",IF(OR(ISNUMBER(SEARCH("domain architect",$C349)),ISNUMBER(SEARCH("enterprise architect",$C349))),"Domain Architect",IF(ISNUMBER(SEARCH("delivery man",$C349)),"Delivery Manager",IF(OR(ISNUMBER(SEARCH("technology manager",$C349)),ISNUMBER(SEARCH("technology manger",$C349)),ISNUMBER(SEARCH("tech manager",$C349))),"Technology Manager","Squad")))))))</f>
        <v>Squad</v>
      </c>
      <c r="AS349" s="1136" t="str">
        <f>IF(TRIM($B349)="","",IFERROR(INDEX(Lists!$AA:$AA,MATCH($AP349,Lists!$Z:$Z,0)),$AP349))</f>
        <v>Distribution, Sales &amp; Services</v>
      </c>
      <c r="AT349" s="1136" t="str">
        <f>IF(TRIM($B349)="","",IF(IFERROR(INDEX(Lists!$AP$2:$AP$11,MATCH(ROW(),Lists!$AN$2:$AN$11,0)),"")&lt;&gt;"",IFERROR(INDEX(Lists!$AP$2:$AP$11,MATCH(ROW(),Lists!$AN$2:$AN$11,0)),""),IF(OR(LEFT($AJ349,3)="COE",$AJ349="EGI"),$AP349,IF($AR349&lt;&gt;"Squad",$AR349,$AP349))))</f>
        <v>Distribution, Sales &amp; Services</v>
      </c>
    </row>
    <row r="350" ht="18" customHeight="1" s="866">
      <c r="A350" s="1155" t="n">
        <v>97284</v>
      </c>
      <c r="B350" s="1156" t="inlineStr">
        <is>
          <t>Byron Leung</t>
        </is>
      </c>
      <c r="C350" s="1156" t="inlineStr">
        <is>
          <t>Solution Architect</t>
        </is>
      </c>
      <c r="D350" s="1158" t="inlineStr">
        <is>
          <t>Vacant</t>
        </is>
      </c>
      <c r="E350" s="1156" t="inlineStr">
        <is>
          <t>Technology Manager, Engineering</t>
        </is>
      </c>
      <c r="F350" s="1157" t="inlineStr">
        <is>
          <t>TDD CFE&amp;I</t>
        </is>
      </c>
      <c r="G350" s="1158" t="inlineStr">
        <is>
          <t>Commercial Fuels</t>
        </is>
      </c>
      <c r="H350" s="1158" t="inlineStr">
        <is>
          <t>Technology, CF Engineering</t>
        </is>
      </c>
      <c r="I350" s="1158" t="inlineStr">
        <is>
          <t>Commercial Fuels</t>
        </is>
      </c>
      <c r="J350" s="1156" t="inlineStr">
        <is>
          <t>CTRM</t>
        </is>
      </c>
      <c r="K350" s="1156" t="inlineStr">
        <is>
          <t>CTRM</t>
        </is>
      </c>
      <c r="L350" s="1158" t="n"/>
      <c r="M350" s="1159" t="inlineStr">
        <is>
          <t>Australia</t>
        </is>
      </c>
      <c r="N350" s="1160" t="inlineStr">
        <is>
          <t>CIC</t>
        </is>
      </c>
      <c r="O350" s="1160" t="n">
        <v>1</v>
      </c>
      <c r="P350" s="1160" t="n"/>
      <c r="Q350" s="1160" t="inlineStr">
        <is>
          <t>Permanent - Full Time</t>
        </is>
      </c>
      <c r="R350" s="1162" t="n"/>
      <c r="S350" s="1162" t="n"/>
      <c r="T350" s="1163" t="n">
        <v>207470</v>
      </c>
      <c r="U350" s="1164" t="n">
        <v>207470</v>
      </c>
      <c r="V350" s="1166" t="n">
        <v>0.12</v>
      </c>
      <c r="W350" s="1170" t="n">
        <v>0.055</v>
      </c>
      <c r="X350" s="1170" t="n">
        <v>0.12</v>
      </c>
      <c r="Y350" s="1171" t="n"/>
      <c r="Z350" s="1170" t="n">
        <v>0.04</v>
      </c>
      <c r="AA350" s="1168">
        <f>IF(TRIM($B350)="","",IF(N($AU350)&gt;0,$AU350,IF(N($S350)&gt;0,$S350*Lists!$AG$15*(1+N($Z350)),N($U350)*(1+N($V350)+N($W350)+N($X350)+N($Z350))+N($Y350))))</f>
        <v>276972.45</v>
      </c>
      <c r="AJ350" s="865" t="str">
        <f>IF(TRIM($B350)="","",IF(IFERROR(INDEX(Lists!$AO$2:$AO$11,MATCH(ROW(),Lists!$AN$2:$AN$11,0)),"")&lt;&gt;"",IFERROR(INDEX(Lists!$AO$2:$AO$11,MATCH(ROW(),Lists!$AN$2:$AN$11,0)),""),IFERROR(INDEX(Lists!$U:$U,MATCH(TRIM($I350),Lists!$T:$T,0)),TRIM($I350))))</f>
        <v>Commercial Fuels</v>
      </c>
      <c r="AK350" s="865" t="str">
        <f>IF(ISNUMBER(SEARCH("vacant",$B350)),"Vacant","Filled")</f>
        <v>Filled</v>
      </c>
      <c r="AL350" s="865" t="str">
        <f>IF($M350="NZ","NZ","AU")</f>
        <v>AU</v>
      </c>
      <c r="AM350" s="865">
        <f>COUNTIF($AJ$2:$AJ350,$AJ350)</f>
        <v>7</v>
      </c>
      <c r="AN350" s="865" t="str">
        <f>$AJ350&amp;"|"&amp;$AM350</f>
        <v>Commercial Fuels|7</v>
      </c>
      <c r="AP350" s="865" t="str">
        <f>IF(TRIM($B350)="","",IF($AQ350=1,"Leadership",IFERROR(INDEX(Lists!$X:$X,MATCH(TRIM($K350),Lists!$W:$W,0)),IF(OR(TRIM($K350)="",LOWER(TRIM($K350))="na"),IF(TRIM($G350)="","Unassigned",TRIM($G350)),TRIM($K350)))))</f>
        <v>CTRM</v>
      </c>
      <c r="AQ350" s="865" t="b">
        <f>IF(TRIM($B350)="","",--OR(TRIM($K350)="Leadership",TRIM($J350)="Leadership"))</f>
        <v>0</v>
      </c>
      <c r="AR350" s="1136" t="str">
        <f>IF(TRIM($B350)="","",IF(IFERROR(INDEX(Lists!$AQ$2:$AQ$11,MATCH(ROW(),Lists!$AN$2:$AN$11,0)),"")&lt;&gt;"",IFERROR(INDEX(Lists!$AQ$2:$AQ$11,MATCH(ROW(),Lists!$AN$2:$AN$11,0)),""),IF(ISNUMBER(SEARCH("head of ",$C350)),"Head of Technology",IF(ISNUMBER(SEARCH("TDD BP",$C350)),"Business Partner",IF(OR(ISNUMBER(SEARCH("domain architect",$C350)),ISNUMBER(SEARCH("enterprise architect",$C350))),"Domain Architect",IF(ISNUMBER(SEARCH("delivery man",$C350)),"Delivery Manager",IF(OR(ISNUMBER(SEARCH("technology manager",$C350)),ISNUMBER(SEARCH("technology manger",$C350)),ISNUMBER(SEARCH("tech manager",$C350))),"Technology Manager","Squad")))))))</f>
        <v>Squad</v>
      </c>
      <c r="AS350" s="1136" t="str">
        <f>IF(TRIM($B350)="","",IFERROR(INDEX(Lists!$AA:$AA,MATCH($AP350,Lists!$Z:$Z,0)),$AP350))</f>
        <v>CTRM</v>
      </c>
      <c r="AT350" s="1136" t="str">
        <f>IF(TRIM($B350)="","",IF(IFERROR(INDEX(Lists!$AP$2:$AP$11,MATCH(ROW(),Lists!$AN$2:$AN$11,0)),"")&lt;&gt;"",IFERROR(INDEX(Lists!$AP$2:$AP$11,MATCH(ROW(),Lists!$AN$2:$AN$11,0)),""),IF(OR(LEFT($AJ350,3)="COE",$AJ350="EGI"),$AP350,IF($AR350&lt;&gt;"Squad",$AR350,$AP350))))</f>
        <v>CTRM</v>
      </c>
    </row>
    <row r="351" ht="18" customHeight="1" s="866">
      <c r="A351" s="1155" t="n">
        <v>99999101505</v>
      </c>
      <c r="B351" s="1156" t="inlineStr">
        <is>
          <t>Caitlin Dyas</t>
        </is>
      </c>
      <c r="C351" s="1156" t="inlineStr">
        <is>
          <t>Snr Engineer Software</t>
        </is>
      </c>
      <c r="D351" s="1158" t="inlineStr">
        <is>
          <t>Vacant</t>
        </is>
      </c>
      <c r="E351" s="1156" t="inlineStr">
        <is>
          <t>Technology Manager, Energy Solutions</t>
        </is>
      </c>
      <c r="F351" s="1157" t="inlineStr">
        <is>
          <t>TDD CFE&amp;I</t>
        </is>
      </c>
      <c r="G351" s="1158" t="inlineStr">
        <is>
          <t>B2B &amp; Energy Solutions</t>
        </is>
      </c>
      <c r="H351" s="1158" t="inlineStr">
        <is>
          <t>Technology Energy Solutions</t>
        </is>
      </c>
      <c r="I351" s="1180" t="inlineStr">
        <is>
          <t>B2B &amp; Energy Solutions</t>
        </is>
      </c>
      <c r="J351" s="1158" t="inlineStr">
        <is>
          <t>Energy Solutions</t>
        </is>
      </c>
      <c r="K351" s="1156" t="inlineStr">
        <is>
          <t>EVCI</t>
        </is>
      </c>
      <c r="L351" s="1158" t="n"/>
      <c r="M351" s="1159" t="inlineStr">
        <is>
          <t>NZ</t>
        </is>
      </c>
      <c r="N351" s="1160" t="inlineStr">
        <is>
          <t>CIB</t>
        </is>
      </c>
      <c r="O351" s="1161" t="n">
        <v>1</v>
      </c>
      <c r="P351" s="1160" t="n"/>
      <c r="Q351" s="1161" t="inlineStr">
        <is>
          <t>Permanent - Full Time</t>
        </is>
      </c>
      <c r="R351" s="1162" t="n"/>
      <c r="S351" s="1162" t="n"/>
      <c r="T351" s="1163" t="n">
        <v>125000</v>
      </c>
      <c r="U351" s="1164" t="n">
        <v>115000</v>
      </c>
      <c r="V351" s="1165" t="n">
        <v>0.15</v>
      </c>
      <c r="W351" s="1161" t="n"/>
      <c r="X351" s="1166" t="n">
        <v>0.05</v>
      </c>
      <c r="Y351" s="1907" t="n">
        <v>2910</v>
      </c>
      <c r="Z351" s="1166" t="n">
        <v>0.03</v>
      </c>
      <c r="AA351" s="1168">
        <f>IF(TRIM($B351)="","",IF(N($AU351)&gt;0,$AU351,IF(N($S351)&gt;0,$S351*Lists!$AG$15*(1+N($Z351)),N($U351)*(1+N($V351)+N($W351)+N($X351)+N($Z351))+N($Y351))))</f>
        <v>144360</v>
      </c>
      <c r="AJ351" s="865" t="str">
        <f>IF(TRIM($B351)="","",IF(IFERROR(INDEX(Lists!$AO$2:$AO$11,MATCH(ROW(),Lists!$AN$2:$AN$11,0)),"")&lt;&gt;"",IFERROR(INDEX(Lists!$AO$2:$AO$11,MATCH(ROW(),Lists!$AN$2:$AN$11,0)),""),IFERROR(INDEX(Lists!$U:$U,MATCH(TRIM($I351),Lists!$T:$T,0)),TRIM($I351))))</f>
        <v>Energy Solutions &amp; B2B</v>
      </c>
      <c r="AK351" s="865" t="str">
        <f>IF(ISNUMBER(SEARCH("vacant",$B351)),"Vacant","Filled")</f>
        <v>Filled</v>
      </c>
      <c r="AL351" s="865" t="str">
        <f>IF($M351="NZ","NZ","AU")</f>
        <v>NZ</v>
      </c>
      <c r="AM351" s="865">
        <f>COUNTIF($AJ$2:$AJ351,$AJ351)</f>
        <v>6</v>
      </c>
      <c r="AN351" s="865" t="str">
        <f>$AJ351&amp;"|"&amp;$AM351</f>
        <v>Energy Solutions &amp; B2B|6</v>
      </c>
      <c r="AP351" s="865" t="str">
        <f>IF(TRIM($B351)="","",IF($AQ351=1,"Leadership",IFERROR(INDEX(Lists!$X:$X,MATCH(TRIM($K351),Lists!$W:$W,0)),IF(OR(TRIM($K351)="",LOWER(TRIM($K351))="na"),IF(TRIM($G351)="","Unassigned",TRIM($G351)),TRIM($K351)))))</f>
        <v>EVCI</v>
      </c>
      <c r="AQ351" s="865" t="b">
        <f>IF(TRIM($B351)="","",--OR(TRIM($K351)="Leadership",TRIM($J351)="Leadership"))</f>
        <v>0</v>
      </c>
      <c r="AR351" s="1136" t="str">
        <f>IF(TRIM($B351)="","",IF(IFERROR(INDEX(Lists!$AQ$2:$AQ$11,MATCH(ROW(),Lists!$AN$2:$AN$11,0)),"")&lt;&gt;"",IFERROR(INDEX(Lists!$AQ$2:$AQ$11,MATCH(ROW(),Lists!$AN$2:$AN$11,0)),""),IF(ISNUMBER(SEARCH("head of ",$C351)),"Head of Technology",IF(ISNUMBER(SEARCH("TDD BP",$C351)),"Business Partner",IF(OR(ISNUMBER(SEARCH("domain architect",$C351)),ISNUMBER(SEARCH("enterprise architect",$C351))),"Domain Architect",IF(ISNUMBER(SEARCH("delivery man",$C351)),"Delivery Manager",IF(OR(ISNUMBER(SEARCH("technology manager",$C351)),ISNUMBER(SEARCH("technology manger",$C351)),ISNUMBER(SEARCH("tech manager",$C351))),"Technology Manager","Squad")))))))</f>
        <v>Squad</v>
      </c>
      <c r="AS351" s="1136" t="str">
        <f>IF(TRIM($B351)="","",IFERROR(INDEX(Lists!$AA:$AA,MATCH($AP351,Lists!$Z:$Z,0)),$AP351))</f>
        <v>EVCI</v>
      </c>
      <c r="AT351" s="1136" t="str">
        <f>IF(TRIM($B351)="","",IF(IFERROR(INDEX(Lists!$AP$2:$AP$11,MATCH(ROW(),Lists!$AN$2:$AN$11,0)),"")&lt;&gt;"",IFERROR(INDEX(Lists!$AP$2:$AP$11,MATCH(ROW(),Lists!$AN$2:$AN$11,0)),""),IF(OR(LEFT($AJ351,3)="COE",$AJ351="EGI"),$AP351,IF($AR351&lt;&gt;"Squad",$AR351,$AP351))))</f>
        <v>EVCI</v>
      </c>
    </row>
    <row r="352" ht="18" customHeight="1" s="866">
      <c r="A352" s="1155" t="n">
        <v>99999101895</v>
      </c>
      <c r="B352" s="1156" t="inlineStr">
        <is>
          <t>Caitlin Naylor</t>
        </is>
      </c>
      <c r="C352" s="1156" t="inlineStr">
        <is>
          <t>Associate Engineer- Software</t>
        </is>
      </c>
      <c r="D352" s="1158" t="inlineStr">
        <is>
          <t>Vacant</t>
        </is>
      </c>
      <c r="E352" s="1156" t="inlineStr">
        <is>
          <t>Technology Manager, Energy Solutions</t>
        </is>
      </c>
      <c r="F352" s="1157" t="inlineStr">
        <is>
          <t>TDD CFE&amp;I</t>
        </is>
      </c>
      <c r="G352" s="1158" t="inlineStr">
        <is>
          <t>B2B &amp; Energy Solutions</t>
        </is>
      </c>
      <c r="H352" s="1158" t="inlineStr">
        <is>
          <t>Technology Energy Solutions</t>
        </is>
      </c>
      <c r="I352" s="1158" t="inlineStr">
        <is>
          <t>B2B &amp; Energy Solutions</t>
        </is>
      </c>
      <c r="J352" s="1158" t="inlineStr">
        <is>
          <t>Energy Solutions</t>
        </is>
      </c>
      <c r="K352" s="1156" t="inlineStr">
        <is>
          <t>Energy</t>
        </is>
      </c>
      <c r="L352" s="1158" t="n"/>
      <c r="M352" s="1159" t="inlineStr">
        <is>
          <t>NZ</t>
        </is>
      </c>
      <c r="N352" s="1160" t="inlineStr">
        <is>
          <t>CDA</t>
        </is>
      </c>
      <c r="O352" s="1161" t="n">
        <v>1</v>
      </c>
      <c r="P352" s="1160" t="n"/>
      <c r="Q352" s="1161" t="inlineStr">
        <is>
          <t>Permanent - Full Time</t>
        </is>
      </c>
      <c r="R352" s="1162" t="n"/>
      <c r="S352" s="1162" t="n"/>
      <c r="T352" s="1163" t="n">
        <v>77860</v>
      </c>
      <c r="U352" s="1164" t="n">
        <v>71631.2</v>
      </c>
      <c r="V352" s="1165" t="n">
        <v>0.1</v>
      </c>
      <c r="W352" s="1161" t="n"/>
      <c r="X352" s="1166" t="n">
        <v>0.05</v>
      </c>
      <c r="Y352" s="1907" t="n">
        <v>2910</v>
      </c>
      <c r="Z352" s="1166" t="n">
        <v>0.03</v>
      </c>
      <c r="AA352" s="1168">
        <f>IF(TRIM($B352)="","",IF(N($AU352)&gt;0,$AU352,IF(N($S352)&gt;0,$S352*Lists!$AG$15*(1+N($Z352)),N($U352)*(1+N($V352)+N($W352)+N($X352)+N($Z352))+N($Y352))))</f>
        <v>87434.816</v>
      </c>
      <c r="AJ352" s="865" t="str">
        <f>IF(TRIM($B352)="","",IF(IFERROR(INDEX(Lists!$AO$2:$AO$11,MATCH(ROW(),Lists!$AN$2:$AN$11,0)),"")&lt;&gt;"",IFERROR(INDEX(Lists!$AO$2:$AO$11,MATCH(ROW(),Lists!$AN$2:$AN$11,0)),""),IFERROR(INDEX(Lists!$U:$U,MATCH(TRIM($I352),Lists!$T:$T,0)),TRIM($I352))))</f>
        <v>Energy Solutions &amp; B2B</v>
      </c>
      <c r="AK352" s="865" t="str">
        <f>IF(ISNUMBER(SEARCH("vacant",$B352)),"Vacant","Filled")</f>
        <v>Filled</v>
      </c>
      <c r="AL352" s="865" t="str">
        <f>IF($M352="NZ","NZ","AU")</f>
        <v>NZ</v>
      </c>
      <c r="AM352" s="865">
        <f>COUNTIF($AJ$2:$AJ352,$AJ352)</f>
        <v>7</v>
      </c>
      <c r="AN352" s="865" t="str">
        <f>$AJ352&amp;"|"&amp;$AM352</f>
        <v>Energy Solutions &amp; B2B|7</v>
      </c>
      <c r="AP352" s="865" t="str">
        <f>IF(TRIM($B352)="","",IF($AQ352=1,"Leadership",IFERROR(INDEX(Lists!$X:$X,MATCH(TRIM($K352),Lists!$W:$W,0)),IF(OR(TRIM($K352)="",LOWER(TRIM($K352))="na"),IF(TRIM($G352)="","Unassigned",TRIM($G352)),TRIM($K352)))))</f>
        <v>Energy</v>
      </c>
      <c r="AQ352" s="865" t="b">
        <f>IF(TRIM($B352)="","",--OR(TRIM($K352)="Leadership",TRIM($J352)="Leadership"))</f>
        <v>0</v>
      </c>
      <c r="AR352" s="1136" t="str">
        <f>IF(TRIM($B352)="","",IF(IFERROR(INDEX(Lists!$AQ$2:$AQ$11,MATCH(ROW(),Lists!$AN$2:$AN$11,0)),"")&lt;&gt;"",IFERROR(INDEX(Lists!$AQ$2:$AQ$11,MATCH(ROW(),Lists!$AN$2:$AN$11,0)),""),IF(ISNUMBER(SEARCH("head of ",$C352)),"Head of Technology",IF(ISNUMBER(SEARCH("TDD BP",$C352)),"Business Partner",IF(OR(ISNUMBER(SEARCH("domain architect",$C352)),ISNUMBER(SEARCH("enterprise architect",$C352))),"Domain Architect",IF(ISNUMBER(SEARCH("delivery man",$C352)),"Delivery Manager",IF(OR(ISNUMBER(SEARCH("technology manager",$C352)),ISNUMBER(SEARCH("technology manger",$C352)),ISNUMBER(SEARCH("tech manager",$C352))),"Technology Manager","Squad")))))))</f>
        <v>Squad</v>
      </c>
      <c r="AS352" s="1136" t="str">
        <f>IF(TRIM($B352)="","",IFERROR(INDEX(Lists!$AA:$AA,MATCH($AP352,Lists!$Z:$Z,0)),$AP352))</f>
        <v>Energy</v>
      </c>
      <c r="AT352" s="1136" t="str">
        <f>IF(TRIM($B352)="","",IF(IFERROR(INDEX(Lists!$AP$2:$AP$11,MATCH(ROW(),Lists!$AN$2:$AN$11,0)),"")&lt;&gt;"",IFERROR(INDEX(Lists!$AP$2:$AP$11,MATCH(ROW(),Lists!$AN$2:$AN$11,0)),""),IF(OR(LEFT($AJ352,3)="COE",$AJ352="EGI"),$AP352,IF($AR352&lt;&gt;"Squad",$AR352,$AP352))))</f>
        <v>Energy</v>
      </c>
    </row>
    <row r="353" ht="18" customHeight="1" s="866">
      <c r="A353" s="1155" t="n">
        <v>106404</v>
      </c>
      <c r="B353" s="1156" t="inlineStr">
        <is>
          <t>Carl Russo</t>
        </is>
      </c>
      <c r="C353" s="1156" t="inlineStr">
        <is>
          <t>Program Manager - CTRM</t>
        </is>
      </c>
      <c r="D353" s="1156" t="inlineStr">
        <is>
          <t>Roanne Steele</t>
        </is>
      </c>
      <c r="E353" s="1156" t="inlineStr">
        <is>
          <t>GM TDD, CFE&amp;I</t>
        </is>
      </c>
      <c r="F353" s="1157" t="inlineStr">
        <is>
          <t>TDD CFE&amp;I</t>
        </is>
      </c>
      <c r="G353" s="1158" t="inlineStr">
        <is>
          <t>Leadership</t>
        </is>
      </c>
      <c r="H353" s="1158" t="inlineStr">
        <is>
          <t>Leadership</t>
        </is>
      </c>
      <c r="I353" s="1158" t="inlineStr">
        <is>
          <t>Commercial Fuels</t>
        </is>
      </c>
      <c r="J353" s="1158" t="inlineStr">
        <is>
          <t>CTRM</t>
        </is>
      </c>
      <c r="K353" s="1156" t="inlineStr">
        <is>
          <t>CTRM</t>
        </is>
      </c>
      <c r="L353" s="1158" t="n"/>
      <c r="M353" s="1159" t="inlineStr">
        <is>
          <t>Australia</t>
        </is>
      </c>
      <c r="N353" s="1160" t="inlineStr">
        <is>
          <t>CSB</t>
        </is>
      </c>
      <c r="O353" s="1160" t="n">
        <v>1</v>
      </c>
      <c r="P353" s="1160" t="n"/>
      <c r="Q353" s="1160" t="inlineStr">
        <is>
          <t>Permanent - Full Time</t>
        </is>
      </c>
      <c r="R353" s="1162" t="n"/>
      <c r="S353" s="1162" t="n"/>
      <c r="T353" s="1163" t="n">
        <v>238890</v>
      </c>
      <c r="U353" s="1164" t="n">
        <v>238890</v>
      </c>
      <c r="V353" s="1166" t="n">
        <v>0.14</v>
      </c>
      <c r="W353" s="1170" t="n">
        <v>0.055</v>
      </c>
      <c r="X353" s="1170" t="n">
        <v>0.12</v>
      </c>
      <c r="Y353" s="1171" t="n"/>
      <c r="Z353" s="1170" t="n">
        <v>0.04</v>
      </c>
      <c r="AA353" s="1168">
        <f>IF(TRIM($B353)="","",IF(N($AU353)&gt;0,$AU353,IF(N($S353)&gt;0,$S353*Lists!$AG$15*(1+N($Z353)),N($U353)*(1+N($V353)+N($W353)+N($X353)+N($Z353))+N($Y353))))</f>
        <v>323695.95</v>
      </c>
      <c r="AJ353" s="865" t="str">
        <f>IF(TRIM($B353)="","",IF(IFERROR(INDEX(Lists!$AO$2:$AO$11,MATCH(ROW(),Lists!$AN$2:$AN$11,0)),"")&lt;&gt;"",IFERROR(INDEX(Lists!$AO$2:$AO$11,MATCH(ROW(),Lists!$AN$2:$AN$11,0)),""),IFERROR(INDEX(Lists!$U:$U,MATCH(TRIM($I353),Lists!$T:$T,0)),TRIM($I353))))</f>
        <v>Commercial Fuels</v>
      </c>
      <c r="AK353" s="865" t="str">
        <f>IF(ISNUMBER(SEARCH("vacant",$B353)),"Vacant","Filled")</f>
        <v>Filled</v>
      </c>
      <c r="AL353" s="865" t="str">
        <f>IF($M353="NZ","NZ","AU")</f>
        <v>AU</v>
      </c>
      <c r="AM353" s="865">
        <f>COUNTIF($AJ$2:$AJ353,$AJ353)</f>
        <v>8</v>
      </c>
      <c r="AN353" s="865" t="str">
        <f>$AJ353&amp;"|"&amp;$AM353</f>
        <v>Commercial Fuels|8</v>
      </c>
      <c r="AP353" s="1136" t="str">
        <f>IF(TRIM($B353)="","",IF($AQ353=1,"Leadership",IFERROR(INDEX(Lists!$X:$X,MATCH(TRIM($K353),Lists!$W:$W,0)),IF(OR(TRIM($K353)="",LOWER(TRIM($K353))="na"),IF(TRIM($G353)="","Unassigned",TRIM($G353)),TRIM($K353)))))</f>
        <v>CTRM</v>
      </c>
      <c r="AQ353" s="865" t="b">
        <f>IF(TRIM($B353)="","",--OR(TRIM($K353)="Leadership",TRIM($J353)="Leadership"))</f>
        <v>0</v>
      </c>
      <c r="AR353" s="1136" t="str">
        <f>IF(TRIM($B353)="","",IF(IFERROR(INDEX(Lists!$AQ$2:$AQ$11,MATCH(ROW(),Lists!$AN$2:$AN$11,0)),"")&lt;&gt;"",IFERROR(INDEX(Lists!$AQ$2:$AQ$11,MATCH(ROW(),Lists!$AN$2:$AN$11,0)),""),IF(ISNUMBER(SEARCH("head of ",$C353)),"Head of Technology",IF(ISNUMBER(SEARCH("TDD BP",$C353)),"Business Partner",IF(OR(ISNUMBER(SEARCH("domain architect",$C353)),ISNUMBER(SEARCH("enterprise architect",$C353))),"Domain Architect",IF(ISNUMBER(SEARCH("delivery man",$C353)),"Delivery Manager",IF(OR(ISNUMBER(SEARCH("technology manager",$C353)),ISNUMBER(SEARCH("technology manger",$C353)),ISNUMBER(SEARCH("tech manager",$C353))),"Technology Manager","Squad")))))))</f>
        <v>Squad</v>
      </c>
      <c r="AS353" s="1136" t="str">
        <f>IF(TRIM($B353)="","",IFERROR(INDEX(Lists!$AA:$AA,MATCH($AP353,Lists!$Z:$Z,0)),$AP353))</f>
        <v>CTRM</v>
      </c>
      <c r="AT353" s="1136" t="str">
        <f>IF(TRIM($B353)="","",IF(IFERROR(INDEX(Lists!$AP$2:$AP$11,MATCH(ROW(),Lists!$AN$2:$AN$11,0)),"")&lt;&gt;"",IFERROR(INDEX(Lists!$AP$2:$AP$11,MATCH(ROW(),Lists!$AN$2:$AN$11,0)),""),IF(OR(LEFT($AJ353,3)="COE",$AJ353="EGI"),$AP353,IF($AR353&lt;&gt;"Squad",$AR353,$AP353))))</f>
        <v>CTRM</v>
      </c>
    </row>
    <row r="354" ht="18" customHeight="1" s="866">
      <c r="A354" s="1155" t="n">
        <v>99999101013</v>
      </c>
      <c r="B354" s="1156" t="inlineStr">
        <is>
          <t>Chantal Lynch</t>
        </is>
      </c>
      <c r="C354" s="1156" t="inlineStr">
        <is>
          <t>Lead Quality Assurance</t>
        </is>
      </c>
      <c r="D354" s="1158" t="inlineStr">
        <is>
          <t>Vacant</t>
        </is>
      </c>
      <c r="E354" s="1156" t="inlineStr">
        <is>
          <t>Technology Manager, Engineering</t>
        </is>
      </c>
      <c r="F354" s="1157" t="inlineStr">
        <is>
          <t>TDD CFE&amp;I</t>
        </is>
      </c>
      <c r="G354" s="1158" t="inlineStr">
        <is>
          <t>Commercial Fuels</t>
        </is>
      </c>
      <c r="H354" s="1158" t="inlineStr">
        <is>
          <t>Technology, CF Engineering</t>
        </is>
      </c>
      <c r="I354" s="1158" t="inlineStr">
        <is>
          <t>Commercial Fuels</t>
        </is>
      </c>
      <c r="J354" s="1156" t="inlineStr">
        <is>
          <t>CTRM</t>
        </is>
      </c>
      <c r="K354" s="1156" t="inlineStr">
        <is>
          <t>CTRM</t>
        </is>
      </c>
      <c r="L354" s="1158" t="n"/>
      <c r="M354" s="1159" t="inlineStr">
        <is>
          <t>NZ</t>
        </is>
      </c>
      <c r="N354" s="1160" t="inlineStr">
        <is>
          <t>CIC</t>
        </is>
      </c>
      <c r="O354" s="1161" t="n">
        <v>1</v>
      </c>
      <c r="P354" s="1160" t="n"/>
      <c r="Q354" s="1161" t="inlineStr">
        <is>
          <t>Permanent - Full Time</t>
        </is>
      </c>
      <c r="R354" s="1162" t="n"/>
      <c r="S354" s="1162" t="n"/>
      <c r="T354" s="1163" t="n">
        <v>157060</v>
      </c>
      <c r="U354" s="1164" t="n">
        <v>144495.2</v>
      </c>
      <c r="V354" s="1165" t="n">
        <v>0.15</v>
      </c>
      <c r="W354" s="1161" t="n"/>
      <c r="X354" s="1166" t="n">
        <v>0.05</v>
      </c>
      <c r="Y354" s="1907" t="n">
        <v>2910</v>
      </c>
      <c r="Z354" s="1166" t="n">
        <v>0.03</v>
      </c>
      <c r="AA354" s="1168">
        <f>IF(TRIM($B354)="","",IF(N($AU354)&gt;0,$AU354,IF(N($S354)&gt;0,$S354*Lists!$AG$15*(1+N($Z354)),N($U354)*(1+N($V354)+N($W354)+N($X354)+N($Z354))+N($Y354))))</f>
        <v>180639.096</v>
      </c>
      <c r="AJ354" s="865" t="str">
        <f>IF(TRIM($B354)="","",IF(IFERROR(INDEX(Lists!$AO$2:$AO$11,MATCH(ROW(),Lists!$AN$2:$AN$11,0)),"")&lt;&gt;"",IFERROR(INDEX(Lists!$AO$2:$AO$11,MATCH(ROW(),Lists!$AN$2:$AN$11,0)),""),IFERROR(INDEX(Lists!$U:$U,MATCH(TRIM($I354),Lists!$T:$T,0)),TRIM($I354))))</f>
        <v>Commercial Fuels</v>
      </c>
      <c r="AK354" s="865" t="str">
        <f>IF(ISNUMBER(SEARCH("vacant",$B354)),"Vacant","Filled")</f>
        <v>Filled</v>
      </c>
      <c r="AL354" s="865" t="str">
        <f>IF($M354="NZ","NZ","AU")</f>
        <v>NZ</v>
      </c>
      <c r="AM354" s="865">
        <f>COUNTIF($AJ$2:$AJ354,$AJ354)</f>
        <v>9</v>
      </c>
      <c r="AN354" s="865" t="str">
        <f>$AJ354&amp;"|"&amp;$AM354</f>
        <v>Commercial Fuels|9</v>
      </c>
      <c r="AP354" s="865" t="str">
        <f>IF(TRIM($B354)="","",IF($AQ354=1,"Leadership",IFERROR(INDEX(Lists!$X:$X,MATCH(TRIM($K354),Lists!$W:$W,0)),IF(OR(TRIM($K354)="",LOWER(TRIM($K354))="na"),IF(TRIM($G354)="","Unassigned",TRIM($G354)),TRIM($K354)))))</f>
        <v>CTRM</v>
      </c>
      <c r="AQ354" s="865" t="b">
        <f>IF(TRIM($B354)="","",--OR(TRIM($K354)="Leadership",TRIM($J354)="Leadership"))</f>
        <v>0</v>
      </c>
      <c r="AR354" s="1136" t="str">
        <f>IF(TRIM($B354)="","",IF(IFERROR(INDEX(Lists!$AQ$2:$AQ$11,MATCH(ROW(),Lists!$AN$2:$AN$11,0)),"")&lt;&gt;"",IFERROR(INDEX(Lists!$AQ$2:$AQ$11,MATCH(ROW(),Lists!$AN$2:$AN$11,0)),""),IF(ISNUMBER(SEARCH("head of ",$C354)),"Head of Technology",IF(ISNUMBER(SEARCH("TDD BP",$C354)),"Business Partner",IF(OR(ISNUMBER(SEARCH("domain architect",$C354)),ISNUMBER(SEARCH("enterprise architect",$C354))),"Domain Architect",IF(ISNUMBER(SEARCH("delivery man",$C354)),"Delivery Manager",IF(OR(ISNUMBER(SEARCH("technology manager",$C354)),ISNUMBER(SEARCH("technology manger",$C354)),ISNUMBER(SEARCH("tech manager",$C354))),"Technology Manager","Squad")))))))</f>
        <v>Squad</v>
      </c>
      <c r="AS354" s="1136" t="str">
        <f>IF(TRIM($B354)="","",IFERROR(INDEX(Lists!$AA:$AA,MATCH($AP354,Lists!$Z:$Z,0)),$AP354))</f>
        <v>CTRM</v>
      </c>
      <c r="AT354" s="1136" t="str">
        <f>IF(TRIM($B354)="","",IF(IFERROR(INDEX(Lists!$AP$2:$AP$11,MATCH(ROW(),Lists!$AN$2:$AN$11,0)),"")&lt;&gt;"",IFERROR(INDEX(Lists!$AP$2:$AP$11,MATCH(ROW(),Lists!$AN$2:$AN$11,0)),""),IF(OR(LEFT($AJ354,3)="COE",$AJ354="EGI"),$AP354,IF($AR354&lt;&gt;"Squad",$AR354,$AP354))))</f>
        <v>CTRM</v>
      </c>
    </row>
    <row r="355" ht="18" customHeight="1" s="866">
      <c r="A355" s="1155" t="n">
        <v>106547</v>
      </c>
      <c r="B355" s="1156" t="inlineStr">
        <is>
          <t>Chin Fang Kwek</t>
        </is>
      </c>
      <c r="C355" s="1156" t="inlineStr">
        <is>
          <t>System Analyst</t>
        </is>
      </c>
      <c r="D355" s="1156" t="inlineStr">
        <is>
          <t>Allan Francia</t>
        </is>
      </c>
      <c r="E355" s="1156" t="inlineStr">
        <is>
          <t>Technology Manager, T&amp;S</t>
        </is>
      </c>
      <c r="F355" s="1157" t="inlineStr">
        <is>
          <t>TDD CFE&amp;I</t>
        </is>
      </c>
      <c r="G355" s="1158" t="inlineStr">
        <is>
          <t>Commercial Fuels</t>
        </is>
      </c>
      <c r="H355" s="1158" t="inlineStr">
        <is>
          <t>Technology, Trading &amp; Shipping</t>
        </is>
      </c>
      <c r="I355" s="1158" t="inlineStr">
        <is>
          <t>Commercial Fuels</t>
        </is>
      </c>
      <c r="J355" s="1158" t="inlineStr">
        <is>
          <t>Trading &amp; Shipping</t>
        </is>
      </c>
      <c r="K355" s="1156" t="inlineStr">
        <is>
          <t>Trading &amp; Shipping</t>
        </is>
      </c>
      <c r="L355" s="1158" t="n"/>
      <c r="M355" s="1159" t="inlineStr">
        <is>
          <t>Singapore</t>
        </is>
      </c>
      <c r="N355" s="1160" t="inlineStr">
        <is>
          <t>CIC</t>
        </is>
      </c>
      <c r="O355" s="1160" t="n">
        <v>1</v>
      </c>
      <c r="P355" s="1160" t="n"/>
      <c r="Q355" s="1160" t="inlineStr">
        <is>
          <t>Permanent - Full Time</t>
        </is>
      </c>
      <c r="R355" s="1162" t="n"/>
      <c r="S355" s="1162" t="n"/>
      <c r="T355" s="1163" t="n">
        <v>193688</v>
      </c>
      <c r="U355" s="1164" t="n">
        <v>234362.48</v>
      </c>
      <c r="V355" s="1166" t="n">
        <v>0.25</v>
      </c>
      <c r="W355" s="1162" t="n"/>
      <c r="X355" s="1166" t="n">
        <v>0.17</v>
      </c>
      <c r="Y355" s="1907" t="n">
        <v>3310</v>
      </c>
      <c r="Z355" s="1207" t="n">
        <v>0.045</v>
      </c>
      <c r="AA355" s="1168">
        <f>IF(TRIM($B355)="","",IF(N($AU355)&gt;0,$AU355,IF(N($S355)&gt;0,$S355*Lists!$AG$15*(1+N($Z355)),N($U355)*(1+N($V355)+N($W355)+N($X355)+N($Z355))+N($Y355))))</f>
        <v>346651.0332</v>
      </c>
      <c r="AJ355" s="865" t="str">
        <f>IF(TRIM($B355)="","",IF(IFERROR(INDEX(Lists!$AO$2:$AO$11,MATCH(ROW(),Lists!$AN$2:$AN$11,0)),"")&lt;&gt;"",IFERROR(INDEX(Lists!$AO$2:$AO$11,MATCH(ROW(),Lists!$AN$2:$AN$11,0)),""),IFERROR(INDEX(Lists!$U:$U,MATCH(TRIM($I355),Lists!$T:$T,0)),TRIM($I355))))</f>
        <v>Commercial Fuels</v>
      </c>
      <c r="AK355" s="865" t="str">
        <f>IF(ISNUMBER(SEARCH("vacant",$B355)),"Vacant","Filled")</f>
        <v>Filled</v>
      </c>
      <c r="AL355" s="865" t="str">
        <f>IF($M355="NZ","NZ","AU")</f>
        <v>AU</v>
      </c>
      <c r="AM355" s="865">
        <f>COUNTIF($AJ$2:$AJ355,$AJ355)</f>
        <v>10</v>
      </c>
      <c r="AN355" s="865" t="str">
        <f>$AJ355&amp;"|"&amp;$AM355</f>
        <v>Commercial Fuels|10</v>
      </c>
      <c r="AP355" s="865" t="str">
        <f>IF(TRIM($B355)="","",IF($AQ355=1,"Leadership",IFERROR(INDEX(Lists!$X:$X,MATCH(TRIM($K355),Lists!$W:$W,0)),IF(OR(TRIM($K355)="",LOWER(TRIM($K355))="na"),IF(TRIM($G355)="","Unassigned",TRIM($G355)),TRIM($K355)))))</f>
        <v>Trading &amp; Shipping</v>
      </c>
      <c r="AQ355" s="865" t="b">
        <f>IF(TRIM($B355)="","",--OR(TRIM($K355)="Leadership",TRIM($J355)="Leadership"))</f>
        <v>0</v>
      </c>
      <c r="AR355" s="1136" t="str">
        <f>IF(TRIM($B355)="","",IF(IFERROR(INDEX(Lists!$AQ$2:$AQ$11,MATCH(ROW(),Lists!$AN$2:$AN$11,0)),"")&lt;&gt;"",IFERROR(INDEX(Lists!$AQ$2:$AQ$11,MATCH(ROW(),Lists!$AN$2:$AN$11,0)),""),IF(ISNUMBER(SEARCH("head of ",$C355)),"Head of Technology",IF(ISNUMBER(SEARCH("TDD BP",$C355)),"Business Partner",IF(OR(ISNUMBER(SEARCH("domain architect",$C355)),ISNUMBER(SEARCH("enterprise architect",$C355))),"Domain Architect",IF(ISNUMBER(SEARCH("delivery man",$C355)),"Delivery Manager",IF(OR(ISNUMBER(SEARCH("technology manager",$C355)),ISNUMBER(SEARCH("technology manger",$C355)),ISNUMBER(SEARCH("tech manager",$C355))),"Technology Manager","Squad")))))))</f>
        <v>Squad</v>
      </c>
      <c r="AS355" s="1136" t="str">
        <f>IF(TRIM($B355)="","",IFERROR(INDEX(Lists!$AA:$AA,MATCH($AP355,Lists!$Z:$Z,0)),$AP355))</f>
        <v>Trading &amp; Shipping</v>
      </c>
      <c r="AT355" s="1136" t="str">
        <f>IF(TRIM($B355)="","",IF(IFERROR(INDEX(Lists!$AP$2:$AP$11,MATCH(ROW(),Lists!$AN$2:$AN$11,0)),"")&lt;&gt;"",IFERROR(INDEX(Lists!$AP$2:$AP$11,MATCH(ROW(),Lists!$AN$2:$AN$11,0)),""),IF(OR(LEFT($AJ355,3)="COE",$AJ355="EGI"),$AP355,IF($AR355&lt;&gt;"Squad",$AR355,$AP355))))</f>
        <v>Trading &amp; Shipping</v>
      </c>
    </row>
    <row r="356" ht="18" customHeight="1" s="866">
      <c r="A356" s="1258" t="n">
        <v>2967</v>
      </c>
      <c r="B356" s="1156" t="inlineStr">
        <is>
          <t>Chris Camacho</t>
        </is>
      </c>
      <c r="C356" s="1156" t="inlineStr">
        <is>
          <t>Senior Systems Analyst</t>
        </is>
      </c>
      <c r="D356" s="1156" t="inlineStr">
        <is>
          <t>Jaya Ganasan</t>
        </is>
      </c>
      <c r="E356" s="1156" t="inlineStr">
        <is>
          <t>Technology Manager, TDD Refinery</t>
        </is>
      </c>
      <c r="F356" s="1157" t="inlineStr">
        <is>
          <t>TDD CFE&amp;I</t>
        </is>
      </c>
      <c r="G356" s="1158" t="inlineStr">
        <is>
          <t>Fuel Infrastructure</t>
        </is>
      </c>
      <c r="H356" s="1158" t="inlineStr">
        <is>
          <t>Refinery Applications</t>
        </is>
      </c>
      <c r="I356" s="1158" t="inlineStr">
        <is>
          <t>Infrastructure</t>
        </is>
      </c>
      <c r="J356" s="1158" t="inlineStr">
        <is>
          <t>Manufacturing</t>
        </is>
      </c>
      <c r="K356" s="1156" t="inlineStr">
        <is>
          <t>Manuacturing Group Projects</t>
        </is>
      </c>
      <c r="L356" s="1158" t="n"/>
      <c r="M356" s="1159" t="inlineStr">
        <is>
          <t>Australia</t>
        </is>
      </c>
      <c r="N356" s="1259" t="inlineStr">
        <is>
          <t xml:space="preserve">CSB </t>
        </is>
      </c>
      <c r="O356" s="1259" t="n">
        <v>1</v>
      </c>
      <c r="P356" s="1259" t="n"/>
      <c r="Q356" s="1259" t="inlineStr">
        <is>
          <t>Permanent - Full Time</t>
        </is>
      </c>
      <c r="R356" s="1156" t="n"/>
      <c r="S356" s="1156" t="n"/>
      <c r="T356" s="1260" t="n">
        <v>166090</v>
      </c>
      <c r="U356" s="1164" t="n">
        <v>166090</v>
      </c>
      <c r="V356" s="1166" t="n">
        <v>0.14</v>
      </c>
      <c r="W356" s="1170" t="n">
        <v>0.055</v>
      </c>
      <c r="X356" s="1170" t="n">
        <v>0.12</v>
      </c>
      <c r="Y356" s="1171" t="n"/>
      <c r="Z356" s="1170" t="n">
        <v>0.04</v>
      </c>
      <c r="AA356" s="1168">
        <f>IF(TRIM($B356)="","",IF(N($AU356)&gt;0,$AU356,IF(N($S356)&gt;0,$S356*Lists!$AG$15*(1+N($Z356)),N($U356)*(1+N($V356)+N($W356)+N($X356)+N($Z356))+N($Y356))))</f>
        <v>225051.95</v>
      </c>
      <c r="AJ356" s="865" t="str">
        <f>IF(TRIM($B356)="","",IF(IFERROR(INDEX(Lists!$AO$2:$AO$11,MATCH(ROW(),Lists!$AN$2:$AN$11,0)),"")&lt;&gt;"",IFERROR(INDEX(Lists!$AO$2:$AO$11,MATCH(ROW(),Lists!$AN$2:$AN$11,0)),""),IFERROR(INDEX(Lists!$U:$U,MATCH(TRIM($I356),Lists!$T:$T,0)),TRIM($I356))))</f>
        <v>Infrastructure</v>
      </c>
      <c r="AK356" s="865" t="str">
        <f>IF(ISNUMBER(SEARCH("vacant",$B356)),"Vacant","Filled")</f>
        <v>Filled</v>
      </c>
      <c r="AL356" s="865" t="str">
        <f>IF($M356="NZ","NZ","AU")</f>
        <v>AU</v>
      </c>
      <c r="AM356" s="865">
        <f>COUNTIF($AJ$2:$AJ356,$AJ356)</f>
        <v>7</v>
      </c>
      <c r="AN356" s="865" t="str">
        <f>$AJ356&amp;"|"&amp;$AM356</f>
        <v>Infrastructure|7</v>
      </c>
      <c r="AP356" s="865" t="str">
        <f>IF(TRIM($B356)="","",IF($AQ356=1,"Leadership",IFERROR(INDEX(Lists!$X:$X,MATCH(TRIM($K356),Lists!$W:$W,0)),IF(OR(TRIM($K356)="",LOWER(TRIM($K356))="na"),IF(TRIM($G356)="","Unassigned",TRIM($G356)),TRIM($K356)))))</f>
        <v>Manufacturing Group Projects</v>
      </c>
      <c r="AQ356" s="865" t="b">
        <f>IF(TRIM($B356)="","",--OR(TRIM($K356)="Leadership",TRIM($J356)="Leadership"))</f>
        <v>0</v>
      </c>
      <c r="AR356" s="1136" t="str">
        <f>IF(TRIM($B356)="","",IF(IFERROR(INDEX(Lists!$AQ$2:$AQ$11,MATCH(ROW(),Lists!$AN$2:$AN$11,0)),"")&lt;&gt;"",IFERROR(INDEX(Lists!$AQ$2:$AQ$11,MATCH(ROW(),Lists!$AN$2:$AN$11,0)),""),IF(ISNUMBER(SEARCH("head of ",$C356)),"Head of Technology",IF(ISNUMBER(SEARCH("TDD BP",$C356)),"Business Partner",IF(OR(ISNUMBER(SEARCH("domain architect",$C356)),ISNUMBER(SEARCH("enterprise architect",$C356))),"Domain Architect",IF(ISNUMBER(SEARCH("delivery man",$C356)),"Delivery Manager",IF(OR(ISNUMBER(SEARCH("technology manager",$C356)),ISNUMBER(SEARCH("technology manger",$C356)),ISNUMBER(SEARCH("tech manager",$C356))),"Technology Manager","Squad")))))))</f>
        <v>Squad</v>
      </c>
      <c r="AS356" s="1136" t="str">
        <f>IF(TRIM($B356)="","",IFERROR(INDEX(Lists!$AA:$AA,MATCH($AP356,Lists!$Z:$Z,0)),$AP356))</f>
        <v>Manufacturing Group Projects</v>
      </c>
      <c r="AT356" s="1136" t="str">
        <f>IF(TRIM($B356)="","",IF(IFERROR(INDEX(Lists!$AP$2:$AP$11,MATCH(ROW(),Lists!$AN$2:$AN$11,0)),"")&lt;&gt;"",IFERROR(INDEX(Lists!$AP$2:$AP$11,MATCH(ROW(),Lists!$AN$2:$AN$11,0)),""),IF(OR(LEFT($AJ356,3)="COE",$AJ356="EGI"),$AP356,IF($AR356&lt;&gt;"Squad",$AR356,$AP356))))</f>
        <v>Manufacturing Group Projects</v>
      </c>
    </row>
    <row r="357" ht="18" customHeight="1" s="866">
      <c r="A357" s="1155" t="n">
        <v>105532</v>
      </c>
      <c r="B357" s="1156" t="inlineStr">
        <is>
          <t>Debbie Gor</t>
        </is>
      </c>
      <c r="C357" s="1156" t="inlineStr">
        <is>
          <t>Delivery Lead</t>
        </is>
      </c>
      <c r="D357" s="1158" t="inlineStr">
        <is>
          <t>Vacant</t>
        </is>
      </c>
      <c r="E357" s="1156" t="inlineStr">
        <is>
          <t>Delivery Manager</t>
        </is>
      </c>
      <c r="F357" s="1157" t="inlineStr">
        <is>
          <t>TDD CFE&amp;I</t>
        </is>
      </c>
      <c r="G357" s="1158" t="inlineStr">
        <is>
          <t>B2B &amp; Energy Solutions</t>
        </is>
      </c>
      <c r="H357" s="1158" t="inlineStr">
        <is>
          <t>Delivery</t>
        </is>
      </c>
      <c r="I357" s="1158" t="inlineStr">
        <is>
          <t>B2B &amp; Energy Solutions</t>
        </is>
      </c>
      <c r="J357" s="1156" t="inlineStr">
        <is>
          <t>B2B</t>
        </is>
      </c>
      <c r="K357" s="1156" t="inlineStr">
        <is>
          <t>B2B</t>
        </is>
      </c>
      <c r="L357" s="1158" t="n"/>
      <c r="M357" s="1159" t="inlineStr">
        <is>
          <t>Australia</t>
        </is>
      </c>
      <c r="N357" s="1160" t="inlineStr">
        <is>
          <t>CIC</t>
        </is>
      </c>
      <c r="O357" s="1160" t="n">
        <v>1</v>
      </c>
      <c r="P357" s="1160" t="n"/>
      <c r="Q357" s="1160" t="inlineStr">
        <is>
          <t>Permanent - Full Time</t>
        </is>
      </c>
      <c r="R357" s="1162" t="n"/>
      <c r="S357" s="1162" t="n"/>
      <c r="T357" s="1163" t="n">
        <v>199710</v>
      </c>
      <c r="U357" s="1164" t="n">
        <v>199710</v>
      </c>
      <c r="V357" s="1166" t="n">
        <v>0.12</v>
      </c>
      <c r="W357" s="1170" t="n">
        <v>0.055</v>
      </c>
      <c r="X357" s="1170" t="n">
        <v>0.12</v>
      </c>
      <c r="Y357" s="1171" t="n"/>
      <c r="Z357" s="1170" t="n">
        <v>0.04</v>
      </c>
      <c r="AA357" s="1168">
        <f>IF(TRIM($B357)="","",IF(N($AU357)&gt;0,$AU357,IF(N($S357)&gt;0,$S357*Lists!$AG$15*(1+N($Z357)),N($U357)*(1+N($V357)+N($W357)+N($X357)+N($Z357))+N($Y357))))</f>
        <v>266612.85</v>
      </c>
      <c r="AJ357" s="865" t="str">
        <f>IF(TRIM($B357)="","",IF(IFERROR(INDEX(Lists!$AO$2:$AO$11,MATCH(ROW(),Lists!$AN$2:$AN$11,0)),"")&lt;&gt;"",IFERROR(INDEX(Lists!$AO$2:$AO$11,MATCH(ROW(),Lists!$AN$2:$AN$11,0)),""),IFERROR(INDEX(Lists!$U:$U,MATCH(TRIM($I357),Lists!$T:$T,0)),TRIM($I357))))</f>
        <v>Energy Solutions &amp; B2B</v>
      </c>
      <c r="AK357" s="865" t="str">
        <f>IF(ISNUMBER(SEARCH("vacant",$B357)),"Vacant","Filled")</f>
        <v>Filled</v>
      </c>
      <c r="AL357" s="865" t="str">
        <f>IF($M357="NZ","NZ","AU")</f>
        <v>AU</v>
      </c>
      <c r="AM357" s="865">
        <f>COUNTIF($AJ$2:$AJ357,$AJ357)</f>
        <v>8</v>
      </c>
      <c r="AN357" s="865" t="str">
        <f>$AJ357&amp;"|"&amp;$AM357</f>
        <v>Energy Solutions &amp; B2B|8</v>
      </c>
      <c r="AP357" s="865" t="str">
        <f>IF(TRIM($B357)="","",IF($AQ357=1,"Leadership",IFERROR(INDEX(Lists!$X:$X,MATCH(TRIM($K357),Lists!$W:$W,0)),IF(OR(TRIM($K357)="",LOWER(TRIM($K357))="na"),IF(TRIM($G357)="","Unassigned",TRIM($G357)),TRIM($K357)))))</f>
        <v>B2B</v>
      </c>
      <c r="AQ357" s="865" t="b">
        <f>IF(TRIM($B357)="","",--OR(TRIM($K357)="Leadership",TRIM($J357)="Leadership"))</f>
        <v>0</v>
      </c>
      <c r="AR357" s="1136" t="str">
        <f>IF(TRIM($B357)="","",IF(IFERROR(INDEX(Lists!$AQ$2:$AQ$11,MATCH(ROW(),Lists!$AN$2:$AN$11,0)),"")&lt;&gt;"",IFERROR(INDEX(Lists!$AQ$2:$AQ$11,MATCH(ROW(),Lists!$AN$2:$AN$11,0)),""),IF(ISNUMBER(SEARCH("head of ",$C357)),"Head of Technology",IF(ISNUMBER(SEARCH("TDD BP",$C357)),"Business Partner",IF(OR(ISNUMBER(SEARCH("domain architect",$C357)),ISNUMBER(SEARCH("enterprise architect",$C357))),"Domain Architect",IF(ISNUMBER(SEARCH("delivery man",$C357)),"Delivery Manager",IF(OR(ISNUMBER(SEARCH("technology manager",$C357)),ISNUMBER(SEARCH("technology manger",$C357)),ISNUMBER(SEARCH("tech manager",$C357))),"Technology Manager","Squad")))))))</f>
        <v>Squad</v>
      </c>
      <c r="AS357" s="1136" t="str">
        <f>IF(TRIM($B357)="","",IFERROR(INDEX(Lists!$AA:$AA,MATCH($AP357,Lists!$Z:$Z,0)),$AP357))</f>
        <v>B2B</v>
      </c>
      <c r="AT357" s="1136" t="str">
        <f>IF(TRIM($B357)="","",IF(IFERROR(INDEX(Lists!$AP$2:$AP$11,MATCH(ROW(),Lists!$AN$2:$AN$11,0)),"")&lt;&gt;"",IFERROR(INDEX(Lists!$AP$2:$AP$11,MATCH(ROW(),Lists!$AN$2:$AN$11,0)),""),IF(OR(LEFT($AJ357,3)="COE",$AJ357="EGI"),$AP357,IF($AR357&lt;&gt;"Squad",$AR357,$AP357))))</f>
        <v>B2B</v>
      </c>
    </row>
    <row r="358" ht="18" customHeight="1" s="866">
      <c r="A358" s="1155" t="n">
        <v>107463</v>
      </c>
      <c r="B358" s="1156" t="inlineStr">
        <is>
          <t>Deepa Kaur</t>
        </is>
      </c>
      <c r="C358" s="1156" t="inlineStr">
        <is>
          <t>Senior Engineer Automation Testing</t>
        </is>
      </c>
      <c r="D358" s="1158" t="inlineStr">
        <is>
          <t>Vacant</t>
        </is>
      </c>
      <c r="E358" s="1156" t="inlineStr">
        <is>
          <t>Technology Manager, Engineering</t>
        </is>
      </c>
      <c r="F358" s="1157" t="inlineStr">
        <is>
          <t>TDD CFE&amp;I</t>
        </is>
      </c>
      <c r="G358" s="1158" t="inlineStr">
        <is>
          <t>Commercial Fuels</t>
        </is>
      </c>
      <c r="H358" s="1158" t="inlineStr">
        <is>
          <t>Technology, CF Engineering</t>
        </is>
      </c>
      <c r="I358" s="1158" t="inlineStr">
        <is>
          <t>Commercial Fuels</t>
        </is>
      </c>
      <c r="J358" s="1156" t="inlineStr">
        <is>
          <t>CTRM</t>
        </is>
      </c>
      <c r="K358" s="1156" t="inlineStr">
        <is>
          <t>CTRM</t>
        </is>
      </c>
      <c r="L358" s="1158" t="n"/>
      <c r="M358" s="1159" t="inlineStr">
        <is>
          <t>Australia</t>
        </is>
      </c>
      <c r="N358" s="1160" t="inlineStr">
        <is>
          <t>CIB</t>
        </is>
      </c>
      <c r="O358" s="1160" t="n">
        <v>1</v>
      </c>
      <c r="P358" s="1160" t="n"/>
      <c r="Q358" s="1160" t="inlineStr">
        <is>
          <t>Permanent - Full Time</t>
        </is>
      </c>
      <c r="R358" s="1162" t="n"/>
      <c r="S358" s="1162" t="n"/>
      <c r="T358" s="1163" t="n">
        <v>145710</v>
      </c>
      <c r="U358" s="1164" t="n">
        <v>145710</v>
      </c>
      <c r="V358" s="1166" t="n">
        <v>0.12</v>
      </c>
      <c r="W358" s="1170" t="n">
        <v>0.055</v>
      </c>
      <c r="X358" s="1170" t="n">
        <v>0.12</v>
      </c>
      <c r="Y358" s="1171" t="n"/>
      <c r="Z358" s="1170" t="n">
        <v>0.04</v>
      </c>
      <c r="AA358" s="1168">
        <f>IF(TRIM($B358)="","",IF(N($AU358)&gt;0,$AU358,IF(N($S358)&gt;0,$S358*Lists!$AG$15*(1+N($Z358)),N($U358)*(1+N($V358)+N($W358)+N($X358)+N($Z358))+N($Y358))))</f>
        <v>194522.85</v>
      </c>
      <c r="AJ358" s="865" t="str">
        <f>IF(TRIM($B358)="","",IF(IFERROR(INDEX(Lists!$AO$2:$AO$11,MATCH(ROW(),Lists!$AN$2:$AN$11,0)),"")&lt;&gt;"",IFERROR(INDEX(Lists!$AO$2:$AO$11,MATCH(ROW(),Lists!$AN$2:$AN$11,0)),""),IFERROR(INDEX(Lists!$U:$U,MATCH(TRIM($I358),Lists!$T:$T,0)),TRIM($I358))))</f>
        <v>Commercial Fuels</v>
      </c>
      <c r="AK358" s="865" t="str">
        <f>IF(ISNUMBER(SEARCH("vacant",$B358)),"Vacant","Filled")</f>
        <v>Filled</v>
      </c>
      <c r="AL358" s="865" t="str">
        <f>IF($M358="NZ","NZ","AU")</f>
        <v>AU</v>
      </c>
      <c r="AM358" s="865">
        <f>COUNTIF($AJ$2:$AJ358,$AJ358)</f>
        <v>11</v>
      </c>
      <c r="AN358" s="865" t="str">
        <f>$AJ358&amp;"|"&amp;$AM358</f>
        <v>Commercial Fuels|11</v>
      </c>
      <c r="AP358" s="865" t="str">
        <f>IF(TRIM($B358)="","",IF($AQ358=1,"Leadership",IFERROR(INDEX(Lists!$X:$X,MATCH(TRIM($K358),Lists!$W:$W,0)),IF(OR(TRIM($K358)="",LOWER(TRIM($K358))="na"),IF(TRIM($G358)="","Unassigned",TRIM($G358)),TRIM($K358)))))</f>
        <v>CTRM</v>
      </c>
      <c r="AQ358" s="865" t="b">
        <f>IF(TRIM($B358)="","",--OR(TRIM($K358)="Leadership",TRIM($J358)="Leadership"))</f>
        <v>0</v>
      </c>
      <c r="AR358" s="1136" t="str">
        <f>IF(TRIM($B358)="","",IF(IFERROR(INDEX(Lists!$AQ$2:$AQ$11,MATCH(ROW(),Lists!$AN$2:$AN$11,0)),"")&lt;&gt;"",IFERROR(INDEX(Lists!$AQ$2:$AQ$11,MATCH(ROW(),Lists!$AN$2:$AN$11,0)),""),IF(ISNUMBER(SEARCH("head of ",$C358)),"Head of Technology",IF(ISNUMBER(SEARCH("TDD BP",$C358)),"Business Partner",IF(OR(ISNUMBER(SEARCH("domain architect",$C358)),ISNUMBER(SEARCH("enterprise architect",$C358))),"Domain Architect",IF(ISNUMBER(SEARCH("delivery man",$C358)),"Delivery Manager",IF(OR(ISNUMBER(SEARCH("technology manager",$C358)),ISNUMBER(SEARCH("technology manger",$C358)),ISNUMBER(SEARCH("tech manager",$C358))),"Technology Manager","Squad")))))))</f>
        <v>Squad</v>
      </c>
      <c r="AS358" s="1136" t="str">
        <f>IF(TRIM($B358)="","",IFERROR(INDEX(Lists!$AA:$AA,MATCH($AP358,Lists!$Z:$Z,0)),$AP358))</f>
        <v>CTRM</v>
      </c>
      <c r="AT358" s="1136" t="str">
        <f>IF(TRIM($B358)="","",IF(IFERROR(INDEX(Lists!$AP$2:$AP$11,MATCH(ROW(),Lists!$AN$2:$AN$11,0)),"")&lt;&gt;"",IFERROR(INDEX(Lists!$AP$2:$AP$11,MATCH(ROW(),Lists!$AN$2:$AN$11,0)),""),IF(OR(LEFT($AJ358,3)="COE",$AJ358="EGI"),$AP358,IF($AR358&lt;&gt;"Squad",$AR358,$AP358))))</f>
        <v>CTRM</v>
      </c>
    </row>
    <row r="359" ht="18" customHeight="1" s="866">
      <c r="A359" s="1155" t="n">
        <v>6748</v>
      </c>
      <c r="B359" s="1156" t="inlineStr">
        <is>
          <t>Elle Spencer</t>
        </is>
      </c>
      <c r="C359" s="1156" t="inlineStr">
        <is>
          <t>Technology Manager - B2B</t>
        </is>
      </c>
      <c r="D359" s="1158" t="inlineStr">
        <is>
          <t>Liesl Tye</t>
        </is>
      </c>
      <c r="E359" s="1156" t="inlineStr">
        <is>
          <t>Head of Technology, B2B &amp; Energy Solutions</t>
        </is>
      </c>
      <c r="F359" s="1157" t="inlineStr">
        <is>
          <t>TDD CFE&amp;I</t>
        </is>
      </c>
      <c r="G359" s="1158" t="inlineStr">
        <is>
          <t>B2B &amp; Energy Solutions</t>
        </is>
      </c>
      <c r="H359" s="1158" t="inlineStr">
        <is>
          <t>Technology B2B</t>
        </is>
      </c>
      <c r="I359" s="1158" t="inlineStr">
        <is>
          <t>B2B &amp; Energy Solutions</t>
        </is>
      </c>
      <c r="J359" s="1158" t="inlineStr">
        <is>
          <t>Leadership</t>
        </is>
      </c>
      <c r="K359" s="1156" t="inlineStr">
        <is>
          <t>Leadership</t>
        </is>
      </c>
      <c r="L359" s="1158" t="n"/>
      <c r="M359" s="1159" t="inlineStr">
        <is>
          <t>Australia</t>
        </is>
      </c>
      <c r="N359" s="1162" t="inlineStr">
        <is>
          <t>CSB</t>
        </is>
      </c>
      <c r="O359" s="1162" t="n">
        <v>1</v>
      </c>
      <c r="P359" s="1162" t="n"/>
      <c r="Q359" s="1162" t="inlineStr">
        <is>
          <t>Permanent - Full Time</t>
        </is>
      </c>
      <c r="R359" s="1162" t="n"/>
      <c r="S359" s="1162" t="n"/>
      <c r="T359" s="1163" t="n">
        <v>217390</v>
      </c>
      <c r="U359" s="1164" t="n">
        <v>217390</v>
      </c>
      <c r="V359" s="1166" t="n">
        <v>0.14</v>
      </c>
      <c r="W359" s="1170" t="n">
        <v>0.055</v>
      </c>
      <c r="X359" s="1170" t="n">
        <v>0.12</v>
      </c>
      <c r="Y359" s="1171" t="n"/>
      <c r="Z359" s="1170" t="n">
        <v>0.04</v>
      </c>
      <c r="AA359" s="1168">
        <f>IF(TRIM($B359)="","",IF(N($AU359)&gt;0,$AU359,IF(N($S359)&gt;0,$S359*Lists!$AG$15*(1+N($Z359)),N($U359)*(1+N($V359)+N($W359)+N($X359)+N($Z359))+N($Y359))))</f>
        <v>294563.45</v>
      </c>
      <c r="AJ359" s="865" t="str">
        <f>IF(TRIM($B359)="","",IF(IFERROR(INDEX(Lists!$AO$2:$AO$11,MATCH(ROW(),Lists!$AN$2:$AN$11,0)),"")&lt;&gt;"",IFERROR(INDEX(Lists!$AO$2:$AO$11,MATCH(ROW(),Lists!$AN$2:$AN$11,0)),""),IFERROR(INDEX(Lists!$U:$U,MATCH(TRIM($I359),Lists!$T:$T,0)),TRIM($I359))))</f>
        <v>Energy Solutions &amp; B2B</v>
      </c>
      <c r="AK359" s="865" t="str">
        <f>IF(ISNUMBER(SEARCH("vacant",$B359)),"Vacant","Filled")</f>
        <v>Filled</v>
      </c>
      <c r="AL359" s="865" t="str">
        <f>IF($M359="NZ","NZ","AU")</f>
        <v>AU</v>
      </c>
      <c r="AM359" s="865">
        <f>COUNTIF($AJ$2:$AJ359,$AJ359)</f>
        <v>9</v>
      </c>
      <c r="AN359" s="865" t="str">
        <f>$AJ359&amp;"|"&amp;$AM359</f>
        <v>Energy Solutions &amp; B2B|9</v>
      </c>
      <c r="AP359" s="1136" t="str">
        <f>IF(TRIM($B359)="","",IF($AQ359=1,"Leadership",IFERROR(INDEX(Lists!$X:$X,MATCH(TRIM($K359),Lists!$W:$W,0)),IF(OR(TRIM($K359)="",LOWER(TRIM($K359))="na"),IF(TRIM($G359)="","Unassigned",TRIM($G359)),TRIM($K359)))))</f>
        <v>Leadership</v>
      </c>
      <c r="AQ359" s="865" t="b">
        <f>IF(TRIM($B359)="","",--OR(TRIM($K359)="Leadership",TRIM($J359)="Leadership"))</f>
        <v>1</v>
      </c>
      <c r="AR359" s="1136" t="str">
        <f>IF(TRIM($B359)="","",IF(IFERROR(INDEX(Lists!$AQ$2:$AQ$11,MATCH(ROW(),Lists!$AN$2:$AN$11,0)),"")&lt;&gt;"",IFERROR(INDEX(Lists!$AQ$2:$AQ$11,MATCH(ROW(),Lists!$AN$2:$AN$11,0)),""),IF(ISNUMBER(SEARCH("head of ",$C359)),"Head of Technology",IF(ISNUMBER(SEARCH("TDD BP",$C359)),"Business Partner",IF(OR(ISNUMBER(SEARCH("domain architect",$C359)),ISNUMBER(SEARCH("enterprise architect",$C359))),"Domain Architect",IF(ISNUMBER(SEARCH("delivery man",$C359)),"Delivery Manager",IF(OR(ISNUMBER(SEARCH("technology manager",$C359)),ISNUMBER(SEARCH("technology manger",$C359)),ISNUMBER(SEARCH("tech manager",$C359))),"Technology Manager","Squad")))))))</f>
        <v>Technology Manager</v>
      </c>
      <c r="AS359" s="1136" t="str">
        <f>IF(TRIM($B359)="","",IFERROR(INDEX(Lists!$AA:$AA,MATCH($AP359,Lists!$Z:$Z,0)),$AP359))</f>
        <v>Leadership</v>
      </c>
      <c r="AT359" s="1136" t="str">
        <f>IF(TRIM($B359)="","",IF(IFERROR(INDEX(Lists!$AP$2:$AP$11,MATCH(ROW(),Lists!$AN$2:$AN$11,0)),"")&lt;&gt;"",IFERROR(INDEX(Lists!$AP$2:$AP$11,MATCH(ROW(),Lists!$AN$2:$AN$11,0)),""),IF(OR(LEFT($AJ359,3)="COE",$AJ359="EGI"),$AP359,IF($AR359&lt;&gt;"Squad",$AR359,$AP359))))</f>
        <v>Technology Manager</v>
      </c>
    </row>
    <row r="360" ht="18" customHeight="1" s="866">
      <c r="A360" s="1155" t="n">
        <v>97973</v>
      </c>
      <c r="B360" s="1156" t="inlineStr">
        <is>
          <t>Elma Kurian</t>
        </is>
      </c>
      <c r="C360" s="1156" t="inlineStr">
        <is>
          <t>System Specialist</t>
        </is>
      </c>
      <c r="D360" s="1158" t="inlineStr">
        <is>
          <t>Vacant</t>
        </is>
      </c>
      <c r="E360" s="1156" t="inlineStr">
        <is>
          <t>Technology Manager, Energy Solutions</t>
        </is>
      </c>
      <c r="F360" s="1157" t="inlineStr">
        <is>
          <t>TDD CFE&amp;I</t>
        </is>
      </c>
      <c r="G360" s="1158" t="inlineStr">
        <is>
          <t>B2B &amp; Energy Solutions</t>
        </is>
      </c>
      <c r="H360" s="1158" t="inlineStr">
        <is>
          <t>Technology Energy Solutions</t>
        </is>
      </c>
      <c r="I360" s="1158" t="inlineStr">
        <is>
          <t>B2B &amp; Energy Solutions</t>
        </is>
      </c>
      <c r="J360" s="1158" t="inlineStr">
        <is>
          <t>Energy Solutions</t>
        </is>
      </c>
      <c r="K360" s="1156" t="inlineStr">
        <is>
          <t>Energy</t>
        </is>
      </c>
      <c r="L360" s="1158" t="n"/>
      <c r="M360" s="1159" t="inlineStr">
        <is>
          <t>Australia</t>
        </is>
      </c>
      <c r="N360" s="1160" t="inlineStr">
        <is>
          <t>CIB</t>
        </is>
      </c>
      <c r="O360" s="1160" t="n">
        <v>1</v>
      </c>
      <c r="P360" s="1160" t="n"/>
      <c r="Q360" s="1160" t="inlineStr">
        <is>
          <t>Permanent - Full Time</t>
        </is>
      </c>
      <c r="R360" s="1162" t="n"/>
      <c r="S360" s="1162" t="n"/>
      <c r="T360" s="1163" t="n">
        <v>152250</v>
      </c>
      <c r="U360" s="1164" t="n">
        <v>152250</v>
      </c>
      <c r="V360" s="1166" t="n">
        <v>0.12</v>
      </c>
      <c r="W360" s="1170" t="n">
        <v>0.055</v>
      </c>
      <c r="X360" s="1170" t="n">
        <v>0.12</v>
      </c>
      <c r="Y360" s="1171" t="n"/>
      <c r="Z360" s="1170" t="n">
        <v>0.04</v>
      </c>
      <c r="AA360" s="1168">
        <f>IF(TRIM($B360)="","",IF(N($AU360)&gt;0,$AU360,IF(N($S360)&gt;0,$S360*Lists!$AG$15*(1+N($Z360)),N($U360)*(1+N($V360)+N($W360)+N($X360)+N($Z360))+N($Y360))))</f>
        <v>203253.75</v>
      </c>
      <c r="AJ360" s="865" t="str">
        <f>IF(TRIM($B360)="","",IF(IFERROR(INDEX(Lists!$AO$2:$AO$11,MATCH(ROW(),Lists!$AN$2:$AN$11,0)),"")&lt;&gt;"",IFERROR(INDEX(Lists!$AO$2:$AO$11,MATCH(ROW(),Lists!$AN$2:$AN$11,0)),""),IFERROR(INDEX(Lists!$U:$U,MATCH(TRIM($I360),Lists!$T:$T,0)),TRIM($I360))))</f>
        <v>Energy Solutions &amp; B2B</v>
      </c>
      <c r="AK360" s="865" t="str">
        <f>IF(ISNUMBER(SEARCH("vacant",$B360)),"Vacant","Filled")</f>
        <v>Filled</v>
      </c>
      <c r="AL360" s="865" t="str">
        <f>IF($M360="NZ","NZ","AU")</f>
        <v>AU</v>
      </c>
      <c r="AM360" s="865">
        <f>COUNTIF($AJ$2:$AJ360,$AJ360)</f>
        <v>10</v>
      </c>
      <c r="AN360" s="865" t="str">
        <f>$AJ360&amp;"|"&amp;$AM360</f>
        <v>Energy Solutions &amp; B2B|10</v>
      </c>
      <c r="AP360" s="865" t="str">
        <f>IF(TRIM($B360)="","",IF($AQ360=1,"Leadership",IFERROR(INDEX(Lists!$X:$X,MATCH(TRIM($K360),Lists!$W:$W,0)),IF(OR(TRIM($K360)="",LOWER(TRIM($K360))="na"),IF(TRIM($G360)="","Unassigned",TRIM($G360)),TRIM($K360)))))</f>
        <v>Energy</v>
      </c>
      <c r="AQ360" s="865" t="b">
        <f>IF(TRIM($B360)="","",--OR(TRIM($K360)="Leadership",TRIM($J360)="Leadership"))</f>
        <v>0</v>
      </c>
      <c r="AR360" s="1136" t="str">
        <f>IF(TRIM($B360)="","",IF(IFERROR(INDEX(Lists!$AQ$2:$AQ$11,MATCH(ROW(),Lists!$AN$2:$AN$11,0)),"")&lt;&gt;"",IFERROR(INDEX(Lists!$AQ$2:$AQ$11,MATCH(ROW(),Lists!$AN$2:$AN$11,0)),""),IF(ISNUMBER(SEARCH("head of ",$C360)),"Head of Technology",IF(ISNUMBER(SEARCH("TDD BP",$C360)),"Business Partner",IF(OR(ISNUMBER(SEARCH("domain architect",$C360)),ISNUMBER(SEARCH("enterprise architect",$C360))),"Domain Architect",IF(ISNUMBER(SEARCH("delivery man",$C360)),"Delivery Manager",IF(OR(ISNUMBER(SEARCH("technology manager",$C360)),ISNUMBER(SEARCH("technology manger",$C360)),ISNUMBER(SEARCH("tech manager",$C360))),"Technology Manager","Squad")))))))</f>
        <v>Squad</v>
      </c>
      <c r="AS360" s="1136" t="str">
        <f>IF(TRIM($B360)="","",IFERROR(INDEX(Lists!$AA:$AA,MATCH($AP360,Lists!$Z:$Z,0)),$AP360))</f>
        <v>Energy</v>
      </c>
      <c r="AT360" s="1136" t="str">
        <f>IF(TRIM($B360)="","",IF(IFERROR(INDEX(Lists!$AP$2:$AP$11,MATCH(ROW(),Lists!$AN$2:$AN$11,0)),"")&lt;&gt;"",IFERROR(INDEX(Lists!$AP$2:$AP$11,MATCH(ROW(),Lists!$AN$2:$AN$11,0)),""),IF(OR(LEFT($AJ360,3)="COE",$AJ360="EGI"),$AP360,IF($AR360&lt;&gt;"Squad",$AR360,$AP360))))</f>
        <v>Energy</v>
      </c>
    </row>
    <row r="361" ht="18" customHeight="1" s="866">
      <c r="A361" s="1155" t="n">
        <v>116090</v>
      </c>
      <c r="B361" s="1156" t="inlineStr">
        <is>
          <t>Fabian Moreno Cortes</t>
        </is>
      </c>
      <c r="C361" s="1156" t="inlineStr">
        <is>
          <t>Engineer - Software</t>
        </is>
      </c>
      <c r="D361" s="1156" t="inlineStr">
        <is>
          <t>Jaya Ganasan</t>
        </is>
      </c>
      <c r="E361" s="1156" t="inlineStr">
        <is>
          <t>Technology Manager, TDD Refinery</t>
        </is>
      </c>
      <c r="F361" s="1157" t="inlineStr">
        <is>
          <t>TDD CFE&amp;I</t>
        </is>
      </c>
      <c r="G361" s="1158" t="inlineStr">
        <is>
          <t>Fuel Infrastructure</t>
        </is>
      </c>
      <c r="H361" s="1158" t="inlineStr">
        <is>
          <t>Refinery Applications</t>
        </is>
      </c>
      <c r="I361" s="1158" t="inlineStr">
        <is>
          <t>Infrastructure</t>
        </is>
      </c>
      <c r="J361" s="1158" t="inlineStr">
        <is>
          <t>Manufacturing</t>
        </is>
      </c>
      <c r="K361" s="1156" t="inlineStr">
        <is>
          <t>Manuacturing Group Projects</t>
        </is>
      </c>
      <c r="L361" s="1158" t="n"/>
      <c r="M361" s="1159" t="inlineStr">
        <is>
          <t>Australia</t>
        </is>
      </c>
      <c r="N361" s="1160" t="inlineStr">
        <is>
          <t>CIB</t>
        </is>
      </c>
      <c r="O361" s="1160" t="n">
        <v>1</v>
      </c>
      <c r="P361" s="1160" t="n"/>
      <c r="Q361" s="1160" t="inlineStr">
        <is>
          <t>Permanent - Full Time</t>
        </is>
      </c>
      <c r="R361" s="1162" t="n"/>
      <c r="S361" s="1162" t="n"/>
      <c r="T361" s="1163" t="n">
        <v>145000</v>
      </c>
      <c r="U361" s="1164" t="n">
        <v>145000</v>
      </c>
      <c r="V361" s="1166" t="n">
        <v>0.12</v>
      </c>
      <c r="W361" s="1170" t="n">
        <v>0.055</v>
      </c>
      <c r="X361" s="1170" t="n">
        <v>0.12</v>
      </c>
      <c r="Y361" s="1171" t="n"/>
      <c r="Z361" s="1170" t="n">
        <v>0.04</v>
      </c>
      <c r="AA361" s="1168">
        <f>IF(TRIM($B361)="","",IF(N($AU361)&gt;0,$AU361,IF(N($S361)&gt;0,$S361*Lists!$AG$15*(1+N($Z361)),N($U361)*(1+N($V361)+N($W361)+N($X361)+N($Z361))+N($Y361))))</f>
        <v>193575</v>
      </c>
      <c r="AJ361" s="865" t="str">
        <f>IF(TRIM($B361)="","",IF(IFERROR(INDEX(Lists!$AO$2:$AO$11,MATCH(ROW(),Lists!$AN$2:$AN$11,0)),"")&lt;&gt;"",IFERROR(INDEX(Lists!$AO$2:$AO$11,MATCH(ROW(),Lists!$AN$2:$AN$11,0)),""),IFERROR(INDEX(Lists!$U:$U,MATCH(TRIM($I361),Lists!$T:$T,0)),TRIM($I361))))</f>
        <v>Infrastructure</v>
      </c>
      <c r="AK361" s="865" t="str">
        <f>IF(ISNUMBER(SEARCH("vacant",$B361)),"Vacant","Filled")</f>
        <v>Filled</v>
      </c>
      <c r="AL361" s="865" t="str">
        <f>IF($M361="NZ","NZ","AU")</f>
        <v>AU</v>
      </c>
      <c r="AM361" s="865">
        <f>COUNTIF($AJ$2:$AJ361,$AJ361)</f>
        <v>8</v>
      </c>
      <c r="AN361" s="865" t="str">
        <f>$AJ361&amp;"|"&amp;$AM361</f>
        <v>Infrastructure|8</v>
      </c>
      <c r="AP361" s="865" t="str">
        <f>IF(TRIM($B361)="","",IF($AQ361=1,"Leadership",IFERROR(INDEX(Lists!$X:$X,MATCH(TRIM($K361),Lists!$W:$W,0)),IF(OR(TRIM($K361)="",LOWER(TRIM($K361))="na"),IF(TRIM($G361)="","Unassigned",TRIM($G361)),TRIM($K361)))))</f>
        <v>Manufacturing Group Projects</v>
      </c>
      <c r="AQ361" s="865" t="b">
        <f>IF(TRIM($B361)="","",--OR(TRIM($K361)="Leadership",TRIM($J361)="Leadership"))</f>
        <v>0</v>
      </c>
      <c r="AR361" s="1136" t="str">
        <f>IF(TRIM($B361)="","",IF(IFERROR(INDEX(Lists!$AQ$2:$AQ$11,MATCH(ROW(),Lists!$AN$2:$AN$11,0)),"")&lt;&gt;"",IFERROR(INDEX(Lists!$AQ$2:$AQ$11,MATCH(ROW(),Lists!$AN$2:$AN$11,0)),""),IF(ISNUMBER(SEARCH("head of ",$C361)),"Head of Technology",IF(ISNUMBER(SEARCH("TDD BP",$C361)),"Business Partner",IF(OR(ISNUMBER(SEARCH("domain architect",$C361)),ISNUMBER(SEARCH("enterprise architect",$C361))),"Domain Architect",IF(ISNUMBER(SEARCH("delivery man",$C361)),"Delivery Manager",IF(OR(ISNUMBER(SEARCH("technology manager",$C361)),ISNUMBER(SEARCH("technology manger",$C361)),ISNUMBER(SEARCH("tech manager",$C361))),"Technology Manager","Squad")))))))</f>
        <v>Squad</v>
      </c>
      <c r="AS361" s="1136" t="str">
        <f>IF(TRIM($B361)="","",IFERROR(INDEX(Lists!$AA:$AA,MATCH($AP361,Lists!$Z:$Z,0)),$AP361))</f>
        <v>Manufacturing Group Projects</v>
      </c>
      <c r="AT361" s="1136" t="str">
        <f>IF(TRIM($B361)="","",IF(IFERROR(INDEX(Lists!$AP$2:$AP$11,MATCH(ROW(),Lists!$AN$2:$AN$11,0)),"")&lt;&gt;"",IFERROR(INDEX(Lists!$AP$2:$AP$11,MATCH(ROW(),Lists!$AN$2:$AN$11,0)),""),IF(OR(LEFT($AJ361,3)="COE",$AJ361="EGI"),$AP361,IF($AR361&lt;&gt;"Squad",$AR361,$AP361))))</f>
        <v>Manufacturing Group Projects</v>
      </c>
    </row>
    <row r="362" ht="18" customHeight="1" s="866">
      <c r="A362" s="1155" t="n">
        <v>99691</v>
      </c>
      <c r="B362" s="1156" t="inlineStr">
        <is>
          <t>Frank Liang</t>
        </is>
      </c>
      <c r="C362" s="1156" t="inlineStr">
        <is>
          <t>Senior Systems Analyst</t>
        </is>
      </c>
      <c r="D362" s="1156" t="inlineStr">
        <is>
          <t>Elle Spencer</t>
        </is>
      </c>
      <c r="E362" s="1156" t="inlineStr">
        <is>
          <t>Technology Manager, Energy Solutions</t>
        </is>
      </c>
      <c r="F362" s="1157" t="inlineStr">
        <is>
          <t>TDD CFE&amp;I</t>
        </is>
      </c>
      <c r="G362" s="1158" t="inlineStr">
        <is>
          <t>B2B &amp; Energy Solutions</t>
        </is>
      </c>
      <c r="H362" s="1158" t="inlineStr">
        <is>
          <t>Technology B2B</t>
        </is>
      </c>
      <c r="I362" s="1158" t="inlineStr">
        <is>
          <t>B2B &amp; Energy Solutions</t>
        </is>
      </c>
      <c r="J362" s="1156" t="inlineStr">
        <is>
          <t>B2B</t>
        </is>
      </c>
      <c r="K362" s="1156" t="inlineStr">
        <is>
          <t>B2B</t>
        </is>
      </c>
      <c r="L362" s="1158" t="n"/>
      <c r="M362" s="1159" t="inlineStr">
        <is>
          <t>Australia</t>
        </is>
      </c>
      <c r="N362" s="1160" t="inlineStr">
        <is>
          <t>CIC</t>
        </is>
      </c>
      <c r="O362" s="1160" t="n">
        <v>1</v>
      </c>
      <c r="P362" s="1160" t="n"/>
      <c r="Q362" s="1160" t="inlineStr">
        <is>
          <t>Permanent - Full Time</t>
        </is>
      </c>
      <c r="R362" s="1162" t="n"/>
      <c r="S362" s="1162" t="n"/>
      <c r="T362" s="1163" t="n">
        <v>167510</v>
      </c>
      <c r="U362" s="1164" t="n">
        <v>167510</v>
      </c>
      <c r="V362" s="1166" t="n">
        <v>0.12</v>
      </c>
      <c r="W362" s="1170" t="n">
        <v>0.055</v>
      </c>
      <c r="X362" s="1170" t="n">
        <v>0.12</v>
      </c>
      <c r="Y362" s="1171" t="n"/>
      <c r="Z362" s="1170" t="n">
        <v>0.04</v>
      </c>
      <c r="AA362" s="1168">
        <f>IF(TRIM($B362)="","",IF(N($AU362)&gt;0,$AU362,IF(N($S362)&gt;0,$S362*Lists!$AG$15*(1+N($Z362)),N($U362)*(1+N($V362)+N($W362)+N($X362)+N($Z362))+N($Y362))))</f>
        <v>223625.85</v>
      </c>
      <c r="AJ362" s="865" t="str">
        <f>IF(TRIM($B362)="","",IF(IFERROR(INDEX(Lists!$AO$2:$AO$11,MATCH(ROW(),Lists!$AN$2:$AN$11,0)),"")&lt;&gt;"",IFERROR(INDEX(Lists!$AO$2:$AO$11,MATCH(ROW(),Lists!$AN$2:$AN$11,0)),""),IFERROR(INDEX(Lists!$U:$U,MATCH(TRIM($I362),Lists!$T:$T,0)),TRIM($I362))))</f>
        <v>Energy Solutions &amp; B2B</v>
      </c>
      <c r="AK362" s="865" t="str">
        <f>IF(ISNUMBER(SEARCH("vacant",$B362)),"Vacant","Filled")</f>
        <v>Filled</v>
      </c>
      <c r="AL362" s="865" t="str">
        <f>IF($M362="NZ","NZ","AU")</f>
        <v>AU</v>
      </c>
      <c r="AM362" s="865">
        <f>COUNTIF($AJ$2:$AJ362,$AJ362)</f>
        <v>11</v>
      </c>
      <c r="AN362" s="865" t="str">
        <f>$AJ362&amp;"|"&amp;$AM362</f>
        <v>Energy Solutions &amp; B2B|11</v>
      </c>
      <c r="AP362" s="865" t="str">
        <f>IF(TRIM($B362)="","",IF($AQ362=1,"Leadership",IFERROR(INDEX(Lists!$X:$X,MATCH(TRIM($K362),Lists!$W:$W,0)),IF(OR(TRIM($K362)="",LOWER(TRIM($K362))="na"),IF(TRIM($G362)="","Unassigned",TRIM($G362)),TRIM($K362)))))</f>
        <v>B2B</v>
      </c>
      <c r="AQ362" s="865" t="b">
        <f>IF(TRIM($B362)="","",--OR(TRIM($K362)="Leadership",TRIM($J362)="Leadership"))</f>
        <v>0</v>
      </c>
      <c r="AR362" s="1136" t="str">
        <f>IF(TRIM($B362)="","",IF(IFERROR(INDEX(Lists!$AQ$2:$AQ$11,MATCH(ROW(),Lists!$AN$2:$AN$11,0)),"")&lt;&gt;"",IFERROR(INDEX(Lists!$AQ$2:$AQ$11,MATCH(ROW(),Lists!$AN$2:$AN$11,0)),""),IF(ISNUMBER(SEARCH("head of ",$C362)),"Head of Technology",IF(ISNUMBER(SEARCH("TDD BP",$C362)),"Business Partner",IF(OR(ISNUMBER(SEARCH("domain architect",$C362)),ISNUMBER(SEARCH("enterprise architect",$C362))),"Domain Architect",IF(ISNUMBER(SEARCH("delivery man",$C362)),"Delivery Manager",IF(OR(ISNUMBER(SEARCH("technology manager",$C362)),ISNUMBER(SEARCH("technology manger",$C362)),ISNUMBER(SEARCH("tech manager",$C362))),"Technology Manager","Squad")))))))</f>
        <v>Squad</v>
      </c>
      <c r="AS362" s="1136" t="str">
        <f>IF(TRIM($B362)="","",IFERROR(INDEX(Lists!$AA:$AA,MATCH($AP362,Lists!$Z:$Z,0)),$AP362))</f>
        <v>B2B</v>
      </c>
      <c r="AT362" s="1136" t="str">
        <f>IF(TRIM($B362)="","",IF(IFERROR(INDEX(Lists!$AP$2:$AP$11,MATCH(ROW(),Lists!$AN$2:$AN$11,0)),"")&lt;&gt;"",IFERROR(INDEX(Lists!$AP$2:$AP$11,MATCH(ROW(),Lists!$AN$2:$AN$11,0)),""),IF(OR(LEFT($AJ362,3)="COE",$AJ362="EGI"),$AP362,IF($AR362&lt;&gt;"Squad",$AR362,$AP362))))</f>
        <v>B2B</v>
      </c>
    </row>
    <row r="363" ht="18" customHeight="1" s="866">
      <c r="A363" s="1155" t="n">
        <v>114717</v>
      </c>
      <c r="B363" s="1156" t="inlineStr">
        <is>
          <t>Fransiscus Setiawan</t>
        </is>
      </c>
      <c r="C363" s="1156" t="inlineStr">
        <is>
          <t xml:space="preserve">Integration Architect   </t>
        </is>
      </c>
      <c r="D363" s="1158" t="inlineStr">
        <is>
          <t>Vacant</t>
        </is>
      </c>
      <c r="E363" s="1156" t="inlineStr">
        <is>
          <t>Technology Manager, Engineering</t>
        </is>
      </c>
      <c r="F363" s="1157" t="inlineStr">
        <is>
          <t>TDD CFE&amp;I</t>
        </is>
      </c>
      <c r="G363" s="1158" t="inlineStr">
        <is>
          <t>Commercial Fuels</t>
        </is>
      </c>
      <c r="H363" s="1158" t="inlineStr">
        <is>
          <t>Technology, CF Engineering</t>
        </is>
      </c>
      <c r="I363" s="1158" t="inlineStr">
        <is>
          <t>Commercial Fuels</t>
        </is>
      </c>
      <c r="J363" s="1156" t="inlineStr">
        <is>
          <t>CTRM</t>
        </is>
      </c>
      <c r="K363" s="1156" t="inlineStr">
        <is>
          <t>CTRM</t>
        </is>
      </c>
      <c r="L363" s="1158" t="n"/>
      <c r="M363" s="1159" t="inlineStr">
        <is>
          <t>Australia</t>
        </is>
      </c>
      <c r="N363" s="1160" t="inlineStr">
        <is>
          <t>CIC</t>
        </is>
      </c>
      <c r="O363" s="1160" t="n">
        <v>1</v>
      </c>
      <c r="P363" s="1160" t="n"/>
      <c r="Q363" s="1160" t="inlineStr">
        <is>
          <t>Permanent - Full Time</t>
        </is>
      </c>
      <c r="R363" s="1162" t="n"/>
      <c r="S363" s="1162" t="n"/>
      <c r="T363" s="1163" t="n">
        <v>210000</v>
      </c>
      <c r="U363" s="1164" t="n">
        <v>210000</v>
      </c>
      <c r="V363" s="1166" t="n">
        <v>0.12</v>
      </c>
      <c r="W363" s="1170" t="n">
        <v>0.055</v>
      </c>
      <c r="X363" s="1170" t="n">
        <v>0.12</v>
      </c>
      <c r="Y363" s="1171" t="n"/>
      <c r="Z363" s="1170" t="n">
        <v>0.04</v>
      </c>
      <c r="AA363" s="1168">
        <f>IF(TRIM($B363)="","",IF(N($AU363)&gt;0,$AU363,IF(N($S363)&gt;0,$S363*Lists!$AG$15*(1+N($Z363)),N($U363)*(1+N($V363)+N($W363)+N($X363)+N($Z363))+N($Y363))))</f>
        <v>280350</v>
      </c>
      <c r="AJ363" s="865" t="str">
        <f>IF(TRIM($B363)="","",IF(IFERROR(INDEX(Lists!$AO$2:$AO$11,MATCH(ROW(),Lists!$AN$2:$AN$11,0)),"")&lt;&gt;"",IFERROR(INDEX(Lists!$AO$2:$AO$11,MATCH(ROW(),Lists!$AN$2:$AN$11,0)),""),IFERROR(INDEX(Lists!$U:$U,MATCH(TRIM($I363),Lists!$T:$T,0)),TRIM($I363))))</f>
        <v>Commercial Fuels</v>
      </c>
      <c r="AK363" s="865" t="str">
        <f>IF(ISNUMBER(SEARCH("vacant",$B363)),"Vacant","Filled")</f>
        <v>Filled</v>
      </c>
      <c r="AL363" s="865" t="str">
        <f>IF($M363="NZ","NZ","AU")</f>
        <v>AU</v>
      </c>
      <c r="AM363" s="865">
        <f>COUNTIF($AJ$2:$AJ363,$AJ363)</f>
        <v>12</v>
      </c>
      <c r="AN363" s="865" t="str">
        <f>$AJ363&amp;"|"&amp;$AM363</f>
        <v>Commercial Fuels|12</v>
      </c>
      <c r="AP363" s="865" t="str">
        <f>IF(TRIM($B363)="","",IF($AQ363=1,"Leadership",IFERROR(INDEX(Lists!$X:$X,MATCH(TRIM($K363),Lists!$W:$W,0)),IF(OR(TRIM($K363)="",LOWER(TRIM($K363))="na"),IF(TRIM($G363)="","Unassigned",TRIM($G363)),TRIM($K363)))))</f>
        <v>CTRM</v>
      </c>
      <c r="AQ363" s="865" t="b">
        <f>IF(TRIM($B363)="","",--OR(TRIM($K363)="Leadership",TRIM($J363)="Leadership"))</f>
        <v>0</v>
      </c>
      <c r="AR363" s="1136" t="str">
        <f>IF(TRIM($B363)="","",IF(IFERROR(INDEX(Lists!$AQ$2:$AQ$11,MATCH(ROW(),Lists!$AN$2:$AN$11,0)),"")&lt;&gt;"",IFERROR(INDEX(Lists!$AQ$2:$AQ$11,MATCH(ROW(),Lists!$AN$2:$AN$11,0)),""),IF(ISNUMBER(SEARCH("head of ",$C363)),"Head of Technology",IF(ISNUMBER(SEARCH("TDD BP",$C363)),"Business Partner",IF(OR(ISNUMBER(SEARCH("domain architect",$C363)),ISNUMBER(SEARCH("enterprise architect",$C363))),"Domain Architect",IF(ISNUMBER(SEARCH("delivery man",$C363)),"Delivery Manager",IF(OR(ISNUMBER(SEARCH("technology manager",$C363)),ISNUMBER(SEARCH("technology manger",$C363)),ISNUMBER(SEARCH("tech manager",$C363))),"Technology Manager","Squad")))))))</f>
        <v>Squad</v>
      </c>
      <c r="AS363" s="1136" t="str">
        <f>IF(TRIM($B363)="","",IFERROR(INDEX(Lists!$AA:$AA,MATCH($AP363,Lists!$Z:$Z,0)),$AP363))</f>
        <v>CTRM</v>
      </c>
      <c r="AT363" s="1136" t="str">
        <f>IF(TRIM($B363)="","",IF(IFERROR(INDEX(Lists!$AP$2:$AP$11,MATCH(ROW(),Lists!$AN$2:$AN$11,0)),"")&lt;&gt;"",IFERROR(INDEX(Lists!$AP$2:$AP$11,MATCH(ROW(),Lists!$AN$2:$AN$11,0)),""),IF(OR(LEFT($AJ363,3)="COE",$AJ363="EGI"),$AP363,IF($AR363&lt;&gt;"Squad",$AR363,$AP363))))</f>
        <v>CTRM</v>
      </c>
    </row>
    <row r="364" ht="18" customHeight="1" s="866">
      <c r="A364" s="1155" t="n">
        <v>106201</v>
      </c>
      <c r="B364" s="1199" t="inlineStr">
        <is>
          <t>George Moun</t>
        </is>
      </c>
      <c r="C364" s="1199" t="inlineStr">
        <is>
          <t>Solution Architect</t>
        </is>
      </c>
      <c r="D364" s="1158" t="inlineStr">
        <is>
          <t>Amish Pandit</t>
        </is>
      </c>
      <c r="E364" s="1158" t="inlineStr">
        <is>
          <t>Head of Technology, Infrastructure</t>
        </is>
      </c>
      <c r="F364" s="1157" t="inlineStr">
        <is>
          <t>TDD CFE&amp;I</t>
        </is>
      </c>
      <c r="G364" s="1158" t="inlineStr">
        <is>
          <t>Fuel Infrastructure</t>
        </is>
      </c>
      <c r="H364" s="1158" t="inlineStr">
        <is>
          <t>Fuel Infrastructure</t>
        </is>
      </c>
      <c r="I364" s="1158" t="inlineStr">
        <is>
          <t>Infrastructure</t>
        </is>
      </c>
      <c r="J364" s="1158" t="inlineStr">
        <is>
          <t xml:space="preserve">Leadership </t>
        </is>
      </c>
      <c r="K364" s="1158" t="inlineStr">
        <is>
          <t>Leadership</t>
        </is>
      </c>
      <c r="L364" s="1158" t="n"/>
      <c r="M364" s="1159" t="inlineStr">
        <is>
          <t>Australia</t>
        </is>
      </c>
      <c r="N364" s="1160" t="inlineStr">
        <is>
          <t>CIC</t>
        </is>
      </c>
      <c r="O364" s="1160" t="n">
        <v>1</v>
      </c>
      <c r="P364" s="1160" t="n"/>
      <c r="Q364" s="1160" t="inlineStr">
        <is>
          <t>Permanent - Full Time</t>
        </is>
      </c>
      <c r="R364" s="1162" t="n"/>
      <c r="S364" s="1162" t="n"/>
      <c r="T364" s="1163" t="n">
        <v>192260</v>
      </c>
      <c r="U364" s="1164" t="n">
        <v>192260</v>
      </c>
      <c r="V364" s="1166" t="n">
        <v>0.12</v>
      </c>
      <c r="W364" s="1170" t="n">
        <v>0.055</v>
      </c>
      <c r="X364" s="1170" t="n">
        <v>0.12</v>
      </c>
      <c r="Y364" s="1171" t="n"/>
      <c r="Z364" s="1170" t="n">
        <v>0.04</v>
      </c>
      <c r="AA364" s="1168">
        <f>IF(TRIM($B364)="","",IF(N($AU364)&gt;0,$AU364,IF(N($S364)&gt;0,$S364*Lists!$AG$15*(1+N($Z364)),N($U364)*(1+N($V364)+N($W364)+N($X364)+N($Z364))+N($Y364))))</f>
        <v>256667.1</v>
      </c>
      <c r="AJ364" s="865" t="str">
        <f>IF(TRIM($B364)="","",IF(IFERROR(INDEX(Lists!$AO$2:$AO$11,MATCH(ROW(),Lists!$AN$2:$AN$11,0)),"")&lt;&gt;"",IFERROR(INDEX(Lists!$AO$2:$AO$11,MATCH(ROW(),Lists!$AN$2:$AN$11,0)),""),IFERROR(INDEX(Lists!$U:$U,MATCH(TRIM($I364),Lists!$T:$T,0)),TRIM($I364))))</f>
        <v>Infrastructure</v>
      </c>
      <c r="AK364" s="865" t="str">
        <f>IF(ISNUMBER(SEARCH("vacant",$B364)),"Vacant","Filled")</f>
        <v>Filled</v>
      </c>
      <c r="AL364" s="865" t="str">
        <f>IF($M364="NZ","NZ","AU")</f>
        <v>AU</v>
      </c>
      <c r="AM364" s="865">
        <f>COUNTIF($AJ$2:$AJ364,$AJ364)</f>
        <v>9</v>
      </c>
      <c r="AN364" s="865" t="str">
        <f>$AJ364&amp;"|"&amp;$AM364</f>
        <v>Infrastructure|9</v>
      </c>
      <c r="AP364" s="1136" t="str">
        <f>IF(TRIM($B364)="","",IF($AQ364=1,"Leadership",IFERROR(INDEX(Lists!$X:$X,MATCH(TRIM($K364),Lists!$W:$W,0)),IF(OR(TRIM($K364)="",LOWER(TRIM($K364))="na"),IF(TRIM($G364)="","Unassigned",TRIM($G364)),TRIM($K364)))))</f>
        <v>Leadership</v>
      </c>
      <c r="AQ364" s="865" t="b">
        <f>IF(TRIM($B364)="","",--OR(TRIM($K364)="Leadership",TRIM($J364)="Leadership"))</f>
        <v>1</v>
      </c>
      <c r="AR364" s="1136" t="str">
        <f>IF(TRIM($B364)="","",IF(IFERROR(INDEX(Lists!$AQ$2:$AQ$11,MATCH(ROW(),Lists!$AN$2:$AN$11,0)),"")&lt;&gt;"",IFERROR(INDEX(Lists!$AQ$2:$AQ$11,MATCH(ROW(),Lists!$AN$2:$AN$11,0)),""),IF(ISNUMBER(SEARCH("head of ",$C364)),"Head of Technology",IF(ISNUMBER(SEARCH("TDD BP",$C364)),"Business Partner",IF(OR(ISNUMBER(SEARCH("domain architect",$C364)),ISNUMBER(SEARCH("enterprise architect",$C364))),"Domain Architect",IF(ISNUMBER(SEARCH("delivery man",$C364)),"Delivery Manager",IF(OR(ISNUMBER(SEARCH("technology manager",$C364)),ISNUMBER(SEARCH("technology manger",$C364)),ISNUMBER(SEARCH("tech manager",$C364))),"Technology Manager","Squad")))))))</f>
        <v>Squad</v>
      </c>
      <c r="AS364" s="1136" t="str">
        <f>IF(TRIM($B364)="","",IFERROR(INDEX(Lists!$AA:$AA,MATCH($AP364,Lists!$Z:$Z,0)),$AP364))</f>
        <v>Leadership</v>
      </c>
      <c r="AT364" s="1136" t="str">
        <f>IF(TRIM($B364)="","",IF(IFERROR(INDEX(Lists!$AP$2:$AP$11,MATCH(ROW(),Lists!$AN$2:$AN$11,0)),"")&lt;&gt;"",IFERROR(INDEX(Lists!$AP$2:$AP$11,MATCH(ROW(),Lists!$AN$2:$AN$11,0)),""),IF(OR(LEFT($AJ364,3)="COE",$AJ364="EGI"),$AP364,IF($AR364&lt;&gt;"Squad",$AR364,$AP364))))</f>
        <v>Leadership</v>
      </c>
    </row>
    <row r="365" ht="18" customHeight="1" s="866">
      <c r="A365" s="1155" t="n">
        <v>102576</v>
      </c>
      <c r="B365" s="1156" t="inlineStr">
        <is>
          <t>Glenn Earl</t>
        </is>
      </c>
      <c r="C365" s="1156" t="inlineStr">
        <is>
          <t>Lead Technology Support - Infrastructure</t>
        </is>
      </c>
      <c r="D365" s="1156" t="inlineStr">
        <is>
          <t>Jaya Ganasan</t>
        </is>
      </c>
      <c r="E365" s="1156" t="inlineStr">
        <is>
          <t>Technology Manager, TDD Refinery</t>
        </is>
      </c>
      <c r="F365" s="1157" t="inlineStr">
        <is>
          <t>TDD CFE&amp;I</t>
        </is>
      </c>
      <c r="G365" s="1158" t="inlineStr">
        <is>
          <t>Fuel Infrastructure</t>
        </is>
      </c>
      <c r="H365" s="1158" t="inlineStr">
        <is>
          <t>Refinery Applications</t>
        </is>
      </c>
      <c r="I365" s="1158" t="inlineStr">
        <is>
          <t>Infrastructure</t>
        </is>
      </c>
      <c r="J365" s="1158" t="inlineStr">
        <is>
          <t>Fuel Infrastructure</t>
        </is>
      </c>
      <c r="K365" s="1156" t="inlineStr">
        <is>
          <t>Technology Suport</t>
        </is>
      </c>
      <c r="L365" s="1158" t="n"/>
      <c r="M365" s="1159" t="inlineStr">
        <is>
          <t>Australia</t>
        </is>
      </c>
      <c r="N365" s="1160" t="inlineStr">
        <is>
          <t>CIA</t>
        </is>
      </c>
      <c r="O365" s="1160" t="n">
        <v>1</v>
      </c>
      <c r="P365" s="1160" t="n"/>
      <c r="Q365" s="1277" t="inlineStr">
        <is>
          <t>Permanent - Full Time</t>
        </is>
      </c>
      <c r="R365" s="1162" t="n"/>
      <c r="S365" s="1162" t="n"/>
      <c r="T365" s="1163" t="n">
        <v>130260</v>
      </c>
      <c r="U365" s="1164" t="n">
        <v>130260</v>
      </c>
      <c r="V365" s="1166" t="n">
        <v>0.1</v>
      </c>
      <c r="W365" s="1170" t="n">
        <v>0.055</v>
      </c>
      <c r="X365" s="1170" t="n">
        <v>0.12</v>
      </c>
      <c r="Y365" s="1171" t="n"/>
      <c r="Z365" s="1170" t="n">
        <v>0.04</v>
      </c>
      <c r="AA365" s="1168">
        <f>IF(TRIM($B365)="","",IF(N($AU365)&gt;0,$AU365,IF(N($S365)&gt;0,$S365*Lists!$AG$15*(1+N($Z365)),N($U365)*(1+N($V365)+N($W365)+N($X365)+N($Z365))+N($Y365))))</f>
        <v>171291.9</v>
      </c>
      <c r="AJ365" s="865" t="str">
        <f>IF(TRIM($B365)="","",IF(IFERROR(INDEX(Lists!$AO$2:$AO$11,MATCH(ROW(),Lists!$AN$2:$AN$11,0)),"")&lt;&gt;"",IFERROR(INDEX(Lists!$AO$2:$AO$11,MATCH(ROW(),Lists!$AN$2:$AN$11,0)),""),IFERROR(INDEX(Lists!$U:$U,MATCH(TRIM($I365),Lists!$T:$T,0)),TRIM($I365))))</f>
        <v>Infrastructure</v>
      </c>
      <c r="AK365" s="865" t="str">
        <f>IF(ISNUMBER(SEARCH("vacant",$B365)),"Vacant","Filled")</f>
        <v>Filled</v>
      </c>
      <c r="AL365" s="865" t="str">
        <f>IF($M365="NZ","NZ","AU")</f>
        <v>AU</v>
      </c>
      <c r="AM365" s="865">
        <f>COUNTIF($AJ$2:$AJ365,$AJ365)</f>
        <v>10</v>
      </c>
      <c r="AN365" s="865" t="str">
        <f>$AJ365&amp;"|"&amp;$AM365</f>
        <v>Infrastructure|10</v>
      </c>
      <c r="AP365" s="865" t="str">
        <f>IF(TRIM($B365)="","",IF($AQ365=1,"Leadership",IFERROR(INDEX(Lists!$X:$X,MATCH(TRIM($K365),Lists!$W:$W,0)),IF(OR(TRIM($K365)="",LOWER(TRIM($K365))="na"),IF(TRIM($G365)="","Unassigned",TRIM($G365)),TRIM($K365)))))</f>
        <v>Technology Support</v>
      </c>
      <c r="AQ365" s="865" t="b">
        <f>IF(TRIM($B365)="","",--OR(TRIM($K365)="Leadership",TRIM($J365)="Leadership"))</f>
        <v>0</v>
      </c>
      <c r="AR365" s="1136" t="str">
        <f>IF(TRIM($B365)="","",IF(IFERROR(INDEX(Lists!$AQ$2:$AQ$11,MATCH(ROW(),Lists!$AN$2:$AN$11,0)),"")&lt;&gt;"",IFERROR(INDEX(Lists!$AQ$2:$AQ$11,MATCH(ROW(),Lists!$AN$2:$AN$11,0)),""),IF(ISNUMBER(SEARCH("head of ",$C365)),"Head of Technology",IF(ISNUMBER(SEARCH("TDD BP",$C365)),"Business Partner",IF(OR(ISNUMBER(SEARCH("domain architect",$C365)),ISNUMBER(SEARCH("enterprise architect",$C365))),"Domain Architect",IF(ISNUMBER(SEARCH("delivery man",$C365)),"Delivery Manager",IF(OR(ISNUMBER(SEARCH("technology manager",$C365)),ISNUMBER(SEARCH("technology manger",$C365)),ISNUMBER(SEARCH("tech manager",$C365))),"Technology Manager","Squad")))))))</f>
        <v>Squad</v>
      </c>
      <c r="AS365" s="1136" t="str">
        <f>IF(TRIM($B365)="","",IFERROR(INDEX(Lists!$AA:$AA,MATCH($AP365,Lists!$Z:$Z,0)),$AP365))</f>
        <v>Technology Support</v>
      </c>
      <c r="AT365" s="1136" t="str">
        <f>IF(TRIM($B365)="","",IF(IFERROR(INDEX(Lists!$AP$2:$AP$11,MATCH(ROW(),Lists!$AN$2:$AN$11,0)),"")&lt;&gt;"",IFERROR(INDEX(Lists!$AP$2:$AP$11,MATCH(ROW(),Lists!$AN$2:$AN$11,0)),""),IF(OR(LEFT($AJ365,3)="COE",$AJ365="EGI"),$AP365,IF($AR365&lt;&gt;"Squad",$AR365,$AP365))))</f>
        <v>Technology Support</v>
      </c>
    </row>
    <row r="366" ht="18" customHeight="1" s="866">
      <c r="A366" s="1155" t="n">
        <v>99999100769</v>
      </c>
      <c r="B366" s="1156" t="inlineStr">
        <is>
          <t>Gokila Mylsamy</t>
        </is>
      </c>
      <c r="C366" s="1156" t="inlineStr">
        <is>
          <t>Lead Engineer Software</t>
        </is>
      </c>
      <c r="D366" s="1158" t="inlineStr">
        <is>
          <t>Vacant</t>
        </is>
      </c>
      <c r="E366" s="1156" t="inlineStr">
        <is>
          <t>Technology Manager, Energy Solutions</t>
        </is>
      </c>
      <c r="F366" s="1157" t="inlineStr">
        <is>
          <t>TDD CFE&amp;I</t>
        </is>
      </c>
      <c r="G366" s="1158" t="inlineStr">
        <is>
          <t>B2B &amp; Energy Solutions</t>
        </is>
      </c>
      <c r="H366" s="1158" t="inlineStr">
        <is>
          <t>Technology Energy Solutions</t>
        </is>
      </c>
      <c r="I366" s="1158" t="inlineStr">
        <is>
          <t>B2B &amp; Energy Solutions</t>
        </is>
      </c>
      <c r="J366" s="1158" t="inlineStr">
        <is>
          <t>Energy Solutions</t>
        </is>
      </c>
      <c r="K366" s="1156" t="inlineStr">
        <is>
          <t>EVCI</t>
        </is>
      </c>
      <c r="L366" s="1158" t="n"/>
      <c r="M366" s="1159" t="inlineStr">
        <is>
          <t>NZ</t>
        </is>
      </c>
      <c r="N366" s="1160" t="inlineStr">
        <is>
          <t>CIC</t>
        </is>
      </c>
      <c r="O366" s="1161" t="n">
        <v>1</v>
      </c>
      <c r="P366" s="1160" t="n"/>
      <c r="Q366" s="1278" t="inlineStr">
        <is>
          <t>Permanent - Full Time</t>
        </is>
      </c>
      <c r="R366" s="1162" t="n"/>
      <c r="S366" s="1162" t="n"/>
      <c r="T366" s="1163" t="n">
        <v>160220</v>
      </c>
      <c r="U366" s="1164" t="n">
        <v>147402.4</v>
      </c>
      <c r="V366" s="1165" t="n">
        <v>0.15</v>
      </c>
      <c r="W366" s="1161" t="n"/>
      <c r="X366" s="1166" t="n">
        <v>0.05</v>
      </c>
      <c r="Y366" s="1907" t="n">
        <v>2910</v>
      </c>
      <c r="Z366" s="1166" t="n">
        <v>0.03</v>
      </c>
      <c r="AA366" s="1168">
        <f>IF(TRIM($B366)="","",IF(N($AU366)&gt;0,$AU366,IF(N($S366)&gt;0,$S366*Lists!$AG$15*(1+N($Z366)),N($U366)*(1+N($V366)+N($W366)+N($X366)+N($Z366))+N($Y366))))</f>
        <v>184214.952</v>
      </c>
      <c r="AJ366" s="865" t="str">
        <f>IF(TRIM($B366)="","",IF(IFERROR(INDEX(Lists!$AO$2:$AO$11,MATCH(ROW(),Lists!$AN$2:$AN$11,0)),"")&lt;&gt;"",IFERROR(INDEX(Lists!$AO$2:$AO$11,MATCH(ROW(),Lists!$AN$2:$AN$11,0)),""),IFERROR(INDEX(Lists!$U:$U,MATCH(TRIM($I366),Lists!$T:$T,0)),TRIM($I366))))</f>
        <v>Energy Solutions &amp; B2B</v>
      </c>
      <c r="AK366" s="865" t="str">
        <f>IF(ISNUMBER(SEARCH("vacant",$B366)),"Vacant","Filled")</f>
        <v>Filled</v>
      </c>
      <c r="AL366" s="865" t="str">
        <f>IF($M366="NZ","NZ","AU")</f>
        <v>NZ</v>
      </c>
      <c r="AM366" s="865">
        <f>COUNTIF($AJ$2:$AJ366,$AJ366)</f>
        <v>12</v>
      </c>
      <c r="AN366" s="865" t="str">
        <f>$AJ366&amp;"|"&amp;$AM366</f>
        <v>Energy Solutions &amp; B2B|12</v>
      </c>
      <c r="AP366" s="865" t="str">
        <f>IF(TRIM($B366)="","",IF($AQ366=1,"Leadership",IFERROR(INDEX(Lists!$X:$X,MATCH(TRIM($K366),Lists!$W:$W,0)),IF(OR(TRIM($K366)="",LOWER(TRIM($K366))="na"),IF(TRIM($G366)="","Unassigned",TRIM($G366)),TRIM($K366)))))</f>
        <v>EVCI</v>
      </c>
      <c r="AQ366" s="865" t="b">
        <f>IF(TRIM($B366)="","",--OR(TRIM($K366)="Leadership",TRIM($J366)="Leadership"))</f>
        <v>0</v>
      </c>
      <c r="AR366" s="1136" t="str">
        <f>IF(TRIM($B366)="","",IF(IFERROR(INDEX(Lists!$AQ$2:$AQ$11,MATCH(ROW(),Lists!$AN$2:$AN$11,0)),"")&lt;&gt;"",IFERROR(INDEX(Lists!$AQ$2:$AQ$11,MATCH(ROW(),Lists!$AN$2:$AN$11,0)),""),IF(ISNUMBER(SEARCH("head of ",$C366)),"Head of Technology",IF(ISNUMBER(SEARCH("TDD BP",$C366)),"Business Partner",IF(OR(ISNUMBER(SEARCH("domain architect",$C366)),ISNUMBER(SEARCH("enterprise architect",$C366))),"Domain Architect",IF(ISNUMBER(SEARCH("delivery man",$C366)),"Delivery Manager",IF(OR(ISNUMBER(SEARCH("technology manager",$C366)),ISNUMBER(SEARCH("technology manger",$C366)),ISNUMBER(SEARCH("tech manager",$C366))),"Technology Manager","Squad")))))))</f>
        <v>Squad</v>
      </c>
      <c r="AS366" s="1136" t="str">
        <f>IF(TRIM($B366)="","",IFERROR(INDEX(Lists!$AA:$AA,MATCH($AP366,Lists!$Z:$Z,0)),$AP366))</f>
        <v>EVCI</v>
      </c>
      <c r="AT366" s="1136" t="str">
        <f>IF(TRIM($B366)="","",IF(IFERROR(INDEX(Lists!$AP$2:$AP$11,MATCH(ROW(),Lists!$AN$2:$AN$11,0)),"")&lt;&gt;"",IFERROR(INDEX(Lists!$AP$2:$AP$11,MATCH(ROW(),Lists!$AN$2:$AN$11,0)),""),IF(OR(LEFT($AJ366,3)="COE",$AJ366="EGI"),$AP366,IF($AR366&lt;&gt;"Squad",$AR366,$AP366))))</f>
        <v>EVCI</v>
      </c>
    </row>
    <row r="367" ht="18" customHeight="1" s="866">
      <c r="A367" s="1155" t="n">
        <v>107550</v>
      </c>
      <c r="B367" s="1156" t="inlineStr">
        <is>
          <t>Gunjan Vasudeva</t>
        </is>
      </c>
      <c r="C367" s="1156" t="inlineStr">
        <is>
          <t>Lead Quality Assurance</t>
        </is>
      </c>
      <c r="D367" s="1158" t="inlineStr">
        <is>
          <t>Vacant</t>
        </is>
      </c>
      <c r="E367" s="1156" t="inlineStr">
        <is>
          <t>Technology Manager, Energy Solutions</t>
        </is>
      </c>
      <c r="F367" s="1157" t="inlineStr">
        <is>
          <t>TDD CFE&amp;I</t>
        </is>
      </c>
      <c r="G367" s="1158" t="inlineStr">
        <is>
          <t>B2B &amp; Energy Solutions</t>
        </is>
      </c>
      <c r="H367" s="1158" t="inlineStr">
        <is>
          <t>Technology Energy Solutions</t>
        </is>
      </c>
      <c r="I367" s="1158" t="inlineStr">
        <is>
          <t>B2B &amp; Energy Solutions</t>
        </is>
      </c>
      <c r="J367" s="1158" t="inlineStr">
        <is>
          <t>Energy Solutions</t>
        </is>
      </c>
      <c r="K367" s="1156" t="inlineStr">
        <is>
          <t>Energy</t>
        </is>
      </c>
      <c r="L367" s="1158" t="n"/>
      <c r="M367" s="1159" t="inlineStr">
        <is>
          <t>Australia</t>
        </is>
      </c>
      <c r="N367" s="1160" t="inlineStr">
        <is>
          <t>CIB</t>
        </is>
      </c>
      <c r="O367" s="1160" t="n">
        <v>1</v>
      </c>
      <c r="P367" s="1160" t="n"/>
      <c r="Q367" s="1277" t="inlineStr">
        <is>
          <t>Permanent - Full Time</t>
        </is>
      </c>
      <c r="R367" s="1162" t="n"/>
      <c r="S367" s="1162" t="n"/>
      <c r="T367" s="1163" t="n">
        <v>156160</v>
      </c>
      <c r="U367" s="1164" t="n">
        <v>156160</v>
      </c>
      <c r="V367" s="1166" t="n">
        <v>0.12</v>
      </c>
      <c r="W367" s="1170" t="n">
        <v>0.055</v>
      </c>
      <c r="X367" s="1170" t="n">
        <v>0.12</v>
      </c>
      <c r="Y367" s="1171" t="n"/>
      <c r="Z367" s="1170" t="n">
        <v>0.04</v>
      </c>
      <c r="AA367" s="1168">
        <f>IF(TRIM($B367)="","",IF(N($AU367)&gt;0,$AU367,IF(N($S367)&gt;0,$S367*Lists!$AG$15*(1+N($Z367)),N($U367)*(1+N($V367)+N($W367)+N($X367)+N($Z367))+N($Y367))))</f>
        <v>208473.6</v>
      </c>
      <c r="AJ367" s="865" t="str">
        <f>IF(TRIM($B367)="","",IF(IFERROR(INDEX(Lists!$AO$2:$AO$11,MATCH(ROW(),Lists!$AN$2:$AN$11,0)),"")&lt;&gt;"",IFERROR(INDEX(Lists!$AO$2:$AO$11,MATCH(ROW(),Lists!$AN$2:$AN$11,0)),""),IFERROR(INDEX(Lists!$U:$U,MATCH(TRIM($I367),Lists!$T:$T,0)),TRIM($I367))))</f>
        <v>Energy Solutions &amp; B2B</v>
      </c>
      <c r="AK367" s="865" t="str">
        <f>IF(ISNUMBER(SEARCH("vacant",$B367)),"Vacant","Filled")</f>
        <v>Filled</v>
      </c>
      <c r="AL367" s="865" t="str">
        <f>IF($M367="NZ","NZ","AU")</f>
        <v>AU</v>
      </c>
      <c r="AM367" s="865">
        <f>COUNTIF($AJ$2:$AJ367,$AJ367)</f>
        <v>13</v>
      </c>
      <c r="AN367" s="865" t="str">
        <f>$AJ367&amp;"|"&amp;$AM367</f>
        <v>Energy Solutions &amp; B2B|13</v>
      </c>
      <c r="AP367" s="865" t="str">
        <f>IF(TRIM($B367)="","",IF($AQ367=1,"Leadership",IFERROR(INDEX(Lists!$X:$X,MATCH(TRIM($K367),Lists!$W:$W,0)),IF(OR(TRIM($K367)="",LOWER(TRIM($K367))="na"),IF(TRIM($G367)="","Unassigned",TRIM($G367)),TRIM($K367)))))</f>
        <v>Energy</v>
      </c>
      <c r="AQ367" s="865" t="b">
        <f>IF(TRIM($B367)="","",--OR(TRIM($K367)="Leadership",TRIM($J367)="Leadership"))</f>
        <v>0</v>
      </c>
      <c r="AR367" s="1136" t="str">
        <f>IF(TRIM($B367)="","",IF(IFERROR(INDEX(Lists!$AQ$2:$AQ$11,MATCH(ROW(),Lists!$AN$2:$AN$11,0)),"")&lt;&gt;"",IFERROR(INDEX(Lists!$AQ$2:$AQ$11,MATCH(ROW(),Lists!$AN$2:$AN$11,0)),""),IF(ISNUMBER(SEARCH("head of ",$C367)),"Head of Technology",IF(ISNUMBER(SEARCH("TDD BP",$C367)),"Business Partner",IF(OR(ISNUMBER(SEARCH("domain architect",$C367)),ISNUMBER(SEARCH("enterprise architect",$C367))),"Domain Architect",IF(ISNUMBER(SEARCH("delivery man",$C367)),"Delivery Manager",IF(OR(ISNUMBER(SEARCH("technology manager",$C367)),ISNUMBER(SEARCH("technology manger",$C367)),ISNUMBER(SEARCH("tech manager",$C367))),"Technology Manager","Squad")))))))</f>
        <v>Squad</v>
      </c>
      <c r="AS367" s="1136" t="str">
        <f>IF(TRIM($B367)="","",IFERROR(INDEX(Lists!$AA:$AA,MATCH($AP367,Lists!$Z:$Z,0)),$AP367))</f>
        <v>Energy</v>
      </c>
      <c r="AT367" s="1136" t="str">
        <f>IF(TRIM($B367)="","",IF(IFERROR(INDEX(Lists!$AP$2:$AP$11,MATCH(ROW(),Lists!$AN$2:$AN$11,0)),"")&lt;&gt;"",IFERROR(INDEX(Lists!$AP$2:$AP$11,MATCH(ROW(),Lists!$AN$2:$AN$11,0)),""),IF(OR(LEFT($AJ367,3)="COE",$AJ367="EGI"),$AP367,IF($AR367&lt;&gt;"Squad",$AR367,$AP367))))</f>
        <v>Energy</v>
      </c>
    </row>
    <row r="368" ht="18" customHeight="1" s="866">
      <c r="A368" s="1155" t="n">
        <v>103651</v>
      </c>
      <c r="B368" s="1156" t="inlineStr">
        <is>
          <t>Hari Maneti</t>
        </is>
      </c>
      <c r="C368" s="1156" t="inlineStr">
        <is>
          <t>Systems Analyst</t>
        </is>
      </c>
      <c r="D368" s="1156" t="inlineStr">
        <is>
          <t>Allan Francia</t>
        </is>
      </c>
      <c r="E368" s="1156" t="inlineStr">
        <is>
          <t>Technology Manager, T&amp;S</t>
        </is>
      </c>
      <c r="F368" s="1157" t="inlineStr">
        <is>
          <t>TDD CFE&amp;I</t>
        </is>
      </c>
      <c r="G368" s="1158" t="inlineStr">
        <is>
          <t>Commercial Fuels</t>
        </is>
      </c>
      <c r="H368" s="1158" t="inlineStr">
        <is>
          <t>Technology, Trading &amp; Shipping</t>
        </is>
      </c>
      <c r="I368" s="1158" t="inlineStr">
        <is>
          <t>Commercial Fuels</t>
        </is>
      </c>
      <c r="J368" s="1158" t="inlineStr">
        <is>
          <t>Trading &amp; Shipping</t>
        </is>
      </c>
      <c r="K368" s="1156" t="inlineStr">
        <is>
          <t>Trading &amp; Shipping</t>
        </is>
      </c>
      <c r="L368" s="1158" t="n"/>
      <c r="M368" s="1159" t="inlineStr">
        <is>
          <t>Singapore</t>
        </is>
      </c>
      <c r="N368" s="1160" t="inlineStr">
        <is>
          <t>CIB</t>
        </is>
      </c>
      <c r="O368" s="1160" t="n">
        <v>1</v>
      </c>
      <c r="P368" s="1160" t="n"/>
      <c r="Q368" s="1277" t="inlineStr">
        <is>
          <t>Permanent - Full Time</t>
        </is>
      </c>
      <c r="R368" s="1162" t="n"/>
      <c r="S368" s="1162" t="n"/>
      <c r="T368" s="1163" t="n">
        <v>163780</v>
      </c>
      <c r="U368" s="1164" t="n">
        <v>198173.8</v>
      </c>
      <c r="V368" s="1166" t="n">
        <v>0.25</v>
      </c>
      <c r="W368" s="1162" t="n"/>
      <c r="X368" s="1166" t="n">
        <v>0.17</v>
      </c>
      <c r="Y368" s="1907" t="n">
        <v>3310</v>
      </c>
      <c r="Z368" s="1207" t="n">
        <v>0.045</v>
      </c>
      <c r="AA368" s="1168">
        <f>IF(TRIM($B368)="","",IF(N($AU368)&gt;0,$AU368,IF(N($S368)&gt;0,$S368*Lists!$AG$15*(1+N($Z368)),N($U368)*(1+N($V368)+N($W368)+N($X368)+N($Z368))+N($Y368))))</f>
        <v>293634.617</v>
      </c>
      <c r="AJ368" s="865" t="str">
        <f>IF(TRIM($B368)="","",IF(IFERROR(INDEX(Lists!$AO$2:$AO$11,MATCH(ROW(),Lists!$AN$2:$AN$11,0)),"")&lt;&gt;"",IFERROR(INDEX(Lists!$AO$2:$AO$11,MATCH(ROW(),Lists!$AN$2:$AN$11,0)),""),IFERROR(INDEX(Lists!$U:$U,MATCH(TRIM($I368),Lists!$T:$T,0)),TRIM($I368))))</f>
        <v>Commercial Fuels</v>
      </c>
      <c r="AK368" s="865" t="str">
        <f>IF(ISNUMBER(SEARCH("vacant",$B368)),"Vacant","Filled")</f>
        <v>Filled</v>
      </c>
      <c r="AL368" s="865" t="str">
        <f>IF($M368="NZ","NZ","AU")</f>
        <v>AU</v>
      </c>
      <c r="AM368" s="865">
        <f>COUNTIF($AJ$2:$AJ368,$AJ368)</f>
        <v>13</v>
      </c>
      <c r="AN368" s="865" t="str">
        <f>$AJ368&amp;"|"&amp;$AM368</f>
        <v>Commercial Fuels|13</v>
      </c>
      <c r="AP368" s="865" t="str">
        <f>IF(TRIM($B368)="","",IF($AQ368=1,"Leadership",IFERROR(INDEX(Lists!$X:$X,MATCH(TRIM($K368),Lists!$W:$W,0)),IF(OR(TRIM($K368)="",LOWER(TRIM($K368))="na"),IF(TRIM($G368)="","Unassigned",TRIM($G368)),TRIM($K368)))))</f>
        <v>Trading &amp; Shipping</v>
      </c>
      <c r="AQ368" s="865" t="b">
        <f>IF(TRIM($B368)="","",--OR(TRIM($K368)="Leadership",TRIM($J368)="Leadership"))</f>
        <v>0</v>
      </c>
      <c r="AR368" s="1136" t="str">
        <f>IF(TRIM($B368)="","",IF(IFERROR(INDEX(Lists!$AQ$2:$AQ$11,MATCH(ROW(),Lists!$AN$2:$AN$11,0)),"")&lt;&gt;"",IFERROR(INDEX(Lists!$AQ$2:$AQ$11,MATCH(ROW(),Lists!$AN$2:$AN$11,0)),""),IF(ISNUMBER(SEARCH("head of ",$C368)),"Head of Technology",IF(ISNUMBER(SEARCH("TDD BP",$C368)),"Business Partner",IF(OR(ISNUMBER(SEARCH("domain architect",$C368)),ISNUMBER(SEARCH("enterprise architect",$C368))),"Domain Architect",IF(ISNUMBER(SEARCH("delivery man",$C368)),"Delivery Manager",IF(OR(ISNUMBER(SEARCH("technology manager",$C368)),ISNUMBER(SEARCH("technology manger",$C368)),ISNUMBER(SEARCH("tech manager",$C368))),"Technology Manager","Squad")))))))</f>
        <v>Squad</v>
      </c>
      <c r="AS368" s="1136" t="str">
        <f>IF(TRIM($B368)="","",IFERROR(INDEX(Lists!$AA:$AA,MATCH($AP368,Lists!$Z:$Z,0)),$AP368))</f>
        <v>Trading &amp; Shipping</v>
      </c>
      <c r="AT368" s="1136" t="str">
        <f>IF(TRIM($B368)="","",IF(IFERROR(INDEX(Lists!$AP$2:$AP$11,MATCH(ROW(),Lists!$AN$2:$AN$11,0)),"")&lt;&gt;"",IFERROR(INDEX(Lists!$AP$2:$AP$11,MATCH(ROW(),Lists!$AN$2:$AN$11,0)),""),IF(OR(LEFT($AJ368,3)="COE",$AJ368="EGI"),$AP368,IF($AR368&lt;&gt;"Squad",$AR368,$AP368))))</f>
        <v>Trading &amp; Shipping</v>
      </c>
    </row>
    <row r="369" ht="18" customHeight="1" s="866">
      <c r="A369" s="1155" t="n">
        <v>99999101143</v>
      </c>
      <c r="B369" s="1156" t="inlineStr">
        <is>
          <t>Hayden Corney</t>
        </is>
      </c>
      <c r="C369" s="1156" t="inlineStr">
        <is>
          <t>Lead Engineer Software</t>
        </is>
      </c>
      <c r="D369" s="1158" t="inlineStr">
        <is>
          <t>Vacant</t>
        </is>
      </c>
      <c r="E369" s="1156" t="inlineStr">
        <is>
          <t>Technology Manager, Engineering</t>
        </is>
      </c>
      <c r="F369" s="1157" t="inlineStr">
        <is>
          <t>TDD CFE&amp;I</t>
        </is>
      </c>
      <c r="G369" s="1158" t="inlineStr">
        <is>
          <t>Commercial Fuels</t>
        </is>
      </c>
      <c r="H369" s="1158" t="inlineStr">
        <is>
          <t>Technology, CF Engineering</t>
        </is>
      </c>
      <c r="I369" s="1158" t="inlineStr">
        <is>
          <t>Commercial Fuels</t>
        </is>
      </c>
      <c r="J369" s="1156" t="inlineStr">
        <is>
          <t>CTRM</t>
        </is>
      </c>
      <c r="K369" s="1156" t="inlineStr">
        <is>
          <t>CTRM</t>
        </is>
      </c>
      <c r="L369" s="1158" t="n"/>
      <c r="M369" s="1159" t="inlineStr">
        <is>
          <t>NZ</t>
        </is>
      </c>
      <c r="N369" s="1160" t="inlineStr">
        <is>
          <t>CIC</t>
        </is>
      </c>
      <c r="O369" s="1161" t="n">
        <v>1</v>
      </c>
      <c r="P369" s="1160" t="n"/>
      <c r="Q369" s="1278" t="inlineStr">
        <is>
          <t>Permanent - Full Time</t>
        </is>
      </c>
      <c r="R369" s="1162" t="n"/>
      <c r="S369" s="1162" t="n"/>
      <c r="T369" s="1163" t="n">
        <v>171800</v>
      </c>
      <c r="U369" s="1164" t="n">
        <v>158056</v>
      </c>
      <c r="V369" s="1165" t="n">
        <v>0.15</v>
      </c>
      <c r="W369" s="1161" t="n"/>
      <c r="X369" s="1166" t="n">
        <v>0.05</v>
      </c>
      <c r="Y369" s="1907" t="n">
        <v>2910</v>
      </c>
      <c r="Z369" s="1166" t="n">
        <v>0.03</v>
      </c>
      <c r="AA369" s="1168">
        <f>IF(TRIM($B369)="","",IF(N($AU369)&gt;0,$AU369,IF(N($S369)&gt;0,$S369*Lists!$AG$15*(1+N($Z369)),N($U369)*(1+N($V369)+N($W369)+N($X369)+N($Z369))+N($Y369))))</f>
        <v>197318.88</v>
      </c>
      <c r="AJ369" s="865" t="str">
        <f>IF(TRIM($B369)="","",IF(IFERROR(INDEX(Lists!$AO$2:$AO$11,MATCH(ROW(),Lists!$AN$2:$AN$11,0)),"")&lt;&gt;"",IFERROR(INDEX(Lists!$AO$2:$AO$11,MATCH(ROW(),Lists!$AN$2:$AN$11,0)),""),IFERROR(INDEX(Lists!$U:$U,MATCH(TRIM($I369),Lists!$T:$T,0)),TRIM($I369))))</f>
        <v>Commercial Fuels</v>
      </c>
      <c r="AK369" s="865" t="str">
        <f>IF(ISNUMBER(SEARCH("vacant",$B369)),"Vacant","Filled")</f>
        <v>Filled</v>
      </c>
      <c r="AL369" s="865" t="str">
        <f>IF($M369="NZ","NZ","AU")</f>
        <v>NZ</v>
      </c>
      <c r="AM369" s="865">
        <f>COUNTIF($AJ$2:$AJ369,$AJ369)</f>
        <v>14</v>
      </c>
      <c r="AN369" s="865" t="str">
        <f>$AJ369&amp;"|"&amp;$AM369</f>
        <v>Commercial Fuels|14</v>
      </c>
      <c r="AP369" s="865" t="str">
        <f>IF(TRIM($B369)="","",IF($AQ369=1,"Leadership",IFERROR(INDEX(Lists!$X:$X,MATCH(TRIM($K369),Lists!$W:$W,0)),IF(OR(TRIM($K369)="",LOWER(TRIM($K369))="na"),IF(TRIM($G369)="","Unassigned",TRIM($G369)),TRIM($K369)))))</f>
        <v>CTRM</v>
      </c>
      <c r="AQ369" s="865" t="b">
        <f>IF(TRIM($B369)="","",--OR(TRIM($K369)="Leadership",TRIM($J369)="Leadership"))</f>
        <v>0</v>
      </c>
      <c r="AR369" s="1136" t="str">
        <f>IF(TRIM($B369)="","",IF(IFERROR(INDEX(Lists!$AQ$2:$AQ$11,MATCH(ROW(),Lists!$AN$2:$AN$11,0)),"")&lt;&gt;"",IFERROR(INDEX(Lists!$AQ$2:$AQ$11,MATCH(ROW(),Lists!$AN$2:$AN$11,0)),""),IF(ISNUMBER(SEARCH("head of ",$C369)),"Head of Technology",IF(ISNUMBER(SEARCH("TDD BP",$C369)),"Business Partner",IF(OR(ISNUMBER(SEARCH("domain architect",$C369)),ISNUMBER(SEARCH("enterprise architect",$C369))),"Domain Architect",IF(ISNUMBER(SEARCH("delivery man",$C369)),"Delivery Manager",IF(OR(ISNUMBER(SEARCH("technology manager",$C369)),ISNUMBER(SEARCH("technology manger",$C369)),ISNUMBER(SEARCH("tech manager",$C369))),"Technology Manager","Squad")))))))</f>
        <v>Squad</v>
      </c>
      <c r="AS369" s="1136" t="str">
        <f>IF(TRIM($B369)="","",IFERROR(INDEX(Lists!$AA:$AA,MATCH($AP369,Lists!$Z:$Z,0)),$AP369))</f>
        <v>CTRM</v>
      </c>
      <c r="AT369" s="1136" t="str">
        <f>IF(TRIM($B369)="","",IF(IFERROR(INDEX(Lists!$AP$2:$AP$11,MATCH(ROW(),Lists!$AN$2:$AN$11,0)),"")&lt;&gt;"",IFERROR(INDEX(Lists!$AP$2:$AP$11,MATCH(ROW(),Lists!$AN$2:$AN$11,0)),""),IF(OR(LEFT($AJ369,3)="COE",$AJ369="EGI"),$AP369,IF($AR369&lt;&gt;"Squad",$AR369,$AP369))))</f>
        <v>CTRM</v>
      </c>
    </row>
    <row r="370" ht="18" customHeight="1" s="866">
      <c r="A370" s="1155" t="n">
        <v>108075</v>
      </c>
      <c r="B370" s="1156" t="inlineStr">
        <is>
          <t>Isha Riyat</t>
        </is>
      </c>
      <c r="C370" s="1156" t="inlineStr">
        <is>
          <t>Senior Business Analyst</t>
        </is>
      </c>
      <c r="D370" s="1158" t="inlineStr">
        <is>
          <t>Vacant</t>
        </is>
      </c>
      <c r="E370" s="1156" t="inlineStr">
        <is>
          <t>Delivery Manager</t>
        </is>
      </c>
      <c r="F370" s="1157" t="inlineStr">
        <is>
          <t>TDD CFE&amp;I</t>
        </is>
      </c>
      <c r="G370" s="1158" t="inlineStr">
        <is>
          <t>Commercial Fuels</t>
        </is>
      </c>
      <c r="H370" s="1158" t="inlineStr">
        <is>
          <t>Delivery, Commercial Fuels</t>
        </is>
      </c>
      <c r="I370" s="1158" t="inlineStr">
        <is>
          <t>Commercial Fuels</t>
        </is>
      </c>
      <c r="J370" s="1158" t="inlineStr">
        <is>
          <t>Trading &amp; Shipping</t>
        </is>
      </c>
      <c r="K370" s="1158" t="inlineStr">
        <is>
          <t>Trading &amp; Shipping</t>
        </is>
      </c>
      <c r="L370" s="1156" t="n"/>
      <c r="M370" s="1159" t="inlineStr">
        <is>
          <t>Australia</t>
        </is>
      </c>
      <c r="N370" s="1160" t="inlineStr">
        <is>
          <t>CIB</t>
        </is>
      </c>
      <c r="O370" s="1160" t="n">
        <v>1</v>
      </c>
      <c r="P370" s="1160" t="n"/>
      <c r="Q370" s="1277" t="inlineStr">
        <is>
          <t>Permanent - Full Time</t>
        </is>
      </c>
      <c r="R370" s="1162" t="n"/>
      <c r="S370" s="1162" t="n"/>
      <c r="T370" s="1163" t="n">
        <v>169610</v>
      </c>
      <c r="U370" s="1164" t="n">
        <v>169610</v>
      </c>
      <c r="V370" s="1166" t="n">
        <v>0.12</v>
      </c>
      <c r="W370" s="1170" t="n">
        <v>0.055</v>
      </c>
      <c r="X370" s="1170" t="n">
        <v>0.12</v>
      </c>
      <c r="Y370" s="1171" t="n"/>
      <c r="Z370" s="1170" t="n">
        <v>0.04</v>
      </c>
      <c r="AA370" s="1168">
        <f>IF(TRIM($B370)="","",IF(N($AU370)&gt;0,$AU370,IF(N($S370)&gt;0,$S370*Lists!$AG$15*(1+N($Z370)),N($U370)*(1+N($V370)+N($W370)+N($X370)+N($Z370))+N($Y370))))</f>
        <v>226429.35</v>
      </c>
      <c r="AJ370" s="865" t="str">
        <f>IF(TRIM($B370)="","",IF(IFERROR(INDEX(Lists!$AO$2:$AO$11,MATCH(ROW(),Lists!$AN$2:$AN$11,0)),"")&lt;&gt;"",IFERROR(INDEX(Lists!$AO$2:$AO$11,MATCH(ROW(),Lists!$AN$2:$AN$11,0)),""),IFERROR(INDEX(Lists!$U:$U,MATCH(TRIM($I370),Lists!$T:$T,0)),TRIM($I370))))</f>
        <v>Commercial Fuels</v>
      </c>
      <c r="AK370" s="865" t="str">
        <f>IF(ISNUMBER(SEARCH("vacant",$B370)),"Vacant","Filled")</f>
        <v>Filled</v>
      </c>
      <c r="AL370" s="865" t="str">
        <f>IF($M370="NZ","NZ","AU")</f>
        <v>AU</v>
      </c>
      <c r="AM370" s="865">
        <f>COUNTIF($AJ$2:$AJ370,$AJ370)</f>
        <v>15</v>
      </c>
      <c r="AN370" s="865" t="str">
        <f>$AJ370&amp;"|"&amp;$AM370</f>
        <v>Commercial Fuels|15</v>
      </c>
      <c r="AP370" s="865" t="str">
        <f>IF(TRIM($B370)="","",IF($AQ370=1,"Leadership",IFERROR(INDEX(Lists!$X:$X,MATCH(TRIM($K370),Lists!$W:$W,0)),IF(OR(TRIM($K370)="",LOWER(TRIM($K370))="na"),IF(TRIM($G370)="","Unassigned",TRIM($G370)),TRIM($K370)))))</f>
        <v>Trading &amp; Shipping</v>
      </c>
      <c r="AQ370" s="865" t="b">
        <f>IF(TRIM($B370)="","",--OR(TRIM($K370)="Leadership",TRIM($J370)="Leadership"))</f>
        <v>0</v>
      </c>
      <c r="AR370" s="1136" t="str">
        <f>IF(TRIM($B370)="","",IF(IFERROR(INDEX(Lists!$AQ$2:$AQ$11,MATCH(ROW(),Lists!$AN$2:$AN$11,0)),"")&lt;&gt;"",IFERROR(INDEX(Lists!$AQ$2:$AQ$11,MATCH(ROW(),Lists!$AN$2:$AN$11,0)),""),IF(ISNUMBER(SEARCH("head of ",$C370)),"Head of Technology",IF(ISNUMBER(SEARCH("TDD BP",$C370)),"Business Partner",IF(OR(ISNUMBER(SEARCH("domain architect",$C370)),ISNUMBER(SEARCH("enterprise architect",$C370))),"Domain Architect",IF(ISNUMBER(SEARCH("delivery man",$C370)),"Delivery Manager",IF(OR(ISNUMBER(SEARCH("technology manager",$C370)),ISNUMBER(SEARCH("technology manger",$C370)),ISNUMBER(SEARCH("tech manager",$C370))),"Technology Manager","Squad")))))))</f>
        <v>Squad</v>
      </c>
      <c r="AS370" s="1136" t="str">
        <f>IF(TRIM($B370)="","",IFERROR(INDEX(Lists!$AA:$AA,MATCH($AP370,Lists!$Z:$Z,0)),$AP370))</f>
        <v>Trading &amp; Shipping</v>
      </c>
      <c r="AT370" s="1136" t="str">
        <f>IF(TRIM($B370)="","",IF(IFERROR(INDEX(Lists!$AP$2:$AP$11,MATCH(ROW(),Lists!$AN$2:$AN$11,0)),"")&lt;&gt;"",IFERROR(INDEX(Lists!$AP$2:$AP$11,MATCH(ROW(),Lists!$AN$2:$AN$11,0)),""),IF(OR(LEFT($AJ370,3)="COE",$AJ370="EGI"),$AP370,IF($AR370&lt;&gt;"Squad",$AR370,$AP370))))</f>
        <v>Trading &amp; Shipping</v>
      </c>
    </row>
    <row r="371" ht="18" customHeight="1" s="866">
      <c r="A371" s="1155" t="n">
        <v>104159</v>
      </c>
      <c r="B371" s="1156" t="inlineStr">
        <is>
          <t>James Hung</t>
        </is>
      </c>
      <c r="C371" s="1156" t="inlineStr">
        <is>
          <t>System Specialist</t>
        </is>
      </c>
      <c r="D371" s="1158" t="inlineStr">
        <is>
          <t>Vacant</t>
        </is>
      </c>
      <c r="E371" s="1156" t="inlineStr">
        <is>
          <t>Technology Manager, Energy Solutions</t>
        </is>
      </c>
      <c r="F371" s="1157" t="inlineStr">
        <is>
          <t>TDD CFE&amp;I</t>
        </is>
      </c>
      <c r="G371" s="1158" t="inlineStr">
        <is>
          <t>B2B &amp; Energy Solutions</t>
        </is>
      </c>
      <c r="H371" s="1158" t="inlineStr">
        <is>
          <t>Technology Energy Solutions</t>
        </is>
      </c>
      <c r="I371" s="1158" t="inlineStr">
        <is>
          <t>B2B &amp; Energy Solutions</t>
        </is>
      </c>
      <c r="J371" s="1158" t="inlineStr">
        <is>
          <t>Energy Solutions</t>
        </is>
      </c>
      <c r="K371" s="1156" t="inlineStr">
        <is>
          <t>Energy</t>
        </is>
      </c>
      <c r="L371" s="1158" t="n"/>
      <c r="M371" s="1159" t="inlineStr">
        <is>
          <t>Australia</t>
        </is>
      </c>
      <c r="N371" s="1160" t="inlineStr">
        <is>
          <t>CIB</t>
        </is>
      </c>
      <c r="O371" s="1160" t="n">
        <v>1</v>
      </c>
      <c r="P371" s="1160" t="n"/>
      <c r="Q371" s="1277" t="inlineStr">
        <is>
          <t>Permanent - Full Time</t>
        </is>
      </c>
      <c r="R371" s="1162" t="n"/>
      <c r="S371" s="1162" t="n"/>
      <c r="T371" s="1163" t="n">
        <v>159950</v>
      </c>
      <c r="U371" s="1164" t="n">
        <v>159950</v>
      </c>
      <c r="V371" s="1166" t="n">
        <v>0.12</v>
      </c>
      <c r="W371" s="1170" t="n">
        <v>0.055</v>
      </c>
      <c r="X371" s="1170" t="n">
        <v>0.12</v>
      </c>
      <c r="Y371" s="1171" t="n"/>
      <c r="Z371" s="1170" t="n">
        <v>0.04</v>
      </c>
      <c r="AA371" s="1168">
        <f>IF(TRIM($B371)="","",IF(N($AU371)&gt;0,$AU371,IF(N($S371)&gt;0,$S371*Lists!$AG$15*(1+N($Z371)),N($U371)*(1+N($V371)+N($W371)+N($X371)+N($Z371))+N($Y371))))</f>
        <v>213533.25</v>
      </c>
      <c r="AJ371" s="865" t="str">
        <f>IF(TRIM($B371)="","",IF(IFERROR(INDEX(Lists!$AO$2:$AO$11,MATCH(ROW(),Lists!$AN$2:$AN$11,0)),"")&lt;&gt;"",IFERROR(INDEX(Lists!$AO$2:$AO$11,MATCH(ROW(),Lists!$AN$2:$AN$11,0)),""),IFERROR(INDEX(Lists!$U:$U,MATCH(TRIM($I371),Lists!$T:$T,0)),TRIM($I371))))</f>
        <v>Energy Solutions &amp; B2B</v>
      </c>
      <c r="AK371" s="865" t="str">
        <f>IF(ISNUMBER(SEARCH("vacant",$B371)),"Vacant","Filled")</f>
        <v>Filled</v>
      </c>
      <c r="AL371" s="865" t="str">
        <f>IF($M371="NZ","NZ","AU")</f>
        <v>AU</v>
      </c>
      <c r="AM371" s="865">
        <f>COUNTIF($AJ$2:$AJ371,$AJ371)</f>
        <v>14</v>
      </c>
      <c r="AN371" s="865" t="str">
        <f>$AJ371&amp;"|"&amp;$AM371</f>
        <v>Energy Solutions &amp; B2B|14</v>
      </c>
      <c r="AP371" s="865" t="str">
        <f>IF(TRIM($B371)="","",IF($AQ371=1,"Leadership",IFERROR(INDEX(Lists!$X:$X,MATCH(TRIM($K371),Lists!$W:$W,0)),IF(OR(TRIM($K371)="",LOWER(TRIM($K371))="na"),IF(TRIM($G371)="","Unassigned",TRIM($G371)),TRIM($K371)))))</f>
        <v>Energy</v>
      </c>
      <c r="AQ371" s="865" t="b">
        <f>IF(TRIM($B371)="","",--OR(TRIM($K371)="Leadership",TRIM($J371)="Leadership"))</f>
        <v>0</v>
      </c>
      <c r="AR371" s="1136" t="str">
        <f>IF(TRIM($B371)="","",IF(IFERROR(INDEX(Lists!$AQ$2:$AQ$11,MATCH(ROW(),Lists!$AN$2:$AN$11,0)),"")&lt;&gt;"",IFERROR(INDEX(Lists!$AQ$2:$AQ$11,MATCH(ROW(),Lists!$AN$2:$AN$11,0)),""),IF(ISNUMBER(SEARCH("head of ",$C371)),"Head of Technology",IF(ISNUMBER(SEARCH("TDD BP",$C371)),"Business Partner",IF(OR(ISNUMBER(SEARCH("domain architect",$C371)),ISNUMBER(SEARCH("enterprise architect",$C371))),"Domain Architect",IF(ISNUMBER(SEARCH("delivery man",$C371)),"Delivery Manager",IF(OR(ISNUMBER(SEARCH("technology manager",$C371)),ISNUMBER(SEARCH("technology manger",$C371)),ISNUMBER(SEARCH("tech manager",$C371))),"Technology Manager","Squad")))))))</f>
        <v>Squad</v>
      </c>
      <c r="AS371" s="1136" t="str">
        <f>IF(TRIM($B371)="","",IFERROR(INDEX(Lists!$AA:$AA,MATCH($AP371,Lists!$Z:$Z,0)),$AP371))</f>
        <v>Energy</v>
      </c>
      <c r="AT371" s="1136" t="str">
        <f>IF(TRIM($B371)="","",IF(IFERROR(INDEX(Lists!$AP$2:$AP$11,MATCH(ROW(),Lists!$AN$2:$AN$11,0)),"")&lt;&gt;"",IFERROR(INDEX(Lists!$AP$2:$AP$11,MATCH(ROW(),Lists!$AN$2:$AN$11,0)),""),IF(OR(LEFT($AJ371,3)="COE",$AJ371="EGI"),$AP371,IF($AR371&lt;&gt;"Squad",$AR371,$AP371))))</f>
        <v>Energy</v>
      </c>
    </row>
    <row r="372" ht="18" customHeight="1" s="866">
      <c r="A372" s="1155" t="n">
        <v>109475</v>
      </c>
      <c r="B372" s="1156" t="inlineStr">
        <is>
          <t>Jaya Ganasan</t>
        </is>
      </c>
      <c r="C372" s="1156" t="inlineStr">
        <is>
          <t>B2B &amp; Energy+B452:I452</t>
        </is>
      </c>
      <c r="D372" s="1156" t="inlineStr">
        <is>
          <t>Amish Pandit</t>
        </is>
      </c>
      <c r="E372" s="1156" t="inlineStr">
        <is>
          <t>Head of Technology, Fuel Infrastructure</t>
        </is>
      </c>
      <c r="F372" s="1157" t="inlineStr">
        <is>
          <t>TDD CFE&amp;I</t>
        </is>
      </c>
      <c r="G372" s="1158" t="inlineStr">
        <is>
          <t>Fuel Infrastructure</t>
        </is>
      </c>
      <c r="H372" s="1158" t="inlineStr">
        <is>
          <t>Refinery Applications</t>
        </is>
      </c>
      <c r="I372" s="1158" t="inlineStr">
        <is>
          <t>Infrastructure</t>
        </is>
      </c>
      <c r="J372" s="1158" t="inlineStr">
        <is>
          <t>Manufacturing</t>
        </is>
      </c>
      <c r="K372" s="1156" t="inlineStr">
        <is>
          <t>Manufacturing Group Projects</t>
        </is>
      </c>
      <c r="L372" s="1158" t="n"/>
      <c r="M372" s="1159" t="inlineStr">
        <is>
          <t>Australia</t>
        </is>
      </c>
      <c r="N372" s="1160" t="inlineStr">
        <is>
          <t>CSB</t>
        </is>
      </c>
      <c r="O372" s="1160" t="n">
        <v>1</v>
      </c>
      <c r="P372" s="1160" t="n"/>
      <c r="Q372" s="1277" t="inlineStr">
        <is>
          <t>Permanent - Full Time</t>
        </is>
      </c>
      <c r="R372" s="1162" t="n"/>
      <c r="S372" s="1162" t="n"/>
      <c r="T372" s="1163" t="n">
        <v>190180</v>
      </c>
      <c r="U372" s="1164" t="n">
        <v>190180</v>
      </c>
      <c r="V372" s="1166" t="n">
        <v>0.14</v>
      </c>
      <c r="W372" s="1170" t="n">
        <v>0.055</v>
      </c>
      <c r="X372" s="1170" t="n">
        <v>0.12</v>
      </c>
      <c r="Y372" s="1171" t="n"/>
      <c r="Z372" s="1170" t="n">
        <v>0.04</v>
      </c>
      <c r="AA372" s="1168">
        <f>IF(TRIM($B372)="","",IF(N($AU372)&gt;0,$AU372,IF(N($S372)&gt;0,$S372*Lists!$AG$15*(1+N($Z372)),N($U372)*(1+N($V372)+N($W372)+N($X372)+N($Z372))+N($Y372))))</f>
        <v>257693.9</v>
      </c>
      <c r="AJ372" s="865" t="str">
        <f>IF(TRIM($B372)="","",IF(IFERROR(INDEX(Lists!$AO$2:$AO$11,MATCH(ROW(),Lists!$AN$2:$AN$11,0)),"")&lt;&gt;"",IFERROR(INDEX(Lists!$AO$2:$AO$11,MATCH(ROW(),Lists!$AN$2:$AN$11,0)),""),IFERROR(INDEX(Lists!$U:$U,MATCH(TRIM($I372),Lists!$T:$T,0)),TRIM($I372))))</f>
        <v>Infrastructure</v>
      </c>
      <c r="AK372" s="865" t="str">
        <f>IF(ISNUMBER(SEARCH("vacant",$B372)),"Vacant","Filled")</f>
        <v>Filled</v>
      </c>
      <c r="AL372" s="865" t="str">
        <f>IF($M372="NZ","NZ","AU")</f>
        <v>AU</v>
      </c>
      <c r="AM372" s="865">
        <f>COUNTIF($AJ$2:$AJ372,$AJ372)</f>
        <v>11</v>
      </c>
      <c r="AN372" s="865" t="str">
        <f>$AJ372&amp;"|"&amp;$AM372</f>
        <v>Infrastructure|11</v>
      </c>
      <c r="AP372" s="865" t="str">
        <f>IF(TRIM($B372)="","",IF($AQ372=1,"Leadership",IFERROR(INDEX(Lists!$X:$X,MATCH(TRIM($K372),Lists!$W:$W,0)),IF(OR(TRIM($K372)="",LOWER(TRIM($K372))="na"),IF(TRIM($G372)="","Unassigned",TRIM($G372)),TRIM($K372)))))</f>
        <v>Manufacturing Group Projects</v>
      </c>
      <c r="AQ372" s="865" t="b">
        <f>IF(TRIM($B372)="","",--OR(TRIM($K372)="Leadership",TRIM($J372)="Leadership"))</f>
        <v>0</v>
      </c>
      <c r="AR372" s="1136" t="str">
        <f>IF(TRIM($B372)="","",IF(IFERROR(INDEX(Lists!$AQ$2:$AQ$11,MATCH(ROW(),Lists!$AN$2:$AN$11,0)),"")&lt;&gt;"",IFERROR(INDEX(Lists!$AQ$2:$AQ$11,MATCH(ROW(),Lists!$AN$2:$AN$11,0)),""),IF(ISNUMBER(SEARCH("head of ",$C372)),"Head of Technology",IF(ISNUMBER(SEARCH("TDD BP",$C372)),"Business Partner",IF(OR(ISNUMBER(SEARCH("domain architect",$C372)),ISNUMBER(SEARCH("enterprise architect",$C372))),"Domain Architect",IF(ISNUMBER(SEARCH("delivery man",$C372)),"Delivery Manager",IF(OR(ISNUMBER(SEARCH("technology manager",$C372)),ISNUMBER(SEARCH("technology manger",$C372)),ISNUMBER(SEARCH("tech manager",$C372))),"Technology Manager","Squad")))))))</f>
        <v>Squad</v>
      </c>
      <c r="AS372" s="1136" t="str">
        <f>IF(TRIM($B372)="","",IFERROR(INDEX(Lists!$AA:$AA,MATCH($AP372,Lists!$Z:$Z,0)),$AP372))</f>
        <v>Manufacturing Group Projects</v>
      </c>
      <c r="AT372" s="1136" t="str">
        <f>IF(TRIM($B372)="","",IF(IFERROR(INDEX(Lists!$AP$2:$AP$11,MATCH(ROW(),Lists!$AN$2:$AN$11,0)),"")&lt;&gt;"",IFERROR(INDEX(Lists!$AP$2:$AP$11,MATCH(ROW(),Lists!$AN$2:$AN$11,0)),""),IF(OR(LEFT($AJ372,3)="COE",$AJ372="EGI"),$AP372,IF($AR372&lt;&gt;"Squad",$AR372,$AP372))))</f>
        <v>Manufacturing Group Projects</v>
      </c>
    </row>
    <row r="373" ht="18" customHeight="1" s="866">
      <c r="A373" s="1155" t="n">
        <v>14013</v>
      </c>
      <c r="B373" s="1156" t="inlineStr">
        <is>
          <t>Jem Cruz</t>
        </is>
      </c>
      <c r="C373" s="1156" t="inlineStr">
        <is>
          <t>System Specialist</t>
        </is>
      </c>
      <c r="D373" s="1156" t="inlineStr">
        <is>
          <t>Allan Francia</t>
        </is>
      </c>
      <c r="E373" s="1156" t="inlineStr">
        <is>
          <t>Technology Manager, T&amp;S</t>
        </is>
      </c>
      <c r="F373" s="1157" t="inlineStr">
        <is>
          <t>TDD CFE&amp;I</t>
        </is>
      </c>
      <c r="G373" s="1158" t="inlineStr">
        <is>
          <t>Commercial Fuels</t>
        </is>
      </c>
      <c r="H373" s="1158" t="inlineStr">
        <is>
          <t>Technology, Trading &amp; Shipping</t>
        </is>
      </c>
      <c r="I373" s="1158" t="inlineStr">
        <is>
          <t>Commercial Fuels</t>
        </is>
      </c>
      <c r="J373" s="1158" t="inlineStr">
        <is>
          <t>Trading &amp; Shipping</t>
        </is>
      </c>
      <c r="K373" s="1156" t="inlineStr">
        <is>
          <t>Trading &amp; Shipping</t>
        </is>
      </c>
      <c r="L373" s="1158" t="n"/>
      <c r="M373" s="1159" t="inlineStr">
        <is>
          <t>Australia</t>
        </is>
      </c>
      <c r="N373" s="1162" t="inlineStr">
        <is>
          <t>CIA</t>
        </is>
      </c>
      <c r="O373" s="1162" t="n">
        <v>1</v>
      </c>
      <c r="P373" s="1162" t="n"/>
      <c r="Q373" s="1276" t="inlineStr">
        <is>
          <t>Permanent - Full Time</t>
        </is>
      </c>
      <c r="R373" s="1162" t="n"/>
      <c r="S373" s="1162" t="n"/>
      <c r="T373" s="1163" t="n">
        <v>136890</v>
      </c>
      <c r="U373" s="1164" t="n">
        <v>136890</v>
      </c>
      <c r="V373" s="1166" t="n">
        <v>0.1</v>
      </c>
      <c r="W373" s="1170" t="n">
        <v>0.055</v>
      </c>
      <c r="X373" s="1170" t="n">
        <v>0.12</v>
      </c>
      <c r="Y373" s="1171" t="n"/>
      <c r="Z373" s="1170" t="n">
        <v>0.04</v>
      </c>
      <c r="AA373" s="1168">
        <f>IF(TRIM($B373)="","",IF(N($AU373)&gt;0,$AU373,IF(N($S373)&gt;0,$S373*Lists!$AG$15*(1+N($Z373)),N($U373)*(1+N($V373)+N($W373)+N($X373)+N($Z373))+N($Y373))))</f>
        <v>180010.35</v>
      </c>
      <c r="AJ373" s="865" t="str">
        <f>IF(TRIM($B373)="","",IF(IFERROR(INDEX(Lists!$AO$2:$AO$11,MATCH(ROW(),Lists!$AN$2:$AN$11,0)),"")&lt;&gt;"",IFERROR(INDEX(Lists!$AO$2:$AO$11,MATCH(ROW(),Lists!$AN$2:$AN$11,0)),""),IFERROR(INDEX(Lists!$U:$U,MATCH(TRIM($I373),Lists!$T:$T,0)),TRIM($I373))))</f>
        <v>Commercial Fuels</v>
      </c>
      <c r="AK373" s="865" t="str">
        <f>IF(ISNUMBER(SEARCH("vacant",$B373)),"Vacant","Filled")</f>
        <v>Filled</v>
      </c>
      <c r="AL373" s="865" t="str">
        <f>IF($M373="NZ","NZ","AU")</f>
        <v>AU</v>
      </c>
      <c r="AM373" s="865">
        <f>COUNTIF($AJ$2:$AJ373,$AJ373)</f>
        <v>16</v>
      </c>
      <c r="AN373" s="865" t="str">
        <f>$AJ373&amp;"|"&amp;$AM373</f>
        <v>Commercial Fuels|16</v>
      </c>
      <c r="AP373" s="865" t="str">
        <f>IF(TRIM($B373)="","",IF($AQ373=1,"Leadership",IFERROR(INDEX(Lists!$X:$X,MATCH(TRIM($K373),Lists!$W:$W,0)),IF(OR(TRIM($K373)="",LOWER(TRIM($K373))="na"),IF(TRIM($G373)="","Unassigned",TRIM($G373)),TRIM($K373)))))</f>
        <v>Trading &amp; Shipping</v>
      </c>
      <c r="AQ373" s="865" t="b">
        <f>IF(TRIM($B373)="","",--OR(TRIM($K373)="Leadership",TRIM($J373)="Leadership"))</f>
        <v>0</v>
      </c>
      <c r="AR373" s="1136" t="str">
        <f>IF(TRIM($B373)="","",IF(IFERROR(INDEX(Lists!$AQ$2:$AQ$11,MATCH(ROW(),Lists!$AN$2:$AN$11,0)),"")&lt;&gt;"",IFERROR(INDEX(Lists!$AQ$2:$AQ$11,MATCH(ROW(),Lists!$AN$2:$AN$11,0)),""),IF(ISNUMBER(SEARCH("head of ",$C373)),"Head of Technology",IF(ISNUMBER(SEARCH("TDD BP",$C373)),"Business Partner",IF(OR(ISNUMBER(SEARCH("domain architect",$C373)),ISNUMBER(SEARCH("enterprise architect",$C373))),"Domain Architect",IF(ISNUMBER(SEARCH("delivery man",$C373)),"Delivery Manager",IF(OR(ISNUMBER(SEARCH("technology manager",$C373)),ISNUMBER(SEARCH("technology manger",$C373)),ISNUMBER(SEARCH("tech manager",$C373))),"Technology Manager","Squad")))))))</f>
        <v>Squad</v>
      </c>
      <c r="AS373" s="1136" t="str">
        <f>IF(TRIM($B373)="","",IFERROR(INDEX(Lists!$AA:$AA,MATCH($AP373,Lists!$Z:$Z,0)),$AP373))</f>
        <v>Trading &amp; Shipping</v>
      </c>
      <c r="AT373" s="1136" t="str">
        <f>IF(TRIM($B373)="","",IF(IFERROR(INDEX(Lists!$AP$2:$AP$11,MATCH(ROW(),Lists!$AN$2:$AN$11,0)),"")&lt;&gt;"",IFERROR(INDEX(Lists!$AP$2:$AP$11,MATCH(ROW(),Lists!$AN$2:$AN$11,0)),""),IF(OR(LEFT($AJ373,3)="COE",$AJ373="EGI"),$AP373,IF($AR373&lt;&gt;"Squad",$AR373,$AP373))))</f>
        <v>Trading &amp; Shipping</v>
      </c>
    </row>
    <row r="374" ht="18" customHeight="1" s="866">
      <c r="A374" s="1155" t="n">
        <v>101157</v>
      </c>
      <c r="B374" s="1156" t="inlineStr">
        <is>
          <t>Jessica Calla</t>
        </is>
      </c>
      <c r="C374" s="1156" t="inlineStr">
        <is>
          <t>System Analyst Card</t>
        </is>
      </c>
      <c r="D374" s="1156" t="inlineStr">
        <is>
          <t>Elle Spencer</t>
        </is>
      </c>
      <c r="E374" s="1156" t="inlineStr">
        <is>
          <t>Technology Manager, Energy Solutions</t>
        </is>
      </c>
      <c r="F374" s="1157" t="inlineStr">
        <is>
          <t>TDD CFE&amp;I</t>
        </is>
      </c>
      <c r="G374" s="1158" t="inlineStr">
        <is>
          <t>B2B &amp; Energy Solutions</t>
        </is>
      </c>
      <c r="H374" s="1158" t="inlineStr">
        <is>
          <t>Technology B2B</t>
        </is>
      </c>
      <c r="I374" s="1158" t="inlineStr">
        <is>
          <t>B2B &amp; Energy Solutions</t>
        </is>
      </c>
      <c r="J374" s="1156" t="inlineStr">
        <is>
          <t>B2B</t>
        </is>
      </c>
      <c r="K374" s="1156" t="inlineStr">
        <is>
          <t>B2B</t>
        </is>
      </c>
      <c r="L374" s="1158" t="n"/>
      <c r="M374" s="1159" t="inlineStr">
        <is>
          <t>Australia</t>
        </is>
      </c>
      <c r="N374" s="1160" t="inlineStr">
        <is>
          <t>CDC</t>
        </is>
      </c>
      <c r="O374" s="1160" t="n">
        <v>1</v>
      </c>
      <c r="P374" s="1160" t="n"/>
      <c r="Q374" s="1277" t="inlineStr">
        <is>
          <t>Permanent - Full Time</t>
        </is>
      </c>
      <c r="R374" s="1162" t="n"/>
      <c r="S374" s="1162" t="n"/>
      <c r="T374" s="1163" t="n">
        <v>104570</v>
      </c>
      <c r="U374" s="1164" t="n">
        <v>104570</v>
      </c>
      <c r="V374" s="1166" t="n">
        <v>0.1</v>
      </c>
      <c r="W374" s="1170" t="n">
        <v>0.055</v>
      </c>
      <c r="X374" s="1170" t="n">
        <v>0.12</v>
      </c>
      <c r="Y374" s="1171" t="n"/>
      <c r="Z374" s="1170" t="n">
        <v>0.04</v>
      </c>
      <c r="AA374" s="1168">
        <f>IF(TRIM($B374)="","",IF(N($AU374)&gt;0,$AU374,IF(N($S374)&gt;0,$S374*Lists!$AG$15*(1+N($Z374)),N($U374)*(1+N($V374)+N($W374)+N($X374)+N($Z374))+N($Y374))))</f>
        <v>137509.55</v>
      </c>
      <c r="AJ374" s="865" t="str">
        <f>IF(TRIM($B374)="","",IF(IFERROR(INDEX(Lists!$AO$2:$AO$11,MATCH(ROW(),Lists!$AN$2:$AN$11,0)),"")&lt;&gt;"",IFERROR(INDEX(Lists!$AO$2:$AO$11,MATCH(ROW(),Lists!$AN$2:$AN$11,0)),""),IFERROR(INDEX(Lists!$U:$U,MATCH(TRIM($I374),Lists!$T:$T,0)),TRIM($I374))))</f>
        <v>Energy Solutions &amp; B2B</v>
      </c>
      <c r="AK374" s="865" t="str">
        <f>IF(ISNUMBER(SEARCH("vacant",$B374)),"Vacant","Filled")</f>
        <v>Filled</v>
      </c>
      <c r="AL374" s="865" t="str">
        <f>IF($M374="NZ","NZ","AU")</f>
        <v>AU</v>
      </c>
      <c r="AM374" s="865">
        <f>COUNTIF($AJ$2:$AJ374,$AJ374)</f>
        <v>15</v>
      </c>
      <c r="AN374" s="865" t="str">
        <f>$AJ374&amp;"|"&amp;$AM374</f>
        <v>Energy Solutions &amp; B2B|15</v>
      </c>
      <c r="AP374" s="865" t="str">
        <f>IF(TRIM($B374)="","",IF($AQ374=1,"Leadership",IFERROR(INDEX(Lists!$X:$X,MATCH(TRIM($K374),Lists!$W:$W,0)),IF(OR(TRIM($K374)="",LOWER(TRIM($K374))="na"),IF(TRIM($G374)="","Unassigned",TRIM($G374)),TRIM($K374)))))</f>
        <v>B2B</v>
      </c>
      <c r="AQ374" s="865" t="b">
        <f>IF(TRIM($B374)="","",--OR(TRIM($K374)="Leadership",TRIM($J374)="Leadership"))</f>
        <v>0</v>
      </c>
      <c r="AR374" s="1136" t="str">
        <f>IF(TRIM($B374)="","",IF(IFERROR(INDEX(Lists!$AQ$2:$AQ$11,MATCH(ROW(),Lists!$AN$2:$AN$11,0)),"")&lt;&gt;"",IFERROR(INDEX(Lists!$AQ$2:$AQ$11,MATCH(ROW(),Lists!$AN$2:$AN$11,0)),""),IF(ISNUMBER(SEARCH("head of ",$C374)),"Head of Technology",IF(ISNUMBER(SEARCH("TDD BP",$C374)),"Business Partner",IF(OR(ISNUMBER(SEARCH("domain architect",$C374)),ISNUMBER(SEARCH("enterprise architect",$C374))),"Domain Architect",IF(ISNUMBER(SEARCH("delivery man",$C374)),"Delivery Manager",IF(OR(ISNUMBER(SEARCH("technology manager",$C374)),ISNUMBER(SEARCH("technology manger",$C374)),ISNUMBER(SEARCH("tech manager",$C374))),"Technology Manager","Squad")))))))</f>
        <v>Squad</v>
      </c>
      <c r="AS374" s="1136" t="str">
        <f>IF(TRIM($B374)="","",IFERROR(INDEX(Lists!$AA:$AA,MATCH($AP374,Lists!$Z:$Z,0)),$AP374))</f>
        <v>B2B</v>
      </c>
      <c r="AT374" s="1136" t="str">
        <f>IF(TRIM($B374)="","",IF(IFERROR(INDEX(Lists!$AP$2:$AP$11,MATCH(ROW(),Lists!$AN$2:$AN$11,0)),"")&lt;&gt;"",IFERROR(INDEX(Lists!$AP$2:$AP$11,MATCH(ROW(),Lists!$AN$2:$AN$11,0)),""),IF(OR(LEFT($AJ374,3)="COE",$AJ374="EGI"),$AP374,IF($AR374&lt;&gt;"Squad",$AR374,$AP374))))</f>
        <v>B2B</v>
      </c>
    </row>
    <row r="375" ht="18" customHeight="1" s="866">
      <c r="A375" s="1155" t="n">
        <v>105531</v>
      </c>
      <c r="B375" s="1156" t="inlineStr">
        <is>
          <t>Jodi Higgins</t>
        </is>
      </c>
      <c r="C375" s="1156" t="inlineStr">
        <is>
          <t>Delivery Lead</t>
        </is>
      </c>
      <c r="D375" s="1158" t="inlineStr">
        <is>
          <t>Vacant</t>
        </is>
      </c>
      <c r="E375" s="1156" t="inlineStr">
        <is>
          <t>Delivery Manager</t>
        </is>
      </c>
      <c r="F375" s="1157" t="inlineStr">
        <is>
          <t>TDD CFE&amp;I</t>
        </is>
      </c>
      <c r="G375" s="1158" t="inlineStr">
        <is>
          <t>Fuel Infrastructure</t>
        </is>
      </c>
      <c r="H375" s="1158" t="inlineStr">
        <is>
          <t>Fuel Infrastructure, Delivery</t>
        </is>
      </c>
      <c r="I375" s="1158" t="inlineStr">
        <is>
          <t>Infrastructure</t>
        </is>
      </c>
      <c r="J375" s="1158" t="inlineStr">
        <is>
          <t>Distribution</t>
        </is>
      </c>
      <c r="K375" s="1156" t="inlineStr">
        <is>
          <t>Distribution, Sales &amp; Services</t>
        </is>
      </c>
      <c r="L375" s="1158" t="n"/>
      <c r="M375" s="1159" t="inlineStr">
        <is>
          <t>Australia</t>
        </is>
      </c>
      <c r="N375" s="1160" t="inlineStr">
        <is>
          <t>CIC</t>
        </is>
      </c>
      <c r="O375" s="1160" t="n">
        <v>1</v>
      </c>
      <c r="P375" s="1160" t="n"/>
      <c r="Q375" s="1277" t="inlineStr">
        <is>
          <t>Permanent - Full Time</t>
        </is>
      </c>
      <c r="R375" s="1162" t="n"/>
      <c r="S375" s="1162" t="n"/>
      <c r="T375" s="1163" t="n">
        <v>192870</v>
      </c>
      <c r="U375" s="1164" t="n">
        <v>192870</v>
      </c>
      <c r="V375" s="1166" t="n">
        <v>0.12</v>
      </c>
      <c r="W375" s="1170" t="n">
        <v>0.055</v>
      </c>
      <c r="X375" s="1170" t="n">
        <v>0.12</v>
      </c>
      <c r="Y375" s="1171" t="n"/>
      <c r="Z375" s="1170" t="n">
        <v>0.04</v>
      </c>
      <c r="AA375" s="1168">
        <f>IF(TRIM($B375)="","",IF(N($AU375)&gt;0,$AU375,IF(N($S375)&gt;0,$S375*Lists!$AG$15*(1+N($Z375)),N($U375)*(1+N($V375)+N($W375)+N($X375)+N($Z375))+N($Y375))))</f>
        <v>257481.45</v>
      </c>
      <c r="AJ375" s="865" t="str">
        <f>IF(TRIM($B375)="","",IF(IFERROR(INDEX(Lists!$AO$2:$AO$11,MATCH(ROW(),Lists!$AN$2:$AN$11,0)),"")&lt;&gt;"",IFERROR(INDEX(Lists!$AO$2:$AO$11,MATCH(ROW(),Lists!$AN$2:$AN$11,0)),""),IFERROR(INDEX(Lists!$U:$U,MATCH(TRIM($I375),Lists!$T:$T,0)),TRIM($I375))))</f>
        <v>Infrastructure</v>
      </c>
      <c r="AK375" s="865" t="str">
        <f>IF(ISNUMBER(SEARCH("vacant",$B375)),"Vacant","Filled")</f>
        <v>Filled</v>
      </c>
      <c r="AL375" s="865" t="str">
        <f>IF($M375="NZ","NZ","AU")</f>
        <v>AU</v>
      </c>
      <c r="AM375" s="865">
        <f>COUNTIF($AJ$2:$AJ375,$AJ375)</f>
        <v>12</v>
      </c>
      <c r="AN375" s="865" t="str">
        <f>$AJ375&amp;"|"&amp;$AM375</f>
        <v>Infrastructure|12</v>
      </c>
      <c r="AP375" s="865" t="str">
        <f>IF(TRIM($B375)="","",IF($AQ375=1,"Leadership",IFERROR(INDEX(Lists!$X:$X,MATCH(TRIM($K375),Lists!$W:$W,0)),IF(OR(TRIM($K375)="",LOWER(TRIM($K375))="na"),IF(TRIM($G375)="","Unassigned",TRIM($G375)),TRIM($K375)))))</f>
        <v>Distribution, Sales &amp; Services</v>
      </c>
      <c r="AQ375" s="865" t="b">
        <f>IF(TRIM($B375)="","",--OR(TRIM($K375)="Leadership",TRIM($J375)="Leadership"))</f>
        <v>0</v>
      </c>
      <c r="AR375" s="1136" t="str">
        <f>IF(TRIM($B375)="","",IF(IFERROR(INDEX(Lists!$AQ$2:$AQ$11,MATCH(ROW(),Lists!$AN$2:$AN$11,0)),"")&lt;&gt;"",IFERROR(INDEX(Lists!$AQ$2:$AQ$11,MATCH(ROW(),Lists!$AN$2:$AN$11,0)),""),IF(ISNUMBER(SEARCH("head of ",$C375)),"Head of Technology",IF(ISNUMBER(SEARCH("TDD BP",$C375)),"Business Partner",IF(OR(ISNUMBER(SEARCH("domain architect",$C375)),ISNUMBER(SEARCH("enterprise architect",$C375))),"Domain Architect",IF(ISNUMBER(SEARCH("delivery man",$C375)),"Delivery Manager",IF(OR(ISNUMBER(SEARCH("technology manager",$C375)),ISNUMBER(SEARCH("technology manger",$C375)),ISNUMBER(SEARCH("tech manager",$C375))),"Technology Manager","Squad")))))))</f>
        <v>Squad</v>
      </c>
      <c r="AS375" s="1136" t="str">
        <f>IF(TRIM($B375)="","",IFERROR(INDEX(Lists!$AA:$AA,MATCH($AP375,Lists!$Z:$Z,0)),$AP375))</f>
        <v>Distribution, Sales &amp; Services</v>
      </c>
      <c r="AT375" s="1136" t="str">
        <f>IF(TRIM($B375)="","",IF(IFERROR(INDEX(Lists!$AP$2:$AP$11,MATCH(ROW(),Lists!$AN$2:$AN$11,0)),"")&lt;&gt;"",IFERROR(INDEX(Lists!$AP$2:$AP$11,MATCH(ROW(),Lists!$AN$2:$AN$11,0)),""),IF(OR(LEFT($AJ375,3)="COE",$AJ375="EGI"),$AP375,IF($AR375&lt;&gt;"Squad",$AR375,$AP375))))</f>
        <v>Distribution, Sales &amp; Services</v>
      </c>
    </row>
    <row r="376" ht="18" customHeight="1" s="866">
      <c r="A376" s="1155" t="n">
        <v>115847</v>
      </c>
      <c r="B376" s="1156" t="inlineStr">
        <is>
          <t>Jonathan Wong</t>
        </is>
      </c>
      <c r="C376" s="1156" t="inlineStr">
        <is>
          <t>Senior Business Analyst</t>
        </is>
      </c>
      <c r="D376" s="1158" t="inlineStr">
        <is>
          <t>Vacant</t>
        </is>
      </c>
      <c r="E376" s="1156" t="inlineStr">
        <is>
          <t>Technology Manager, Data</t>
        </is>
      </c>
      <c r="F376" s="1157" t="inlineStr">
        <is>
          <t>TDD CFE&amp;I</t>
        </is>
      </c>
      <c r="G376" s="1158" t="inlineStr">
        <is>
          <t>Commercial Fuels</t>
        </is>
      </c>
      <c r="H376" s="1158" t="inlineStr">
        <is>
          <t>Technology, T&amp;S Data</t>
        </is>
      </c>
      <c r="I376" s="1158" t="inlineStr">
        <is>
          <t>Commercial Fuels</t>
        </is>
      </c>
      <c r="J376" s="1158" t="inlineStr">
        <is>
          <t>Trading &amp; Shipping</t>
        </is>
      </c>
      <c r="K376" s="1158" t="inlineStr">
        <is>
          <t>Trading &amp; Shipping Data</t>
        </is>
      </c>
      <c r="L376" s="1158" t="n"/>
      <c r="M376" s="1159" t="inlineStr">
        <is>
          <t>Singapore</t>
        </is>
      </c>
      <c r="N376" s="1160" t="inlineStr">
        <is>
          <t>CIC</t>
        </is>
      </c>
      <c r="O376" s="1160" t="n">
        <v>1</v>
      </c>
      <c r="P376" s="1160" t="n"/>
      <c r="Q376" s="1277" t="inlineStr">
        <is>
          <t>Permanent - Full Time</t>
        </is>
      </c>
      <c r="R376" s="1162" t="n"/>
      <c r="S376" s="1162" t="n"/>
      <c r="T376" s="1163" t="n">
        <v>180000</v>
      </c>
      <c r="U376" s="1164" t="n">
        <v>217800</v>
      </c>
      <c r="V376" s="1166" t="n">
        <v>0.25</v>
      </c>
      <c r="W376" s="1162" t="n"/>
      <c r="X376" s="1166" t="n">
        <v>0.17</v>
      </c>
      <c r="Y376" s="1907" t="n">
        <v>3310</v>
      </c>
      <c r="Z376" s="1207" t="n">
        <v>0.045</v>
      </c>
      <c r="AA376" s="1168">
        <f>IF(TRIM($B376)="","",IF(N($AU376)&gt;0,$AU376,IF(N($S376)&gt;0,$S376*Lists!$AG$15*(1+N($Z376)),N($U376)*(1+N($V376)+N($W376)+N($X376)+N($Z376))+N($Y376))))</f>
        <v>322387</v>
      </c>
      <c r="AJ376" s="865" t="str">
        <f>IF(TRIM($B376)="","",IF(IFERROR(INDEX(Lists!$AO$2:$AO$11,MATCH(ROW(),Lists!$AN$2:$AN$11,0)),"")&lt;&gt;"",IFERROR(INDEX(Lists!$AO$2:$AO$11,MATCH(ROW(),Lists!$AN$2:$AN$11,0)),""),IFERROR(INDEX(Lists!$U:$U,MATCH(TRIM($I376),Lists!$T:$T,0)),TRIM($I376))))</f>
        <v>Commercial Fuels</v>
      </c>
      <c r="AK376" s="865" t="str">
        <f>IF(ISNUMBER(SEARCH("vacant",$B376)),"Vacant","Filled")</f>
        <v>Filled</v>
      </c>
      <c r="AL376" s="865" t="str">
        <f>IF($M376="NZ","NZ","AU")</f>
        <v>AU</v>
      </c>
      <c r="AM376" s="865">
        <f>COUNTIF($AJ$2:$AJ376,$AJ376)</f>
        <v>17</v>
      </c>
      <c r="AN376" s="865" t="str">
        <f>$AJ376&amp;"|"&amp;$AM376</f>
        <v>Commercial Fuels|17</v>
      </c>
      <c r="AP376" s="865" t="str">
        <f>IF(TRIM($B376)="","",IF($AQ376=1,"Leadership",IFERROR(INDEX(Lists!$X:$X,MATCH(TRIM($K376),Lists!$W:$W,0)),IF(OR(TRIM($K376)="",LOWER(TRIM($K376))="na"),IF(TRIM($G376)="","Unassigned",TRIM($G376)),TRIM($K376)))))</f>
        <v>Trading &amp; Shipping Data</v>
      </c>
      <c r="AQ376" s="865" t="b">
        <f>IF(TRIM($B376)="","",--OR(TRIM($K376)="Leadership",TRIM($J376)="Leadership"))</f>
        <v>0</v>
      </c>
      <c r="AR376" s="1136" t="str">
        <f>IF(TRIM($B376)="","",IF(IFERROR(INDEX(Lists!$AQ$2:$AQ$11,MATCH(ROW(),Lists!$AN$2:$AN$11,0)),"")&lt;&gt;"",IFERROR(INDEX(Lists!$AQ$2:$AQ$11,MATCH(ROW(),Lists!$AN$2:$AN$11,0)),""),IF(ISNUMBER(SEARCH("head of ",$C376)),"Head of Technology",IF(ISNUMBER(SEARCH("TDD BP",$C376)),"Business Partner",IF(OR(ISNUMBER(SEARCH("domain architect",$C376)),ISNUMBER(SEARCH("enterprise architect",$C376))),"Domain Architect",IF(ISNUMBER(SEARCH("delivery man",$C376)),"Delivery Manager",IF(OR(ISNUMBER(SEARCH("technology manager",$C376)),ISNUMBER(SEARCH("technology manger",$C376)),ISNUMBER(SEARCH("tech manager",$C376))),"Technology Manager","Squad")))))))</f>
        <v>Squad</v>
      </c>
      <c r="AS376" s="1136" t="str">
        <f>IF(TRIM($B376)="","",IFERROR(INDEX(Lists!$AA:$AA,MATCH($AP376,Lists!$Z:$Z,0)),$AP376))</f>
        <v>Trading &amp; Shipping Data</v>
      </c>
      <c r="AT376" s="1136" t="str">
        <f>IF(TRIM($B376)="","",IF(IFERROR(INDEX(Lists!$AP$2:$AP$11,MATCH(ROW(),Lists!$AN$2:$AN$11,0)),"")&lt;&gt;"",IFERROR(INDEX(Lists!$AP$2:$AP$11,MATCH(ROW(),Lists!$AN$2:$AN$11,0)),""),IF(OR(LEFT($AJ376,3)="COE",$AJ376="EGI"),$AP376,IF($AR376&lt;&gt;"Squad",$AR376,$AP376))))</f>
        <v>Trading &amp; Shipping Data</v>
      </c>
    </row>
    <row r="377" ht="18" customHeight="1" s="866">
      <c r="A377" s="1155" t="n">
        <v>99999101545</v>
      </c>
      <c r="B377" s="1156" t="inlineStr">
        <is>
          <t>Josh Campbell</t>
        </is>
      </c>
      <c r="C377" s="1156" t="inlineStr">
        <is>
          <t>Engineer Software</t>
        </is>
      </c>
      <c r="D377" s="1158" t="inlineStr">
        <is>
          <t>Vacant</t>
        </is>
      </c>
      <c r="E377" s="1156" t="inlineStr">
        <is>
          <t>Technology Manager, Energy Solutions</t>
        </is>
      </c>
      <c r="F377" s="1157" t="inlineStr">
        <is>
          <t>TDD CFE&amp;I</t>
        </is>
      </c>
      <c r="G377" s="1158" t="inlineStr">
        <is>
          <t>B2B &amp; Energy Solutions</t>
        </is>
      </c>
      <c r="H377" s="1158" t="inlineStr">
        <is>
          <t>Technology Energy Solutions</t>
        </is>
      </c>
      <c r="I377" s="1158" t="inlineStr">
        <is>
          <t>B2B &amp; Energy Solutions</t>
        </is>
      </c>
      <c r="J377" s="1158" t="inlineStr">
        <is>
          <t>Energy Solutions</t>
        </is>
      </c>
      <c r="K377" s="1156" t="inlineStr">
        <is>
          <t>EVCI</t>
        </is>
      </c>
      <c r="L377" s="1158" t="n"/>
      <c r="M377" s="1159" t="inlineStr">
        <is>
          <t>NZ</t>
        </is>
      </c>
      <c r="N377" s="1160" t="inlineStr">
        <is>
          <t>CDB</t>
        </is>
      </c>
      <c r="O377" s="1161" t="n">
        <v>1</v>
      </c>
      <c r="P377" s="1160" t="n"/>
      <c r="Q377" s="1278" t="inlineStr">
        <is>
          <t>Permanent - Full Time</t>
        </is>
      </c>
      <c r="R377" s="1162" t="n"/>
      <c r="S377" s="1162" t="n"/>
      <c r="T377" s="1163" t="n">
        <v>90970</v>
      </c>
      <c r="U377" s="1164" t="n">
        <v>83692.39999999999</v>
      </c>
      <c r="V377" s="1165" t="n">
        <v>0.1</v>
      </c>
      <c r="W377" s="1161" t="n"/>
      <c r="X377" s="1166" t="n">
        <v>0.05</v>
      </c>
      <c r="Y377" s="1907" t="n">
        <v>2910</v>
      </c>
      <c r="Z377" s="1166" t="n">
        <v>0.03</v>
      </c>
      <c r="AA377" s="1168">
        <f>IF(TRIM($B377)="","",IF(N($AU377)&gt;0,$AU377,IF(N($S377)&gt;0,$S377*Lists!$AG$15*(1+N($Z377)),N($U377)*(1+N($V377)+N($W377)+N($X377)+N($Z377))+N($Y377))))</f>
        <v>101667.032</v>
      </c>
      <c r="AJ377" s="865" t="str">
        <f>IF(TRIM($B377)="","",IF(IFERROR(INDEX(Lists!$AO$2:$AO$11,MATCH(ROW(),Lists!$AN$2:$AN$11,0)),"")&lt;&gt;"",IFERROR(INDEX(Lists!$AO$2:$AO$11,MATCH(ROW(),Lists!$AN$2:$AN$11,0)),""),IFERROR(INDEX(Lists!$U:$U,MATCH(TRIM($I377),Lists!$T:$T,0)),TRIM($I377))))</f>
        <v>Energy Solutions &amp; B2B</v>
      </c>
      <c r="AK377" s="865" t="str">
        <f>IF(ISNUMBER(SEARCH("vacant",$B377)),"Vacant","Filled")</f>
        <v>Filled</v>
      </c>
      <c r="AL377" s="865" t="str">
        <f>IF($M377="NZ","NZ","AU")</f>
        <v>NZ</v>
      </c>
      <c r="AM377" s="865">
        <f>COUNTIF($AJ$2:$AJ377,$AJ377)</f>
        <v>16</v>
      </c>
      <c r="AN377" s="865" t="str">
        <f>$AJ377&amp;"|"&amp;$AM377</f>
        <v>Energy Solutions &amp; B2B|16</v>
      </c>
      <c r="AP377" s="865" t="str">
        <f>IF(TRIM($B377)="","",IF($AQ377=1,"Leadership",IFERROR(INDEX(Lists!$X:$X,MATCH(TRIM($K377),Lists!$W:$W,0)),IF(OR(TRIM($K377)="",LOWER(TRIM($K377))="na"),IF(TRIM($G377)="","Unassigned",TRIM($G377)),TRIM($K377)))))</f>
        <v>EVCI</v>
      </c>
      <c r="AQ377" s="865" t="b">
        <f>IF(TRIM($B377)="","",--OR(TRIM($K377)="Leadership",TRIM($J377)="Leadership"))</f>
        <v>0</v>
      </c>
      <c r="AR377" s="1136" t="str">
        <f>IF(TRIM($B377)="","",IF(IFERROR(INDEX(Lists!$AQ$2:$AQ$11,MATCH(ROW(),Lists!$AN$2:$AN$11,0)),"")&lt;&gt;"",IFERROR(INDEX(Lists!$AQ$2:$AQ$11,MATCH(ROW(),Lists!$AN$2:$AN$11,0)),""),IF(ISNUMBER(SEARCH("head of ",$C377)),"Head of Technology",IF(ISNUMBER(SEARCH("TDD BP",$C377)),"Business Partner",IF(OR(ISNUMBER(SEARCH("domain architect",$C377)),ISNUMBER(SEARCH("enterprise architect",$C377))),"Domain Architect",IF(ISNUMBER(SEARCH("delivery man",$C377)),"Delivery Manager",IF(OR(ISNUMBER(SEARCH("technology manager",$C377)),ISNUMBER(SEARCH("technology manger",$C377)),ISNUMBER(SEARCH("tech manager",$C377))),"Technology Manager","Squad")))))))</f>
        <v>Squad</v>
      </c>
      <c r="AS377" s="1136" t="str">
        <f>IF(TRIM($B377)="","",IFERROR(INDEX(Lists!$AA:$AA,MATCH($AP377,Lists!$Z:$Z,0)),$AP377))</f>
        <v>EVCI</v>
      </c>
      <c r="AT377" s="1136" t="str">
        <f>IF(TRIM($B377)="","",IF(IFERROR(INDEX(Lists!$AP$2:$AP$11,MATCH(ROW(),Lists!$AN$2:$AN$11,0)),"")&lt;&gt;"",IFERROR(INDEX(Lists!$AP$2:$AP$11,MATCH(ROW(),Lists!$AN$2:$AN$11,0)),""),IF(OR(LEFT($AJ377,3)="COE",$AJ377="EGI"),$AP377,IF($AR377&lt;&gt;"Squad",$AR377,$AP377))))</f>
        <v>EVCI</v>
      </c>
    </row>
    <row r="378" ht="18" customHeight="1" s="866">
      <c r="A378" s="1155" t="n">
        <v>115836</v>
      </c>
      <c r="B378" s="1156" t="inlineStr">
        <is>
          <t>JR Panganiban</t>
        </is>
      </c>
      <c r="C378" s="1156" t="inlineStr">
        <is>
          <t>Technology Support Engineer</t>
        </is>
      </c>
      <c r="D378" s="1156" t="inlineStr">
        <is>
          <t>Allan Francia</t>
        </is>
      </c>
      <c r="E378" s="1156" t="inlineStr">
        <is>
          <t>Technology Manager, T&amp;S</t>
        </is>
      </c>
      <c r="F378" s="1157" t="inlineStr">
        <is>
          <t>TDD CFE&amp;I</t>
        </is>
      </c>
      <c r="G378" s="1158" t="inlineStr">
        <is>
          <t>Commercial Fuels</t>
        </is>
      </c>
      <c r="H378" s="1158" t="inlineStr">
        <is>
          <t>Technology, Trading &amp; Shipping</t>
        </is>
      </c>
      <c r="I378" s="1158" t="inlineStr">
        <is>
          <t>Commercial Fuels</t>
        </is>
      </c>
      <c r="J378" s="1158" t="inlineStr">
        <is>
          <t>Trading &amp; Shipping</t>
        </is>
      </c>
      <c r="K378" s="1156" t="inlineStr">
        <is>
          <t>Trading &amp; Shipping</t>
        </is>
      </c>
      <c r="L378" s="1158" t="n"/>
      <c r="M378" s="1159" t="inlineStr">
        <is>
          <t>USA</t>
        </is>
      </c>
      <c r="N378" s="1160" t="inlineStr">
        <is>
          <t>CIA</t>
        </is>
      </c>
      <c r="O378" s="1160" t="n">
        <v>1</v>
      </c>
      <c r="P378" s="1160" t="n"/>
      <c r="Q378" s="1277" t="inlineStr">
        <is>
          <t>Permanent - Full Time</t>
        </is>
      </c>
      <c r="R378" s="1162" t="n"/>
      <c r="S378" s="1162" t="n"/>
      <c r="T378" s="1163" t="n">
        <v>92000</v>
      </c>
      <c r="U378" s="1164" t="n">
        <v>140760</v>
      </c>
      <c r="V378" s="1162" t="n">
        <v>0</v>
      </c>
      <c r="W378" s="1162" t="n">
        <v>0</v>
      </c>
      <c r="X378" s="1166" t="n">
        <v>0</v>
      </c>
      <c r="Y378" s="1158" t="n">
        <v>0</v>
      </c>
      <c r="Z378" s="1166" t="n">
        <v>0.04</v>
      </c>
      <c r="AA378" s="1168">
        <f>IF(TRIM($B378)="","",IF(N($AU378)&gt;0,$AU378,IF(N($S378)&gt;0,$S378*Lists!$AG$15*(1+N($Z378)),N($U378)*(1+N($V378)+N($W378)+N($X378)+N($Z378))+N($Y378))))</f>
        <v>146390.4</v>
      </c>
      <c r="AJ378" s="865" t="str">
        <f>IF(TRIM($B378)="","",IF(IFERROR(INDEX(Lists!$AO$2:$AO$11,MATCH(ROW(),Lists!$AN$2:$AN$11,0)),"")&lt;&gt;"",IFERROR(INDEX(Lists!$AO$2:$AO$11,MATCH(ROW(),Lists!$AN$2:$AN$11,0)),""),IFERROR(INDEX(Lists!$U:$U,MATCH(TRIM($I378),Lists!$T:$T,0)),TRIM($I378))))</f>
        <v>Commercial Fuels</v>
      </c>
      <c r="AK378" s="865" t="str">
        <f>IF(ISNUMBER(SEARCH("vacant",$B378)),"Vacant","Filled")</f>
        <v>Filled</v>
      </c>
      <c r="AL378" s="865" t="str">
        <f>IF($M378="NZ","NZ","AU")</f>
        <v>AU</v>
      </c>
      <c r="AM378" s="865">
        <f>COUNTIF($AJ$2:$AJ378,$AJ378)</f>
        <v>18</v>
      </c>
      <c r="AN378" s="865" t="str">
        <f>$AJ378&amp;"|"&amp;$AM378</f>
        <v>Commercial Fuels|18</v>
      </c>
      <c r="AP378" s="865" t="str">
        <f>IF(TRIM($B378)="","",IF($AQ378=1,"Leadership",IFERROR(INDEX(Lists!$X:$X,MATCH(TRIM($K378),Lists!$W:$W,0)),IF(OR(TRIM($K378)="",LOWER(TRIM($K378))="na"),IF(TRIM($G378)="","Unassigned",TRIM($G378)),TRIM($K378)))))</f>
        <v>Trading &amp; Shipping</v>
      </c>
      <c r="AQ378" s="865" t="b">
        <f>IF(TRIM($B378)="","",--OR(TRIM($K378)="Leadership",TRIM($J378)="Leadership"))</f>
        <v>0</v>
      </c>
      <c r="AR378" s="1136" t="str">
        <f>IF(TRIM($B378)="","",IF(IFERROR(INDEX(Lists!$AQ$2:$AQ$11,MATCH(ROW(),Lists!$AN$2:$AN$11,0)),"")&lt;&gt;"",IFERROR(INDEX(Lists!$AQ$2:$AQ$11,MATCH(ROW(),Lists!$AN$2:$AN$11,0)),""),IF(ISNUMBER(SEARCH("head of ",$C378)),"Head of Technology",IF(ISNUMBER(SEARCH("TDD BP",$C378)),"Business Partner",IF(OR(ISNUMBER(SEARCH("domain architect",$C378)),ISNUMBER(SEARCH("enterprise architect",$C378))),"Domain Architect",IF(ISNUMBER(SEARCH("delivery man",$C378)),"Delivery Manager",IF(OR(ISNUMBER(SEARCH("technology manager",$C378)),ISNUMBER(SEARCH("technology manger",$C378)),ISNUMBER(SEARCH("tech manager",$C378))),"Technology Manager","Squad")))))))</f>
        <v>Squad</v>
      </c>
      <c r="AS378" s="1136" t="str">
        <f>IF(TRIM($B378)="","",IFERROR(INDEX(Lists!$AA:$AA,MATCH($AP378,Lists!$Z:$Z,0)),$AP378))</f>
        <v>Trading &amp; Shipping</v>
      </c>
      <c r="AT378" s="1136" t="str">
        <f>IF(TRIM($B378)="","",IF(IFERROR(INDEX(Lists!$AP$2:$AP$11,MATCH(ROW(),Lists!$AN$2:$AN$11,0)),"")&lt;&gt;"",IFERROR(INDEX(Lists!$AP$2:$AP$11,MATCH(ROW(),Lists!$AN$2:$AN$11,0)),""),IF(OR(LEFT($AJ378,3)="COE",$AJ378="EGI"),$AP378,IF($AR378&lt;&gt;"Squad",$AR378,$AP378))))</f>
        <v>Trading &amp; Shipping</v>
      </c>
    </row>
    <row r="379" ht="18" customHeight="1" s="866">
      <c r="A379" s="1263" t="n">
        <v>11661</v>
      </c>
      <c r="B379" s="1267" t="inlineStr">
        <is>
          <t>Kevin Li</t>
        </is>
      </c>
      <c r="C379" s="1267" t="inlineStr">
        <is>
          <t>System Specialist</t>
        </is>
      </c>
      <c r="D379" s="1266" t="inlineStr">
        <is>
          <t>Allan Francia</t>
        </is>
      </c>
      <c r="E379" s="1264" t="inlineStr">
        <is>
          <t>Technology Manager, T&amp;S</t>
        </is>
      </c>
      <c r="F379" s="1279" t="inlineStr">
        <is>
          <t>TDD CFE&amp;I</t>
        </is>
      </c>
      <c r="G379" s="1266" t="inlineStr">
        <is>
          <t>Commercial Fuels</t>
        </is>
      </c>
      <c r="H379" s="1266" t="inlineStr">
        <is>
          <t>Technology, Trading &amp; Shipping</t>
        </is>
      </c>
      <c r="I379" s="1266" t="inlineStr">
        <is>
          <t>Commercial Fuels</t>
        </is>
      </c>
      <c r="J379" s="1266" t="inlineStr">
        <is>
          <t>Trading &amp; Shipping</t>
        </is>
      </c>
      <c r="K379" s="1266" t="inlineStr">
        <is>
          <t>Trading &amp; Shipping</t>
        </is>
      </c>
      <c r="L379" s="1266" t="n"/>
      <c r="M379" s="1268" t="inlineStr">
        <is>
          <t>Australia</t>
        </is>
      </c>
      <c r="N379" s="1200" t="inlineStr">
        <is>
          <t>CIA</t>
        </is>
      </c>
      <c r="O379" s="1200" t="n">
        <v>1</v>
      </c>
      <c r="P379" s="1200" t="n"/>
      <c r="Q379" s="1280" t="inlineStr">
        <is>
          <t>Permanent - Full Time</t>
        </is>
      </c>
      <c r="R379" s="1200" t="n"/>
      <c r="S379" s="1200" t="n"/>
      <c r="T379" s="1270" t="n">
        <v>136860</v>
      </c>
      <c r="U379" s="1271" t="n">
        <v>136860</v>
      </c>
      <c r="V379" s="1272" t="n">
        <v>0.1</v>
      </c>
      <c r="W379" s="1273" t="n">
        <v>0.055</v>
      </c>
      <c r="X379" s="1273" t="n">
        <v>0.12</v>
      </c>
      <c r="Y379" s="1274" t="n"/>
      <c r="Z379" s="1273" t="n">
        <v>0.04</v>
      </c>
      <c r="AA379" s="1275">
        <f>IF(TRIM($B379)="","",IF(N($AU379)&gt;0,$AU379,IF(N($S379)&gt;0,$S379*Lists!$AG$15*(1+N($Z379)),N($U379)*(1+N($V379)+N($W379)+N($X379)+N($Z379))+N($Y379))))</f>
        <v>179970.9</v>
      </c>
      <c r="AJ379" s="865" t="str">
        <f>IF(TRIM($B379)="","",IF(IFERROR(INDEX(Lists!$AO$2:$AO$11,MATCH(ROW(),Lists!$AN$2:$AN$11,0)),"")&lt;&gt;"",IFERROR(INDEX(Lists!$AO$2:$AO$11,MATCH(ROW(),Lists!$AN$2:$AN$11,0)),""),IFERROR(INDEX(Lists!$U:$U,MATCH(TRIM($I379),Lists!$T:$T,0)),TRIM($I379))))</f>
        <v>Commercial Fuels</v>
      </c>
      <c r="AK379" s="865" t="str">
        <f>IF(ISNUMBER(SEARCH("vacant",$B379)),"Vacant","Filled")</f>
        <v>Filled</v>
      </c>
      <c r="AL379" s="865" t="str">
        <f>IF($M379="NZ","NZ","AU")</f>
        <v>AU</v>
      </c>
      <c r="AM379" s="865">
        <f>COUNTIF($AJ$2:$AJ379,$AJ379)</f>
        <v>19</v>
      </c>
      <c r="AN379" s="865" t="str">
        <f>$AJ379&amp;"|"&amp;$AM379</f>
        <v>Commercial Fuels|19</v>
      </c>
      <c r="AP379" s="865" t="str">
        <f>IF(TRIM($B379)="","",IF($AQ379=1,"Leadership",IFERROR(INDEX(Lists!$X:$X,MATCH(TRIM($K379),Lists!$W:$W,0)),IF(OR(TRIM($K379)="",LOWER(TRIM($K379))="na"),IF(TRIM($G379)="","Unassigned",TRIM($G379)),TRIM($K379)))))</f>
        <v>Trading &amp; Shipping</v>
      </c>
      <c r="AQ379" s="865" t="b">
        <f>IF(TRIM($B379)="","",--OR(TRIM($K379)="Leadership",TRIM($J379)="Leadership"))</f>
        <v>0</v>
      </c>
      <c r="AR379" s="1136" t="str">
        <f>IF(TRIM($B379)="","",IF(IFERROR(INDEX(Lists!$AQ$2:$AQ$11,MATCH(ROW(),Lists!$AN$2:$AN$11,0)),"")&lt;&gt;"",IFERROR(INDEX(Lists!$AQ$2:$AQ$11,MATCH(ROW(),Lists!$AN$2:$AN$11,0)),""),IF(ISNUMBER(SEARCH("head of ",$C379)),"Head of Technology",IF(ISNUMBER(SEARCH("TDD BP",$C379)),"Business Partner",IF(OR(ISNUMBER(SEARCH("domain architect",$C379)),ISNUMBER(SEARCH("enterprise architect",$C379))),"Domain Architect",IF(ISNUMBER(SEARCH("delivery man",$C379)),"Delivery Manager",IF(OR(ISNUMBER(SEARCH("technology manager",$C379)),ISNUMBER(SEARCH("technology manger",$C379)),ISNUMBER(SEARCH("tech manager",$C379))),"Technology Manager","Squad")))))))</f>
        <v>Squad</v>
      </c>
      <c r="AS379" s="1136" t="str">
        <f>IF(TRIM($B379)="","",IFERROR(INDEX(Lists!$AA:$AA,MATCH($AP379,Lists!$Z:$Z,0)),$AP379))</f>
        <v>Trading &amp; Shipping</v>
      </c>
      <c r="AT379" s="1136" t="str">
        <f>IF(TRIM($B379)="","",IF(IFERROR(INDEX(Lists!$AP$2:$AP$11,MATCH(ROW(),Lists!$AN$2:$AN$11,0)),"")&lt;&gt;"",IFERROR(INDEX(Lists!$AP$2:$AP$11,MATCH(ROW(),Lists!$AN$2:$AN$11,0)),""),IF(OR(LEFT($AJ379,3)="COE",$AJ379="EGI"),$AP379,IF($AR379&lt;&gt;"Squad",$AR379,$AP379))))</f>
        <v>Trading &amp; Shipping</v>
      </c>
    </row>
    <row r="380" ht="18" customHeight="1" s="866">
      <c r="A380" s="1155" t="n">
        <v>110044</v>
      </c>
      <c r="B380" s="1156" t="inlineStr">
        <is>
          <t>Kevin Nelson</t>
        </is>
      </c>
      <c r="C380" s="1156" t="inlineStr">
        <is>
          <t>Delivery Lead</t>
        </is>
      </c>
      <c r="D380" s="1158" t="inlineStr">
        <is>
          <t>Vacant</t>
        </is>
      </c>
      <c r="E380" s="1156" t="inlineStr">
        <is>
          <t>Delivery Manager</t>
        </is>
      </c>
      <c r="F380" s="1157" t="inlineStr">
        <is>
          <t>TDD CFE&amp;I</t>
        </is>
      </c>
      <c r="G380" s="1158" t="inlineStr">
        <is>
          <t>Fuel Infrastructure</t>
        </is>
      </c>
      <c r="H380" s="1158" t="inlineStr">
        <is>
          <t>Fuel Infrastructure, Delivery</t>
        </is>
      </c>
      <c r="I380" s="1158" t="inlineStr">
        <is>
          <t>RETAIL</t>
        </is>
      </c>
      <c r="J380" s="1158" t="inlineStr">
        <is>
          <t>AMPOS</t>
        </is>
      </c>
      <c r="K380" s="1156" t="inlineStr">
        <is>
          <t>AmPos</t>
        </is>
      </c>
      <c r="L380" s="1158" t="n"/>
      <c r="M380" s="1159" t="inlineStr">
        <is>
          <t>Australia</t>
        </is>
      </c>
      <c r="N380" s="1160" t="inlineStr">
        <is>
          <t>CIC</t>
        </is>
      </c>
      <c r="O380" s="1160" t="n">
        <v>1</v>
      </c>
      <c r="P380" s="1160" t="n"/>
      <c r="Q380" s="1277" t="inlineStr">
        <is>
          <t>Permanent - Full Time</t>
        </is>
      </c>
      <c r="R380" s="1162" t="n"/>
      <c r="S380" s="1162" t="n"/>
      <c r="T380" s="1163" t="n">
        <v>189620</v>
      </c>
      <c r="U380" s="1164" t="n">
        <v>189620</v>
      </c>
      <c r="V380" s="1166" t="n">
        <v>0.12</v>
      </c>
      <c r="W380" s="1170" t="n">
        <v>0.055</v>
      </c>
      <c r="X380" s="1170" t="n">
        <v>0.12</v>
      </c>
      <c r="Y380" s="1171" t="n"/>
      <c r="Z380" s="1170" t="n">
        <v>0.04</v>
      </c>
      <c r="AA380" s="1168">
        <f>IF(TRIM($B380)="","",IF(N($AU380)&gt;0,$AU380,IF(N($S380)&gt;0,$S380*Lists!$AG$15*(1+N($Z380)),N($U380)*(1+N($V380)+N($W380)+N($X380)+N($Z380))+N($Y380))))</f>
        <v>253142.7</v>
      </c>
      <c r="AJ380" s="865" t="str">
        <f>IF(TRIM($B380)="","",IF(IFERROR(INDEX(Lists!$AO$2:$AO$11,MATCH(ROW(),Lists!$AN$2:$AN$11,0)),"")&lt;&gt;"",IFERROR(INDEX(Lists!$AO$2:$AO$11,MATCH(ROW(),Lists!$AN$2:$AN$11,0)),""),IFERROR(INDEX(Lists!$U:$U,MATCH(TRIM($I380),Lists!$T:$T,0)),TRIM($I380))))</f>
        <v>Ampol Retail</v>
      </c>
      <c r="AK380" s="865" t="str">
        <f>IF(ISNUMBER(SEARCH("vacant",$B380)),"Vacant","Filled")</f>
        <v>Filled</v>
      </c>
      <c r="AL380" s="865" t="str">
        <f>IF($M380="NZ","NZ","AU")</f>
        <v>AU</v>
      </c>
      <c r="AM380" s="865">
        <f>COUNTIF($AJ$2:$AJ380,$AJ380)</f>
        <v>68</v>
      </c>
      <c r="AN380" s="865" t="str">
        <f>$AJ380&amp;"|"&amp;$AM380</f>
        <v>Ampol Retail|68</v>
      </c>
      <c r="AP380" s="865" t="str">
        <f>IF(TRIM($B380)="","",IF($AQ380=1,"Leadership",IFERROR(INDEX(Lists!$X:$X,MATCH(TRIM($K380),Lists!$W:$W,0)),IF(OR(TRIM($K380)="",LOWER(TRIM($K380))="na"),IF(TRIM($G380)="","Unassigned",TRIM($G380)),TRIM($K380)))))</f>
        <v>AmPOS</v>
      </c>
      <c r="AQ380" s="865" t="b">
        <f>IF(TRIM($B380)="","",--OR(TRIM($K380)="Leadership",TRIM($J380)="Leadership"))</f>
        <v>0</v>
      </c>
      <c r="AR380" s="1136" t="str">
        <f>IF(TRIM($B380)="","",IF(IFERROR(INDEX(Lists!$AQ$2:$AQ$11,MATCH(ROW(),Lists!$AN$2:$AN$11,0)),"")&lt;&gt;"",IFERROR(INDEX(Lists!$AQ$2:$AQ$11,MATCH(ROW(),Lists!$AN$2:$AN$11,0)),""),IF(ISNUMBER(SEARCH("head of ",$C380)),"Head of Technology",IF(ISNUMBER(SEARCH("TDD BP",$C380)),"Business Partner",IF(OR(ISNUMBER(SEARCH("domain architect",$C380)),ISNUMBER(SEARCH("enterprise architect",$C380))),"Domain Architect",IF(ISNUMBER(SEARCH("delivery man",$C380)),"Delivery Manager",IF(OR(ISNUMBER(SEARCH("technology manager",$C380)),ISNUMBER(SEARCH("technology manger",$C380)),ISNUMBER(SEARCH("tech manager",$C380))),"Technology Manager","Squad")))))))</f>
        <v>Squad</v>
      </c>
      <c r="AS380" s="1136" t="str">
        <f>IF(TRIM($B380)="","",IFERROR(INDEX(Lists!$AA:$AA,MATCH($AP380,Lists!$Z:$Z,0)),$AP380))</f>
        <v>AmPOS</v>
      </c>
      <c r="AT380" s="1136" t="str">
        <f>IF(TRIM($B380)="","",IF(IFERROR(INDEX(Lists!$AP$2:$AP$11,MATCH(ROW(),Lists!$AN$2:$AN$11,0)),"")&lt;&gt;"",IFERROR(INDEX(Lists!$AP$2:$AP$11,MATCH(ROW(),Lists!$AN$2:$AN$11,0)),""),IF(OR(LEFT($AJ380,3)="COE",$AJ380="EGI"),$AP380,IF($AR380&lt;&gt;"Squad",$AR380,$AP380))))</f>
        <v>AmPOS</v>
      </c>
    </row>
    <row r="381" ht="18" customHeight="1" s="866">
      <c r="A381" s="1155" t="n">
        <v>115723</v>
      </c>
      <c r="B381" s="1156" t="inlineStr">
        <is>
          <t>Kumar Siva</t>
        </is>
      </c>
      <c r="C381" s="1156" t="inlineStr">
        <is>
          <t>Lead engineer Data</t>
        </is>
      </c>
      <c r="D381" s="1158" t="inlineStr">
        <is>
          <t>Vacant</t>
        </is>
      </c>
      <c r="E381" s="1156" t="inlineStr">
        <is>
          <t>Technology Manager, Data</t>
        </is>
      </c>
      <c r="F381" s="1157" t="inlineStr">
        <is>
          <t>TDD CFE&amp;I</t>
        </is>
      </c>
      <c r="G381" s="1158" t="inlineStr">
        <is>
          <t>Commercial Fuels</t>
        </is>
      </c>
      <c r="H381" s="1158" t="inlineStr">
        <is>
          <t>Technology, T&amp;S Data</t>
        </is>
      </c>
      <c r="I381" s="1158" t="inlineStr">
        <is>
          <t>Commercial Fuels</t>
        </is>
      </c>
      <c r="J381" s="1158" t="inlineStr">
        <is>
          <t>Trading &amp; Shipping</t>
        </is>
      </c>
      <c r="K381" s="1158" t="inlineStr">
        <is>
          <t>Trading &amp; Shipping Data</t>
        </is>
      </c>
      <c r="L381" s="1158" t="n"/>
      <c r="M381" s="1159" t="inlineStr">
        <is>
          <t>Singapore</t>
        </is>
      </c>
      <c r="N381" s="1160" t="inlineStr">
        <is>
          <t>CIC</t>
        </is>
      </c>
      <c r="O381" s="1160" t="n">
        <v>1</v>
      </c>
      <c r="P381" s="1160" t="n"/>
      <c r="Q381" s="1277" t="inlineStr">
        <is>
          <t>Permanent - Full Time</t>
        </is>
      </c>
      <c r="R381" s="1162" t="n"/>
      <c r="S381" s="1162" t="n"/>
      <c r="T381" s="1163" t="n">
        <v>210000</v>
      </c>
      <c r="U381" s="1164" t="n">
        <v>254100</v>
      </c>
      <c r="V381" s="1166" t="n">
        <v>0.25</v>
      </c>
      <c r="W381" s="1162" t="n"/>
      <c r="X381" s="1166" t="n">
        <v>0.17</v>
      </c>
      <c r="Y381" s="1907" t="n">
        <v>3310</v>
      </c>
      <c r="Z381" s="1207" t="n">
        <v>0.045</v>
      </c>
      <c r="AA381" s="1168">
        <f>IF(TRIM($B381)="","",IF(N($AU381)&gt;0,$AU381,IF(N($S381)&gt;0,$S381*Lists!$AG$15*(1+N($Z381)),N($U381)*(1+N($V381)+N($W381)+N($X381)+N($Z381))+N($Y381))))</f>
        <v>375566.5</v>
      </c>
      <c r="AJ381" s="865" t="str">
        <f>IF(TRIM($B381)="","",IF(IFERROR(INDEX(Lists!$AO$2:$AO$11,MATCH(ROW(),Lists!$AN$2:$AN$11,0)),"")&lt;&gt;"",IFERROR(INDEX(Lists!$AO$2:$AO$11,MATCH(ROW(),Lists!$AN$2:$AN$11,0)),""),IFERROR(INDEX(Lists!$U:$U,MATCH(TRIM($I381),Lists!$T:$T,0)),TRIM($I381))))</f>
        <v>Commercial Fuels</v>
      </c>
      <c r="AK381" s="865" t="str">
        <f>IF(ISNUMBER(SEARCH("vacant",$B381)),"Vacant","Filled")</f>
        <v>Filled</v>
      </c>
      <c r="AL381" s="865" t="str">
        <f>IF($M381="NZ","NZ","AU")</f>
        <v>AU</v>
      </c>
      <c r="AM381" s="865">
        <f>COUNTIF($AJ$2:$AJ381,$AJ381)</f>
        <v>20</v>
      </c>
      <c r="AN381" s="865" t="str">
        <f>$AJ381&amp;"|"&amp;$AM381</f>
        <v>Commercial Fuels|20</v>
      </c>
      <c r="AP381" s="865" t="str">
        <f>IF(TRIM($B381)="","",IF($AQ381=1,"Leadership",IFERROR(INDEX(Lists!$X:$X,MATCH(TRIM($K381),Lists!$W:$W,0)),IF(OR(TRIM($K381)="",LOWER(TRIM($K381))="na"),IF(TRIM($G381)="","Unassigned",TRIM($G381)),TRIM($K381)))))</f>
        <v>Trading &amp; Shipping Data</v>
      </c>
      <c r="AQ381" s="865" t="b">
        <f>IF(TRIM($B381)="","",--OR(TRIM($K381)="Leadership",TRIM($J381)="Leadership"))</f>
        <v>0</v>
      </c>
      <c r="AR381" s="1136" t="str">
        <f>IF(TRIM($B381)="","",IF(IFERROR(INDEX(Lists!$AQ$2:$AQ$11,MATCH(ROW(),Lists!$AN$2:$AN$11,0)),"")&lt;&gt;"",IFERROR(INDEX(Lists!$AQ$2:$AQ$11,MATCH(ROW(),Lists!$AN$2:$AN$11,0)),""),IF(ISNUMBER(SEARCH("head of ",$C381)),"Head of Technology",IF(ISNUMBER(SEARCH("TDD BP",$C381)),"Business Partner",IF(OR(ISNUMBER(SEARCH("domain architect",$C381)),ISNUMBER(SEARCH("enterprise architect",$C381))),"Domain Architect",IF(ISNUMBER(SEARCH("delivery man",$C381)),"Delivery Manager",IF(OR(ISNUMBER(SEARCH("technology manager",$C381)),ISNUMBER(SEARCH("technology manger",$C381)),ISNUMBER(SEARCH("tech manager",$C381))),"Technology Manager","Squad")))))))</f>
        <v>Squad</v>
      </c>
      <c r="AS381" s="1136" t="str">
        <f>IF(TRIM($B381)="","",IFERROR(INDEX(Lists!$AA:$AA,MATCH($AP381,Lists!$Z:$Z,0)),$AP381))</f>
        <v>Trading &amp; Shipping Data</v>
      </c>
      <c r="AT381" s="1136" t="str">
        <f>IF(TRIM($B381)="","",IF(IFERROR(INDEX(Lists!$AP$2:$AP$11,MATCH(ROW(),Lists!$AN$2:$AN$11,0)),"")&lt;&gt;"",IFERROR(INDEX(Lists!$AP$2:$AP$11,MATCH(ROW(),Lists!$AN$2:$AN$11,0)),""),IF(OR(LEFT($AJ381,3)="COE",$AJ381="EGI"),$AP381,IF($AR381&lt;&gt;"Squad",$AR381,$AP381))))</f>
        <v>Trading &amp; Shipping Data</v>
      </c>
    </row>
    <row r="382" ht="18" customHeight="1" s="866">
      <c r="A382" s="1155" t="n">
        <v>99999101421</v>
      </c>
      <c r="B382" s="1156" t="inlineStr">
        <is>
          <t>Lana Wagner</t>
        </is>
      </c>
      <c r="C382" s="1156" t="inlineStr">
        <is>
          <t>Senior Business Analyst</t>
        </is>
      </c>
      <c r="D382" s="1158" t="inlineStr">
        <is>
          <t>Vacant</t>
        </is>
      </c>
      <c r="E382" s="1156" t="inlineStr">
        <is>
          <t>Delivery Manager</t>
        </is>
      </c>
      <c r="F382" s="1157" t="inlineStr">
        <is>
          <t>TDD CFE&amp;I</t>
        </is>
      </c>
      <c r="G382" s="1158" t="inlineStr">
        <is>
          <t>B2B &amp; Energy Solutions</t>
        </is>
      </c>
      <c r="H382" s="1158" t="inlineStr">
        <is>
          <t>Delivery</t>
        </is>
      </c>
      <c r="I382" s="1158" t="inlineStr">
        <is>
          <t>B2B &amp; Energy Solutions</t>
        </is>
      </c>
      <c r="J382" s="1158" t="inlineStr">
        <is>
          <t>Energy Solutions</t>
        </is>
      </c>
      <c r="K382" s="1156" t="inlineStr">
        <is>
          <t>EVCI</t>
        </is>
      </c>
      <c r="L382" s="1158" t="n"/>
      <c r="M382" s="1159" t="inlineStr">
        <is>
          <t>NZ</t>
        </is>
      </c>
      <c r="N382" s="1160" t="inlineStr">
        <is>
          <t>CIA</t>
        </is>
      </c>
      <c r="O382" s="1161" t="n">
        <v>1</v>
      </c>
      <c r="P382" s="1160" t="n"/>
      <c r="Q382" s="1278" t="inlineStr">
        <is>
          <t>Permanent - Full Time</t>
        </is>
      </c>
      <c r="R382" s="1162" t="n"/>
      <c r="S382" s="1162" t="n"/>
      <c r="T382" s="1163" t="n">
        <v>137720</v>
      </c>
      <c r="U382" s="1164" t="n">
        <v>126702.4</v>
      </c>
      <c r="V382" s="1165" t="n">
        <v>0.15</v>
      </c>
      <c r="W382" s="1162" t="n"/>
      <c r="X382" s="1166" t="n">
        <v>0.05</v>
      </c>
      <c r="Y382" s="1907" t="n">
        <v>2910</v>
      </c>
      <c r="Z382" s="1166" t="n">
        <v>0.03</v>
      </c>
      <c r="AA382" s="1168">
        <f>IF(TRIM($B382)="","",IF(N($AU382)&gt;0,$AU382,IF(N($S382)&gt;0,$S382*Lists!$AG$15*(1+N($Z382)),N($U382)*(1+N($V382)+N($W382)+N($X382)+N($Z382))+N($Y382))))</f>
        <v>158753.952</v>
      </c>
      <c r="AJ382" s="865" t="str">
        <f>IF(TRIM($B382)="","",IF(IFERROR(INDEX(Lists!$AO$2:$AO$11,MATCH(ROW(),Lists!$AN$2:$AN$11,0)),"")&lt;&gt;"",IFERROR(INDEX(Lists!$AO$2:$AO$11,MATCH(ROW(),Lists!$AN$2:$AN$11,0)),""),IFERROR(INDEX(Lists!$U:$U,MATCH(TRIM($I382),Lists!$T:$T,0)),TRIM($I382))))</f>
        <v>Energy Solutions &amp; B2B</v>
      </c>
      <c r="AK382" s="865" t="str">
        <f>IF(ISNUMBER(SEARCH("vacant",$B382)),"Vacant","Filled")</f>
        <v>Filled</v>
      </c>
      <c r="AL382" s="865" t="str">
        <f>IF($M382="NZ","NZ","AU")</f>
        <v>NZ</v>
      </c>
      <c r="AM382" s="865">
        <f>COUNTIF($AJ$2:$AJ382,$AJ382)</f>
        <v>17</v>
      </c>
      <c r="AN382" s="865" t="str">
        <f>$AJ382&amp;"|"&amp;$AM382</f>
        <v>Energy Solutions &amp; B2B|17</v>
      </c>
      <c r="AP382" s="865" t="str">
        <f>IF(TRIM($B382)="","",IF($AQ382=1,"Leadership",IFERROR(INDEX(Lists!$X:$X,MATCH(TRIM($K382),Lists!$W:$W,0)),IF(OR(TRIM($K382)="",LOWER(TRIM($K382))="na"),IF(TRIM($G382)="","Unassigned",TRIM($G382)),TRIM($K382)))))</f>
        <v>EVCI</v>
      </c>
      <c r="AQ382" s="865" t="b">
        <f>IF(TRIM($B382)="","",--OR(TRIM($K382)="Leadership",TRIM($J382)="Leadership"))</f>
        <v>0</v>
      </c>
      <c r="AR382" s="1136" t="str">
        <f>IF(TRIM($B382)="","",IF(IFERROR(INDEX(Lists!$AQ$2:$AQ$11,MATCH(ROW(),Lists!$AN$2:$AN$11,0)),"")&lt;&gt;"",IFERROR(INDEX(Lists!$AQ$2:$AQ$11,MATCH(ROW(),Lists!$AN$2:$AN$11,0)),""),IF(ISNUMBER(SEARCH("head of ",$C382)),"Head of Technology",IF(ISNUMBER(SEARCH("TDD BP",$C382)),"Business Partner",IF(OR(ISNUMBER(SEARCH("domain architect",$C382)),ISNUMBER(SEARCH("enterprise architect",$C382))),"Domain Architect",IF(ISNUMBER(SEARCH("delivery man",$C382)),"Delivery Manager",IF(OR(ISNUMBER(SEARCH("technology manager",$C382)),ISNUMBER(SEARCH("technology manger",$C382)),ISNUMBER(SEARCH("tech manager",$C382))),"Technology Manager","Squad")))))))</f>
        <v>Squad</v>
      </c>
      <c r="AS382" s="1136" t="str">
        <f>IF(TRIM($B382)="","",IFERROR(INDEX(Lists!$AA:$AA,MATCH($AP382,Lists!$Z:$Z,0)),$AP382))</f>
        <v>EVCI</v>
      </c>
      <c r="AT382" s="1136" t="str">
        <f>IF(TRIM($B382)="","",IF(IFERROR(INDEX(Lists!$AP$2:$AP$11,MATCH(ROW(),Lists!$AN$2:$AN$11,0)),"")&lt;&gt;"",IFERROR(INDEX(Lists!$AP$2:$AP$11,MATCH(ROW(),Lists!$AN$2:$AN$11,0)),""),IF(OR(LEFT($AJ382,3)="COE",$AJ382="EGI"),$AP382,IF($AR382&lt;&gt;"Squad",$AR382,$AP382))))</f>
        <v>EVCI</v>
      </c>
    </row>
    <row r="383" ht="18" customHeight="1" s="866">
      <c r="A383" s="1155" t="n">
        <v>99999101325</v>
      </c>
      <c r="B383" s="1156" t="inlineStr">
        <is>
          <t>Laura Roberts</t>
        </is>
      </c>
      <c r="C383" s="1156" t="inlineStr">
        <is>
          <t>Senior Engineer Software</t>
        </is>
      </c>
      <c r="D383" s="1158" t="inlineStr">
        <is>
          <t>Vacant</t>
        </is>
      </c>
      <c r="E383" s="1156" t="inlineStr">
        <is>
          <t>Technology Manager, Engineering</t>
        </is>
      </c>
      <c r="F383" s="1157" t="inlineStr">
        <is>
          <t>TDD CFE&amp;I</t>
        </is>
      </c>
      <c r="G383" s="1158" t="inlineStr">
        <is>
          <t>Commercial Fuels</t>
        </is>
      </c>
      <c r="H383" s="1158" t="inlineStr">
        <is>
          <t>Technology, CF Engineering</t>
        </is>
      </c>
      <c r="I383" s="1158" t="inlineStr">
        <is>
          <t>Commercial Fuels</t>
        </is>
      </c>
      <c r="J383" s="1156" t="inlineStr">
        <is>
          <t>CTRM</t>
        </is>
      </c>
      <c r="K383" s="1156" t="inlineStr">
        <is>
          <t>CTRM</t>
        </is>
      </c>
      <c r="L383" s="1158" t="n"/>
      <c r="M383" s="1159" t="inlineStr">
        <is>
          <t>NZ</t>
        </is>
      </c>
      <c r="N383" s="1160" t="inlineStr">
        <is>
          <t>CIA</t>
        </is>
      </c>
      <c r="O383" s="1161" t="n">
        <v>1</v>
      </c>
      <c r="P383" s="1160" t="n"/>
      <c r="Q383" s="1278" t="inlineStr">
        <is>
          <t>Permanent - Full Time</t>
        </is>
      </c>
      <c r="R383" s="1162" t="n"/>
      <c r="S383" s="1162" t="n"/>
      <c r="T383" s="1163" t="n">
        <v>135720</v>
      </c>
      <c r="U383" s="1164" t="n">
        <v>124862.4</v>
      </c>
      <c r="V383" s="1165" t="n">
        <v>0.15</v>
      </c>
      <c r="W383" s="1162" t="n"/>
      <c r="X383" s="1166" t="n">
        <v>0.05</v>
      </c>
      <c r="Y383" s="1907" t="n">
        <v>2910</v>
      </c>
      <c r="Z383" s="1166" t="n">
        <v>0.03</v>
      </c>
      <c r="AA383" s="1168">
        <f>IF(TRIM($B383)="","",IF(N($AU383)&gt;0,$AU383,IF(N($S383)&gt;0,$S383*Lists!$AG$15*(1+N($Z383)),N($U383)*(1+N($V383)+N($W383)+N($X383)+N($Z383))+N($Y383))))</f>
        <v>156490.752</v>
      </c>
      <c r="AJ383" s="865" t="str">
        <f>IF(TRIM($B383)="","",IF(IFERROR(INDEX(Lists!$AO$2:$AO$11,MATCH(ROW(),Lists!$AN$2:$AN$11,0)),"")&lt;&gt;"",IFERROR(INDEX(Lists!$AO$2:$AO$11,MATCH(ROW(),Lists!$AN$2:$AN$11,0)),""),IFERROR(INDEX(Lists!$U:$U,MATCH(TRIM($I383),Lists!$T:$T,0)),TRIM($I383))))</f>
        <v>Commercial Fuels</v>
      </c>
      <c r="AK383" s="865" t="str">
        <f>IF(ISNUMBER(SEARCH("vacant",$B383)),"Vacant","Filled")</f>
        <v>Filled</v>
      </c>
      <c r="AL383" s="865" t="str">
        <f>IF($M383="NZ","NZ","AU")</f>
        <v>NZ</v>
      </c>
      <c r="AM383" s="865">
        <f>COUNTIF($AJ$2:$AJ383,$AJ383)</f>
        <v>21</v>
      </c>
      <c r="AN383" s="865" t="str">
        <f>$AJ383&amp;"|"&amp;$AM383</f>
        <v>Commercial Fuels|21</v>
      </c>
      <c r="AP383" s="865" t="str">
        <f>IF(TRIM($B383)="","",IF($AQ383=1,"Leadership",IFERROR(INDEX(Lists!$X:$X,MATCH(TRIM($K383),Lists!$W:$W,0)),IF(OR(TRIM($K383)="",LOWER(TRIM($K383))="na"),IF(TRIM($G383)="","Unassigned",TRIM($G383)),TRIM($K383)))))</f>
        <v>CTRM</v>
      </c>
      <c r="AQ383" s="865" t="b">
        <f>IF(TRIM($B383)="","",--OR(TRIM($K383)="Leadership",TRIM($J383)="Leadership"))</f>
        <v>0</v>
      </c>
      <c r="AR383" s="1136" t="str">
        <f>IF(TRIM($B383)="","",IF(IFERROR(INDEX(Lists!$AQ$2:$AQ$11,MATCH(ROW(),Lists!$AN$2:$AN$11,0)),"")&lt;&gt;"",IFERROR(INDEX(Lists!$AQ$2:$AQ$11,MATCH(ROW(),Lists!$AN$2:$AN$11,0)),""),IF(ISNUMBER(SEARCH("head of ",$C383)),"Head of Technology",IF(ISNUMBER(SEARCH("TDD BP",$C383)),"Business Partner",IF(OR(ISNUMBER(SEARCH("domain architect",$C383)),ISNUMBER(SEARCH("enterprise architect",$C383))),"Domain Architect",IF(ISNUMBER(SEARCH("delivery man",$C383)),"Delivery Manager",IF(OR(ISNUMBER(SEARCH("technology manager",$C383)),ISNUMBER(SEARCH("technology manger",$C383)),ISNUMBER(SEARCH("tech manager",$C383))),"Technology Manager","Squad")))))))</f>
        <v>Squad</v>
      </c>
      <c r="AS383" s="1136" t="str">
        <f>IF(TRIM($B383)="","",IFERROR(INDEX(Lists!$AA:$AA,MATCH($AP383,Lists!$Z:$Z,0)),$AP383))</f>
        <v>CTRM</v>
      </c>
      <c r="AT383" s="1136" t="str">
        <f>IF(TRIM($B383)="","",IF(IFERROR(INDEX(Lists!$AP$2:$AP$11,MATCH(ROW(),Lists!$AN$2:$AN$11,0)),"")&lt;&gt;"",IFERROR(INDEX(Lists!$AP$2:$AP$11,MATCH(ROW(),Lists!$AN$2:$AN$11,0)),""),IF(OR(LEFT($AJ383,3)="COE",$AJ383="EGI"),$AP383,IF($AR383&lt;&gt;"Squad",$AR383,$AP383))))</f>
        <v>CTRM</v>
      </c>
    </row>
    <row r="384" ht="18" customHeight="1" s="866">
      <c r="A384" s="1155" t="n">
        <v>6511</v>
      </c>
      <c r="B384" s="1156" t="inlineStr">
        <is>
          <t>Leo Machin</t>
        </is>
      </c>
      <c r="C384" s="1156" t="inlineStr">
        <is>
          <t>Lead Engineer Applications</t>
        </is>
      </c>
      <c r="D384" s="1156" t="inlineStr">
        <is>
          <t>Allan Francia</t>
        </is>
      </c>
      <c r="E384" s="1156" t="inlineStr">
        <is>
          <t>Technology Manager, T&amp;S</t>
        </is>
      </c>
      <c r="F384" s="1157" t="inlineStr">
        <is>
          <t>TDD CFE&amp;I</t>
        </is>
      </c>
      <c r="G384" s="1158" t="inlineStr">
        <is>
          <t>Commercial Fuels</t>
        </is>
      </c>
      <c r="H384" s="1158" t="inlineStr">
        <is>
          <t>Technology, Trading &amp; Shipping</t>
        </is>
      </c>
      <c r="I384" s="1158" t="inlineStr">
        <is>
          <t>Commercial Fuels</t>
        </is>
      </c>
      <c r="J384" s="1158" t="inlineStr">
        <is>
          <t>Trading &amp; Shipping</t>
        </is>
      </c>
      <c r="K384" s="1156" t="inlineStr">
        <is>
          <t>Trading &amp; Shipping</t>
        </is>
      </c>
      <c r="L384" s="1158" t="n"/>
      <c r="M384" s="1159" t="inlineStr">
        <is>
          <t>Australia</t>
        </is>
      </c>
      <c r="N384" s="1162" t="inlineStr">
        <is>
          <t>CIB</t>
        </is>
      </c>
      <c r="O384" s="1162" t="n">
        <v>1</v>
      </c>
      <c r="P384" s="1162" t="n"/>
      <c r="Q384" s="1276" t="inlineStr">
        <is>
          <t>Permanent - Full Time</t>
        </is>
      </c>
      <c r="R384" s="1162" t="n"/>
      <c r="S384" s="1162" t="n"/>
      <c r="T384" s="1163" t="n">
        <v>159220</v>
      </c>
      <c r="U384" s="1164" t="n">
        <v>159220</v>
      </c>
      <c r="V384" s="1166" t="n">
        <v>0.12</v>
      </c>
      <c r="W384" s="1170" t="n">
        <v>0.055</v>
      </c>
      <c r="X384" s="1170" t="n">
        <v>0.12</v>
      </c>
      <c r="Y384" s="1171" t="n"/>
      <c r="Z384" s="1170" t="n">
        <v>0.04</v>
      </c>
      <c r="AA384" s="1168">
        <f>IF(TRIM($B384)="","",IF(N($AU384)&gt;0,$AU384,IF(N($S384)&gt;0,$S384*Lists!$AG$15*(1+N($Z384)),N($U384)*(1+N($V384)+N($W384)+N($X384)+N($Z384))+N($Y384))))</f>
        <v>212558.7</v>
      </c>
      <c r="AJ384" s="865" t="str">
        <f>IF(TRIM($B384)="","",IF(IFERROR(INDEX(Lists!$AO$2:$AO$11,MATCH(ROW(),Lists!$AN$2:$AN$11,0)),"")&lt;&gt;"",IFERROR(INDEX(Lists!$AO$2:$AO$11,MATCH(ROW(),Lists!$AN$2:$AN$11,0)),""),IFERROR(INDEX(Lists!$U:$U,MATCH(TRIM($I384),Lists!$T:$T,0)),TRIM($I384))))</f>
        <v>Commercial Fuels</v>
      </c>
      <c r="AK384" s="865" t="str">
        <f>IF(ISNUMBER(SEARCH("vacant",$B384)),"Vacant","Filled")</f>
        <v>Filled</v>
      </c>
      <c r="AL384" s="865" t="str">
        <f>IF($M384="NZ","NZ","AU")</f>
        <v>AU</v>
      </c>
      <c r="AM384" s="865">
        <f>COUNTIF($AJ$2:$AJ384,$AJ384)</f>
        <v>22</v>
      </c>
      <c r="AN384" s="865" t="str">
        <f>$AJ384&amp;"|"&amp;$AM384</f>
        <v>Commercial Fuels|22</v>
      </c>
      <c r="AP384" s="865" t="str">
        <f>IF(TRIM($B384)="","",IF($AQ384=1,"Leadership",IFERROR(INDEX(Lists!$X:$X,MATCH(TRIM($K384),Lists!$W:$W,0)),IF(OR(TRIM($K384)="",LOWER(TRIM($K384))="na"),IF(TRIM($G384)="","Unassigned",TRIM($G384)),TRIM($K384)))))</f>
        <v>Trading &amp; Shipping</v>
      </c>
      <c r="AQ384" s="865" t="b">
        <f>IF(TRIM($B384)="","",--OR(TRIM($K384)="Leadership",TRIM($J384)="Leadership"))</f>
        <v>0</v>
      </c>
      <c r="AR384" s="1136" t="str">
        <f>IF(TRIM($B384)="","",IF(IFERROR(INDEX(Lists!$AQ$2:$AQ$11,MATCH(ROW(),Lists!$AN$2:$AN$11,0)),"")&lt;&gt;"",IFERROR(INDEX(Lists!$AQ$2:$AQ$11,MATCH(ROW(),Lists!$AN$2:$AN$11,0)),""),IF(ISNUMBER(SEARCH("head of ",$C384)),"Head of Technology",IF(ISNUMBER(SEARCH("TDD BP",$C384)),"Business Partner",IF(OR(ISNUMBER(SEARCH("domain architect",$C384)),ISNUMBER(SEARCH("enterprise architect",$C384))),"Domain Architect",IF(ISNUMBER(SEARCH("delivery man",$C384)),"Delivery Manager",IF(OR(ISNUMBER(SEARCH("technology manager",$C384)),ISNUMBER(SEARCH("technology manger",$C384)),ISNUMBER(SEARCH("tech manager",$C384))),"Technology Manager","Squad")))))))</f>
        <v>Squad</v>
      </c>
      <c r="AS384" s="1136" t="str">
        <f>IF(TRIM($B384)="","",IFERROR(INDEX(Lists!$AA:$AA,MATCH($AP384,Lists!$Z:$Z,0)),$AP384))</f>
        <v>Trading &amp; Shipping</v>
      </c>
      <c r="AT384" s="1136" t="str">
        <f>IF(TRIM($B384)="","",IF(IFERROR(INDEX(Lists!$AP$2:$AP$11,MATCH(ROW(),Lists!$AN$2:$AN$11,0)),"")&lt;&gt;"",IFERROR(INDEX(Lists!$AP$2:$AP$11,MATCH(ROW(),Lists!$AN$2:$AN$11,0)),""),IF(OR(LEFT($AJ384,3)="COE",$AJ384="EGI"),$AP384,IF($AR384&lt;&gt;"Squad",$AR384,$AP384))))</f>
        <v>Trading &amp; Shipping</v>
      </c>
    </row>
    <row r="385" ht="18" customHeight="1" s="866">
      <c r="A385" s="1155" t="n">
        <v>99999101304</v>
      </c>
      <c r="B385" s="1156" t="inlineStr">
        <is>
          <t>Liesl Tye</t>
        </is>
      </c>
      <c r="C385" s="1156" t="inlineStr">
        <is>
          <t>Head of Technology, B2B &amp; Energy Solutions</t>
        </is>
      </c>
      <c r="D385" s="1156" t="inlineStr">
        <is>
          <t xml:space="preserve">Roanne Steele </t>
        </is>
      </c>
      <c r="E385" s="1156" t="inlineStr">
        <is>
          <t>GM TDD, CFE&amp;I</t>
        </is>
      </c>
      <c r="F385" s="1157" t="inlineStr">
        <is>
          <t>TDD CFE&amp;I</t>
        </is>
      </c>
      <c r="G385" s="1158" t="inlineStr">
        <is>
          <t>B2B &amp; Energy Solutions</t>
        </is>
      </c>
      <c r="H385" s="1158" t="inlineStr">
        <is>
          <t>Leadership</t>
        </is>
      </c>
      <c r="I385" s="1158" t="inlineStr">
        <is>
          <t>B2B &amp; Energy Solutions</t>
        </is>
      </c>
      <c r="J385" s="1158" t="inlineStr">
        <is>
          <t>Leadership</t>
        </is>
      </c>
      <c r="K385" s="1156" t="inlineStr">
        <is>
          <t>Leadership</t>
        </is>
      </c>
      <c r="L385" s="1158" t="n"/>
      <c r="M385" s="1159" t="inlineStr">
        <is>
          <t>NZ</t>
        </is>
      </c>
      <c r="N385" s="1160" t="inlineStr">
        <is>
          <t>CSC</t>
        </is>
      </c>
      <c r="O385" s="1161" t="n">
        <v>1</v>
      </c>
      <c r="P385" s="1160" t="n"/>
      <c r="Q385" s="1278" t="inlineStr">
        <is>
          <t>Permanent - Full Time</t>
        </is>
      </c>
      <c r="R385" s="1162" t="n"/>
      <c r="S385" s="1162" t="n"/>
      <c r="T385" s="1163" t="n">
        <v>230000</v>
      </c>
      <c r="U385" s="1164" t="n">
        <v>211600</v>
      </c>
      <c r="V385" s="1165" t="n">
        <v>0.2</v>
      </c>
      <c r="W385" s="1162" t="n"/>
      <c r="X385" s="1166" t="n">
        <v>0.05</v>
      </c>
      <c r="Y385" s="1907" t="n">
        <v>2910</v>
      </c>
      <c r="Z385" s="1166" t="n">
        <v>0.03</v>
      </c>
      <c r="AA385" s="1168">
        <f>IF(TRIM($B385)="","",IF(N($AU385)&gt;0,$AU385,IF(N($S385)&gt;0,$S385*Lists!$AG$15*(1+N($Z385)),N($U385)*(1+N($V385)+N($W385)+N($X385)+N($Z385))+N($Y385))))</f>
        <v>273758</v>
      </c>
      <c r="AJ385" s="865" t="str">
        <f>IF(TRIM($B385)="","",IF(IFERROR(INDEX(Lists!$AO$2:$AO$11,MATCH(ROW(),Lists!$AN$2:$AN$11,0)),"")&lt;&gt;"",IFERROR(INDEX(Lists!$AO$2:$AO$11,MATCH(ROW(),Lists!$AN$2:$AN$11,0)),""),IFERROR(INDEX(Lists!$U:$U,MATCH(TRIM($I385),Lists!$T:$T,0)),TRIM($I385))))</f>
        <v>Energy Solutions &amp; B2B</v>
      </c>
      <c r="AK385" s="865" t="str">
        <f>IF(ISNUMBER(SEARCH("vacant",$B385)),"Vacant","Filled")</f>
        <v>Filled</v>
      </c>
      <c r="AL385" s="865" t="str">
        <f>IF($M385="NZ","NZ","AU")</f>
        <v>NZ</v>
      </c>
      <c r="AM385" s="865">
        <f>COUNTIF($AJ$2:$AJ385,$AJ385)</f>
        <v>18</v>
      </c>
      <c r="AN385" s="865" t="str">
        <f>$AJ385&amp;"|"&amp;$AM385</f>
        <v>Energy Solutions &amp; B2B|18</v>
      </c>
      <c r="AP385" s="1136" t="str">
        <f>IF(TRIM($B385)="","",IF($AQ385=1,"Leadership",IFERROR(INDEX(Lists!$X:$X,MATCH(TRIM($K385),Lists!$W:$W,0)),IF(OR(TRIM($K385)="",LOWER(TRIM($K385))="na"),IF(TRIM($G385)="","Unassigned",TRIM($G385)),TRIM($K385)))))</f>
        <v>Leadership</v>
      </c>
      <c r="AQ385" s="865" t="b">
        <f>IF(TRIM($B385)="","",--OR(TRIM($K385)="Leadership",TRIM($J385)="Leadership"))</f>
        <v>1</v>
      </c>
      <c r="AR385" s="1136" t="str">
        <f>IF(TRIM($B385)="","",IF(IFERROR(INDEX(Lists!$AQ$2:$AQ$11,MATCH(ROW(),Lists!$AN$2:$AN$11,0)),"")&lt;&gt;"",IFERROR(INDEX(Lists!$AQ$2:$AQ$11,MATCH(ROW(),Lists!$AN$2:$AN$11,0)),""),IF(ISNUMBER(SEARCH("head of ",$C385)),"Head of Technology",IF(ISNUMBER(SEARCH("TDD BP",$C385)),"Business Partner",IF(OR(ISNUMBER(SEARCH("domain architect",$C385)),ISNUMBER(SEARCH("enterprise architect",$C385))),"Domain Architect",IF(ISNUMBER(SEARCH("delivery man",$C385)),"Delivery Manager",IF(OR(ISNUMBER(SEARCH("technology manager",$C385)),ISNUMBER(SEARCH("technology manger",$C385)),ISNUMBER(SEARCH("tech manager",$C385))),"Technology Manager","Squad")))))))</f>
        <v>Head of Technology</v>
      </c>
      <c r="AS385" s="1136" t="str">
        <f>IF(TRIM($B385)="","",IFERROR(INDEX(Lists!$AA:$AA,MATCH($AP385,Lists!$Z:$Z,0)),$AP385))</f>
        <v>Leadership</v>
      </c>
      <c r="AT385" s="1136" t="str">
        <f>IF(TRIM($B385)="","",IF(IFERROR(INDEX(Lists!$AP$2:$AP$11,MATCH(ROW(),Lists!$AN$2:$AN$11,0)),"")&lt;&gt;"",IFERROR(INDEX(Lists!$AP$2:$AP$11,MATCH(ROW(),Lists!$AN$2:$AN$11,0)),""),IF(OR(LEFT($AJ385,3)="COE",$AJ385="EGI"),$AP385,IF($AR385&lt;&gt;"Squad",$AR385,$AP385))))</f>
        <v>Head of Technology</v>
      </c>
    </row>
    <row r="386" ht="18" customHeight="1" s="866">
      <c r="A386" s="1155" t="n">
        <v>105799</v>
      </c>
      <c r="B386" s="1156" t="inlineStr">
        <is>
          <t>Lindsay Baipas</t>
        </is>
      </c>
      <c r="C386" s="1156" t="inlineStr">
        <is>
          <t>System Analyst Card</t>
        </is>
      </c>
      <c r="D386" s="1156" t="inlineStr">
        <is>
          <t>Elle Spencer</t>
        </is>
      </c>
      <c r="E386" s="1156" t="inlineStr">
        <is>
          <t>Technology Manager, Energy Solutions</t>
        </is>
      </c>
      <c r="F386" s="1157" t="inlineStr">
        <is>
          <t>TDD CFE&amp;I</t>
        </is>
      </c>
      <c r="G386" s="1158" t="inlineStr">
        <is>
          <t>B2B &amp; Energy Solutions</t>
        </is>
      </c>
      <c r="H386" s="1158" t="inlineStr">
        <is>
          <t>Technology B2B</t>
        </is>
      </c>
      <c r="I386" s="1158" t="inlineStr">
        <is>
          <t>B2B &amp; Energy Solutions</t>
        </is>
      </c>
      <c r="J386" s="1156" t="inlineStr">
        <is>
          <t>B2B</t>
        </is>
      </c>
      <c r="K386" s="1156" t="inlineStr">
        <is>
          <t>B2B</t>
        </is>
      </c>
      <c r="L386" s="1158" t="n"/>
      <c r="M386" s="1159" t="inlineStr">
        <is>
          <t>Australia</t>
        </is>
      </c>
      <c r="N386" s="1160" t="inlineStr">
        <is>
          <t>CIA</t>
        </is>
      </c>
      <c r="O386" s="1160" t="n">
        <v>1</v>
      </c>
      <c r="P386" s="1160" t="n"/>
      <c r="Q386" s="1277" t="inlineStr">
        <is>
          <t>Permanent - Full Time</t>
        </is>
      </c>
      <c r="R386" s="1162" t="n"/>
      <c r="S386" s="1162" t="n"/>
      <c r="T386" s="1163" t="n">
        <v>144720</v>
      </c>
      <c r="U386" s="1164" t="n">
        <v>144720</v>
      </c>
      <c r="V386" s="1166" t="n">
        <v>0.1</v>
      </c>
      <c r="W386" s="1170" t="n">
        <v>0.055</v>
      </c>
      <c r="X386" s="1170" t="n">
        <v>0.12</v>
      </c>
      <c r="Y386" s="1171" t="n"/>
      <c r="Z386" s="1170" t="n">
        <v>0.04</v>
      </c>
      <c r="AA386" s="1168">
        <f>IF(TRIM($B386)="","",IF(N($AU386)&gt;0,$AU386,IF(N($S386)&gt;0,$S386*Lists!$AG$15*(1+N($Z386)),N($U386)*(1+N($V386)+N($W386)+N($X386)+N($Z386))+N($Y386))))</f>
        <v>190306.8</v>
      </c>
      <c r="AJ386" s="865" t="str">
        <f>IF(TRIM($B386)="","",IF(IFERROR(INDEX(Lists!$AO$2:$AO$11,MATCH(ROW(),Lists!$AN$2:$AN$11,0)),"")&lt;&gt;"",IFERROR(INDEX(Lists!$AO$2:$AO$11,MATCH(ROW(),Lists!$AN$2:$AN$11,0)),""),IFERROR(INDEX(Lists!$U:$U,MATCH(TRIM($I386),Lists!$T:$T,0)),TRIM($I386))))</f>
        <v>Energy Solutions &amp; B2B</v>
      </c>
      <c r="AK386" s="865" t="str">
        <f>IF(ISNUMBER(SEARCH("vacant",$B386)),"Vacant","Filled")</f>
        <v>Filled</v>
      </c>
      <c r="AL386" s="865" t="str">
        <f>IF($M386="NZ","NZ","AU")</f>
        <v>AU</v>
      </c>
      <c r="AM386" s="865">
        <f>COUNTIF($AJ$2:$AJ386,$AJ386)</f>
        <v>19</v>
      </c>
      <c r="AN386" s="865" t="str">
        <f>$AJ386&amp;"|"&amp;$AM386</f>
        <v>Energy Solutions &amp; B2B|19</v>
      </c>
      <c r="AP386" s="865" t="str">
        <f>IF(TRIM($B386)="","",IF($AQ386=1,"Leadership",IFERROR(INDEX(Lists!$X:$X,MATCH(TRIM($K386),Lists!$W:$W,0)),IF(OR(TRIM($K386)="",LOWER(TRIM($K386))="na"),IF(TRIM($G386)="","Unassigned",TRIM($G386)),TRIM($K386)))))</f>
        <v>B2B</v>
      </c>
      <c r="AQ386" s="865" t="b">
        <f>IF(TRIM($B386)="","",--OR(TRIM($K386)="Leadership",TRIM($J386)="Leadership"))</f>
        <v>0</v>
      </c>
      <c r="AR386" s="1136" t="str">
        <f>IF(TRIM($B386)="","",IF(IFERROR(INDEX(Lists!$AQ$2:$AQ$11,MATCH(ROW(),Lists!$AN$2:$AN$11,0)),"")&lt;&gt;"",IFERROR(INDEX(Lists!$AQ$2:$AQ$11,MATCH(ROW(),Lists!$AN$2:$AN$11,0)),""),IF(ISNUMBER(SEARCH("head of ",$C386)),"Head of Technology",IF(ISNUMBER(SEARCH("TDD BP",$C386)),"Business Partner",IF(OR(ISNUMBER(SEARCH("domain architect",$C386)),ISNUMBER(SEARCH("enterprise architect",$C386))),"Domain Architect",IF(ISNUMBER(SEARCH("delivery man",$C386)),"Delivery Manager",IF(OR(ISNUMBER(SEARCH("technology manager",$C386)),ISNUMBER(SEARCH("technology manger",$C386)),ISNUMBER(SEARCH("tech manager",$C386))),"Technology Manager","Squad")))))))</f>
        <v>Squad</v>
      </c>
      <c r="AS386" s="1136" t="str">
        <f>IF(TRIM($B386)="","",IFERROR(INDEX(Lists!$AA:$AA,MATCH($AP386,Lists!$Z:$Z,0)),$AP386))</f>
        <v>B2B</v>
      </c>
      <c r="AT386" s="1136" t="str">
        <f>IF(TRIM($B386)="","",IF(IFERROR(INDEX(Lists!$AP$2:$AP$11,MATCH(ROW(),Lists!$AN$2:$AN$11,0)),"")&lt;&gt;"",IFERROR(INDEX(Lists!$AP$2:$AP$11,MATCH(ROW(),Lists!$AN$2:$AN$11,0)),""),IF(OR(LEFT($AJ386,3)="COE",$AJ386="EGI"),$AP386,IF($AR386&lt;&gt;"Squad",$AR386,$AP386))))</f>
        <v>B2B</v>
      </c>
    </row>
    <row r="387" ht="18" customHeight="1" s="866">
      <c r="A387" s="1155" t="n">
        <v>105488</v>
      </c>
      <c r="B387" s="1156" t="inlineStr">
        <is>
          <t>Louis Ballington</t>
        </is>
      </c>
      <c r="C387" s="1156" t="inlineStr">
        <is>
          <t>Delivery Lead</t>
        </is>
      </c>
      <c r="D387" s="1158" t="inlineStr">
        <is>
          <t>Vacant</t>
        </is>
      </c>
      <c r="E387" s="1156" t="inlineStr">
        <is>
          <t>Delivery Manager</t>
        </is>
      </c>
      <c r="F387" s="1157" t="inlineStr">
        <is>
          <t>TDD CFE&amp;I</t>
        </is>
      </c>
      <c r="G387" s="1158" t="inlineStr">
        <is>
          <t>Fuel Infrastructure</t>
        </is>
      </c>
      <c r="H387" s="1158" t="inlineStr">
        <is>
          <t>Fuel Infrastructure, Delivery</t>
        </is>
      </c>
      <c r="I387" s="1158" t="inlineStr">
        <is>
          <t>Infrastructure</t>
        </is>
      </c>
      <c r="J387" s="1158" t="inlineStr">
        <is>
          <t>Manufacturing</t>
        </is>
      </c>
      <c r="K387" s="1156" t="inlineStr">
        <is>
          <t>Manufacturing Group Projects</t>
        </is>
      </c>
      <c r="L387" s="1158" t="n"/>
      <c r="M387" s="1159" t="inlineStr">
        <is>
          <t>Australia</t>
        </is>
      </c>
      <c r="N387" s="1160" t="inlineStr">
        <is>
          <t>CIC</t>
        </is>
      </c>
      <c r="O387" s="1160" t="n">
        <v>1</v>
      </c>
      <c r="P387" s="1160" t="n"/>
      <c r="Q387" s="1277" t="inlineStr">
        <is>
          <t>Permanent - Full Time</t>
        </is>
      </c>
      <c r="R387" s="1162" t="n"/>
      <c r="S387" s="1162" t="n"/>
      <c r="T387" s="1163" t="n">
        <v>192110</v>
      </c>
      <c r="U387" s="1164" t="n">
        <v>192110</v>
      </c>
      <c r="V387" s="1166" t="n">
        <v>0.12</v>
      </c>
      <c r="W387" s="1170" t="n">
        <v>0.055</v>
      </c>
      <c r="X387" s="1170" t="n">
        <v>0.12</v>
      </c>
      <c r="Y387" s="1171" t="n"/>
      <c r="Z387" s="1170" t="n">
        <v>0.04</v>
      </c>
      <c r="AA387" s="1168">
        <f>IF(TRIM($B387)="","",IF(N($AU387)&gt;0,$AU387,IF(N($S387)&gt;0,$S387*Lists!$AG$15*(1+N($Z387)),N($U387)*(1+N($V387)+N($W387)+N($X387)+N($Z387))+N($Y387))))</f>
        <v>256466.85</v>
      </c>
      <c r="AJ387" s="865" t="str">
        <f>IF(TRIM($B387)="","",IF(IFERROR(INDEX(Lists!$AO$2:$AO$11,MATCH(ROW(),Lists!$AN$2:$AN$11,0)),"")&lt;&gt;"",IFERROR(INDEX(Lists!$AO$2:$AO$11,MATCH(ROW(),Lists!$AN$2:$AN$11,0)),""),IFERROR(INDEX(Lists!$U:$U,MATCH(TRIM($I387),Lists!$T:$T,0)),TRIM($I387))))</f>
        <v>Infrastructure</v>
      </c>
      <c r="AK387" s="865" t="str">
        <f>IF(ISNUMBER(SEARCH("vacant",$B387)),"Vacant","Filled")</f>
        <v>Filled</v>
      </c>
      <c r="AL387" s="865" t="str">
        <f>IF($M387="NZ","NZ","AU")</f>
        <v>AU</v>
      </c>
      <c r="AM387" s="865">
        <f>COUNTIF($AJ$2:$AJ387,$AJ387)</f>
        <v>13</v>
      </c>
      <c r="AN387" s="865" t="str">
        <f>$AJ387&amp;"|"&amp;$AM387</f>
        <v>Infrastructure|13</v>
      </c>
      <c r="AP387" s="865" t="str">
        <f>IF(TRIM($B387)="","",IF($AQ387=1,"Leadership",IFERROR(INDEX(Lists!$X:$X,MATCH(TRIM($K387),Lists!$W:$W,0)),IF(OR(TRIM($K387)="",LOWER(TRIM($K387))="na"),IF(TRIM($G387)="","Unassigned",TRIM($G387)),TRIM($K387)))))</f>
        <v>Manufacturing Group Projects</v>
      </c>
      <c r="AQ387" s="865" t="b">
        <f>IF(TRIM($B387)="","",--OR(TRIM($K387)="Leadership",TRIM($J387)="Leadership"))</f>
        <v>0</v>
      </c>
      <c r="AR387" s="1136" t="str">
        <f>IF(TRIM($B387)="","",IF(IFERROR(INDEX(Lists!$AQ$2:$AQ$11,MATCH(ROW(),Lists!$AN$2:$AN$11,0)),"")&lt;&gt;"",IFERROR(INDEX(Lists!$AQ$2:$AQ$11,MATCH(ROW(),Lists!$AN$2:$AN$11,0)),""),IF(ISNUMBER(SEARCH("head of ",$C387)),"Head of Technology",IF(ISNUMBER(SEARCH("TDD BP",$C387)),"Business Partner",IF(OR(ISNUMBER(SEARCH("domain architect",$C387)),ISNUMBER(SEARCH("enterprise architect",$C387))),"Domain Architect",IF(ISNUMBER(SEARCH("delivery man",$C387)),"Delivery Manager",IF(OR(ISNUMBER(SEARCH("technology manager",$C387)),ISNUMBER(SEARCH("technology manger",$C387)),ISNUMBER(SEARCH("tech manager",$C387))),"Technology Manager","Squad")))))))</f>
        <v>Squad</v>
      </c>
      <c r="AS387" s="1136" t="str">
        <f>IF(TRIM($B387)="","",IFERROR(INDEX(Lists!$AA:$AA,MATCH($AP387,Lists!$Z:$Z,0)),$AP387))</f>
        <v>Manufacturing Group Projects</v>
      </c>
      <c r="AT387" s="1136" t="str">
        <f>IF(TRIM($B387)="","",IF(IFERROR(INDEX(Lists!$AP$2:$AP$11,MATCH(ROW(),Lists!$AN$2:$AN$11,0)),"")&lt;&gt;"",IFERROR(INDEX(Lists!$AP$2:$AP$11,MATCH(ROW(),Lists!$AN$2:$AN$11,0)),""),IF(OR(LEFT($AJ387,3)="COE",$AJ387="EGI"),$AP387,IF($AR387&lt;&gt;"Squad",$AR387,$AP387))))</f>
        <v>Manufacturing Group Projects</v>
      </c>
    </row>
    <row r="388" ht="18" customHeight="1" s="866">
      <c r="A388" s="1155" t="n">
        <v>8367</v>
      </c>
      <c r="B388" s="1156" t="inlineStr">
        <is>
          <t>Marcela Gonzalez</t>
        </is>
      </c>
      <c r="C388" s="1156" t="inlineStr">
        <is>
          <t>Energy Platforms Lead</t>
        </is>
      </c>
      <c r="D388" s="1158" t="inlineStr">
        <is>
          <t>Vacant</t>
        </is>
      </c>
      <c r="E388" s="1156" t="inlineStr">
        <is>
          <t>Technology Manager, Energy Solutions</t>
        </is>
      </c>
      <c r="F388" s="1157" t="inlineStr">
        <is>
          <t>TDD CFE&amp;I</t>
        </is>
      </c>
      <c r="G388" s="1158" t="inlineStr">
        <is>
          <t>B2B &amp; Energy Solutions</t>
        </is>
      </c>
      <c r="H388" s="1158" t="inlineStr">
        <is>
          <t>Technology Energy Solutions</t>
        </is>
      </c>
      <c r="I388" s="1158" t="inlineStr">
        <is>
          <t>B2B &amp; Energy Solutions</t>
        </is>
      </c>
      <c r="J388" s="1158" t="inlineStr">
        <is>
          <t>Energy Solutions</t>
        </is>
      </c>
      <c r="K388" s="1156" t="inlineStr">
        <is>
          <t>Energy</t>
        </is>
      </c>
      <c r="L388" s="1158" t="n"/>
      <c r="M388" s="1159" t="inlineStr">
        <is>
          <t>Australia</t>
        </is>
      </c>
      <c r="N388" s="1162" t="inlineStr">
        <is>
          <t>cic</t>
        </is>
      </c>
      <c r="O388" s="1162" t="n">
        <v>1</v>
      </c>
      <c r="P388" s="1162" t="n"/>
      <c r="Q388" s="1276" t="inlineStr">
        <is>
          <t>Permanent - Full Time</t>
        </is>
      </c>
      <c r="R388" s="1162" t="n"/>
      <c r="S388" s="1162" t="n"/>
      <c r="T388" s="1163" t="n">
        <v>187730</v>
      </c>
      <c r="U388" s="1164" t="n">
        <v>187730</v>
      </c>
      <c r="V388" s="1166" t="n">
        <v>0.12</v>
      </c>
      <c r="W388" s="1170" t="n">
        <v>0.055</v>
      </c>
      <c r="X388" s="1170" t="n">
        <v>0.12</v>
      </c>
      <c r="Y388" s="1171" t="n"/>
      <c r="Z388" s="1170" t="n">
        <v>0.04</v>
      </c>
      <c r="AA388" s="1168">
        <f>IF(TRIM($B388)="","",IF(N($AU388)&gt;0,$AU388,IF(N($S388)&gt;0,$S388*Lists!$AG$15*(1+N($Z388)),N($U388)*(1+N($V388)+N($W388)+N($X388)+N($Z388))+N($Y388))))</f>
        <v>250619.55</v>
      </c>
      <c r="AJ388" s="865" t="str">
        <f>IF(TRIM($B388)="","",IF(IFERROR(INDEX(Lists!$AO$2:$AO$11,MATCH(ROW(),Lists!$AN$2:$AN$11,0)),"")&lt;&gt;"",IFERROR(INDEX(Lists!$AO$2:$AO$11,MATCH(ROW(),Lists!$AN$2:$AN$11,0)),""),IFERROR(INDEX(Lists!$U:$U,MATCH(TRIM($I388),Lists!$T:$T,0)),TRIM($I388))))</f>
        <v>Energy Solutions &amp; B2B</v>
      </c>
      <c r="AK388" s="865" t="str">
        <f>IF(ISNUMBER(SEARCH("vacant",$B388)),"Vacant","Filled")</f>
        <v>Filled</v>
      </c>
      <c r="AL388" s="865" t="str">
        <f>IF($M388="NZ","NZ","AU")</f>
        <v>AU</v>
      </c>
      <c r="AM388" s="865">
        <f>COUNTIF($AJ$2:$AJ388,$AJ388)</f>
        <v>20</v>
      </c>
      <c r="AN388" s="865" t="str">
        <f>$AJ388&amp;"|"&amp;$AM388</f>
        <v>Energy Solutions &amp; B2B|20</v>
      </c>
      <c r="AP388" s="865" t="str">
        <f>IF(TRIM($B388)="","",IF($AQ388=1,"Leadership",IFERROR(INDEX(Lists!$X:$X,MATCH(TRIM($K388),Lists!$W:$W,0)),IF(OR(TRIM($K388)="",LOWER(TRIM($K388))="na"),IF(TRIM($G388)="","Unassigned",TRIM($G388)),TRIM($K388)))))</f>
        <v>Energy</v>
      </c>
      <c r="AQ388" s="865" t="b">
        <f>IF(TRIM($B388)="","",--OR(TRIM($K388)="Leadership",TRIM($J388)="Leadership"))</f>
        <v>0</v>
      </c>
      <c r="AR388" s="1136" t="str">
        <f>IF(TRIM($B388)="","",IF(IFERROR(INDEX(Lists!$AQ$2:$AQ$11,MATCH(ROW(),Lists!$AN$2:$AN$11,0)),"")&lt;&gt;"",IFERROR(INDEX(Lists!$AQ$2:$AQ$11,MATCH(ROW(),Lists!$AN$2:$AN$11,0)),""),IF(ISNUMBER(SEARCH("head of ",$C388)),"Head of Technology",IF(ISNUMBER(SEARCH("TDD BP",$C388)),"Business Partner",IF(OR(ISNUMBER(SEARCH("domain architect",$C388)),ISNUMBER(SEARCH("enterprise architect",$C388))),"Domain Architect",IF(ISNUMBER(SEARCH("delivery man",$C388)),"Delivery Manager",IF(OR(ISNUMBER(SEARCH("technology manager",$C388)),ISNUMBER(SEARCH("technology manger",$C388)),ISNUMBER(SEARCH("tech manager",$C388))),"Technology Manager","Squad")))))))</f>
        <v>Squad</v>
      </c>
      <c r="AS388" s="1136" t="str">
        <f>IF(TRIM($B388)="","",IFERROR(INDEX(Lists!$AA:$AA,MATCH($AP388,Lists!$Z:$Z,0)),$AP388))</f>
        <v>Energy</v>
      </c>
      <c r="AT388" s="1136" t="str">
        <f>IF(TRIM($B388)="","",IF(IFERROR(INDEX(Lists!$AP$2:$AP$11,MATCH(ROW(),Lists!$AN$2:$AN$11,0)),"")&lt;&gt;"",IFERROR(INDEX(Lists!$AP$2:$AP$11,MATCH(ROW(),Lists!$AN$2:$AN$11,0)),""),IF(OR(LEFT($AJ388,3)="COE",$AJ388="EGI"),$AP388,IF($AR388&lt;&gt;"Squad",$AR388,$AP388))))</f>
        <v>Energy</v>
      </c>
    </row>
    <row r="389" ht="18" customHeight="1" s="866">
      <c r="A389" s="1155" t="n">
        <v>85491</v>
      </c>
      <c r="B389" s="1156" t="inlineStr">
        <is>
          <t>Mick DaSilva</t>
        </is>
      </c>
      <c r="C389" s="1156" t="inlineStr">
        <is>
          <t>Senior Business Analyst</t>
        </is>
      </c>
      <c r="D389" s="1158" t="inlineStr">
        <is>
          <t>Vacant</t>
        </is>
      </c>
      <c r="E389" s="1156" t="inlineStr">
        <is>
          <t>Delivery Manager</t>
        </is>
      </c>
      <c r="F389" s="1157" t="inlineStr">
        <is>
          <t>TDD CFE&amp;I</t>
        </is>
      </c>
      <c r="G389" s="1158" t="inlineStr">
        <is>
          <t>B2B &amp; Energy Solutions</t>
        </is>
      </c>
      <c r="H389" s="1158" t="inlineStr">
        <is>
          <t>Delivery</t>
        </is>
      </c>
      <c r="I389" s="1158" t="inlineStr">
        <is>
          <t>B2B &amp; Energy Solutions</t>
        </is>
      </c>
      <c r="J389" s="1156" t="inlineStr">
        <is>
          <t>B2B</t>
        </is>
      </c>
      <c r="K389" s="1156" t="inlineStr">
        <is>
          <t>B2B</t>
        </is>
      </c>
      <c r="L389" s="1158" t="n"/>
      <c r="M389" s="1159" t="inlineStr">
        <is>
          <t>Australia</t>
        </is>
      </c>
      <c r="N389" s="1162" t="inlineStr">
        <is>
          <t>CIB</t>
        </is>
      </c>
      <c r="O389" s="1162" t="n">
        <v>1</v>
      </c>
      <c r="P389" s="1162" t="n"/>
      <c r="Q389" s="1276" t="inlineStr">
        <is>
          <t>Permanent - Full Time</t>
        </is>
      </c>
      <c r="R389" s="1162" t="n"/>
      <c r="S389" s="1162" t="n"/>
      <c r="T389" s="1163" t="n">
        <v>164380</v>
      </c>
      <c r="U389" s="1164" t="n">
        <v>164380</v>
      </c>
      <c r="V389" s="1166" t="n">
        <v>0.12</v>
      </c>
      <c r="W389" s="1170" t="n">
        <v>0.055</v>
      </c>
      <c r="X389" s="1170" t="n">
        <v>0.12</v>
      </c>
      <c r="Y389" s="1171" t="n"/>
      <c r="Z389" s="1170" t="n">
        <v>0.04</v>
      </c>
      <c r="AA389" s="1168">
        <f>IF(TRIM($B389)="","",IF(N($AU389)&gt;0,$AU389,IF(N($S389)&gt;0,$S389*Lists!$AG$15*(1+N($Z389)),N($U389)*(1+N($V389)+N($W389)+N($X389)+N($Z389))+N($Y389))))</f>
        <v>219447.3</v>
      </c>
      <c r="AJ389" s="865" t="str">
        <f>IF(TRIM($B389)="","",IF(IFERROR(INDEX(Lists!$AO$2:$AO$11,MATCH(ROW(),Lists!$AN$2:$AN$11,0)),"")&lt;&gt;"",IFERROR(INDEX(Lists!$AO$2:$AO$11,MATCH(ROW(),Lists!$AN$2:$AN$11,0)),""),IFERROR(INDEX(Lists!$U:$U,MATCH(TRIM($I389),Lists!$T:$T,0)),TRIM($I389))))</f>
        <v>Energy Solutions &amp; B2B</v>
      </c>
      <c r="AK389" s="865" t="str">
        <f>IF(ISNUMBER(SEARCH("vacant",$B389)),"Vacant","Filled")</f>
        <v>Filled</v>
      </c>
      <c r="AL389" s="865" t="str">
        <f>IF($M389="NZ","NZ","AU")</f>
        <v>AU</v>
      </c>
      <c r="AM389" s="865">
        <f>COUNTIF($AJ$2:$AJ389,$AJ389)</f>
        <v>21</v>
      </c>
      <c r="AN389" s="865" t="str">
        <f>$AJ389&amp;"|"&amp;$AM389</f>
        <v>Energy Solutions &amp; B2B|21</v>
      </c>
      <c r="AP389" s="865" t="str">
        <f>IF(TRIM($B389)="","",IF($AQ389=1,"Leadership",IFERROR(INDEX(Lists!$X:$X,MATCH(TRIM($K389),Lists!$W:$W,0)),IF(OR(TRIM($K389)="",LOWER(TRIM($K389))="na"),IF(TRIM($G389)="","Unassigned",TRIM($G389)),TRIM($K389)))))</f>
        <v>B2B</v>
      </c>
      <c r="AQ389" s="865" t="b">
        <f>IF(TRIM($B389)="","",--OR(TRIM($K389)="Leadership",TRIM($J389)="Leadership"))</f>
        <v>0</v>
      </c>
      <c r="AR389" s="1136" t="str">
        <f>IF(TRIM($B389)="","",IF(IFERROR(INDEX(Lists!$AQ$2:$AQ$11,MATCH(ROW(),Lists!$AN$2:$AN$11,0)),"")&lt;&gt;"",IFERROR(INDEX(Lists!$AQ$2:$AQ$11,MATCH(ROW(),Lists!$AN$2:$AN$11,0)),""),IF(ISNUMBER(SEARCH("head of ",$C389)),"Head of Technology",IF(ISNUMBER(SEARCH("TDD BP",$C389)),"Business Partner",IF(OR(ISNUMBER(SEARCH("domain architect",$C389)),ISNUMBER(SEARCH("enterprise architect",$C389))),"Domain Architect",IF(ISNUMBER(SEARCH("delivery man",$C389)),"Delivery Manager",IF(OR(ISNUMBER(SEARCH("technology manager",$C389)),ISNUMBER(SEARCH("technology manger",$C389)),ISNUMBER(SEARCH("tech manager",$C389))),"Technology Manager","Squad")))))))</f>
        <v>Squad</v>
      </c>
      <c r="AS389" s="1136" t="str">
        <f>IF(TRIM($B389)="","",IFERROR(INDEX(Lists!$AA:$AA,MATCH($AP389,Lists!$Z:$Z,0)),$AP389))</f>
        <v>B2B</v>
      </c>
      <c r="AT389" s="1136" t="str">
        <f>IF(TRIM($B389)="","",IF(IFERROR(INDEX(Lists!$AP$2:$AP$11,MATCH(ROW(),Lists!$AN$2:$AN$11,0)),"")&lt;&gt;"",IFERROR(INDEX(Lists!$AP$2:$AP$11,MATCH(ROW(),Lists!$AN$2:$AN$11,0)),""),IF(OR(LEFT($AJ389,3)="COE",$AJ389="EGI"),$AP389,IF($AR389&lt;&gt;"Squad",$AR389,$AP389))))</f>
        <v>B2B</v>
      </c>
    </row>
    <row r="390" ht="18" customHeight="1" s="866">
      <c r="A390" s="1175" t="n">
        <v>90813</v>
      </c>
      <c r="B390" s="1179" t="inlineStr">
        <is>
          <t>Mikey Tran</t>
        </is>
      </c>
      <c r="C390" s="1179" t="inlineStr">
        <is>
          <t>Senior Systems Analyst - Card</t>
        </is>
      </c>
      <c r="D390" s="1179" t="inlineStr">
        <is>
          <t>Elle Spencer</t>
        </is>
      </c>
      <c r="E390" s="1179" t="inlineStr">
        <is>
          <t>Technology Manager, Energy Solutions</t>
        </is>
      </c>
      <c r="F390" s="1178" t="inlineStr">
        <is>
          <t>TDD CFE&amp;I</t>
        </is>
      </c>
      <c r="G390" s="1177" t="inlineStr">
        <is>
          <t>B2B &amp; Energy Solutions</t>
        </is>
      </c>
      <c r="H390" s="1177" t="inlineStr">
        <is>
          <t>Technology B2B</t>
        </is>
      </c>
      <c r="I390" s="1177" t="inlineStr">
        <is>
          <t>B2B &amp; Energy Solutions</t>
        </is>
      </c>
      <c r="J390" s="1179" t="inlineStr">
        <is>
          <t>B2B</t>
        </is>
      </c>
      <c r="K390" s="1179" t="inlineStr">
        <is>
          <t>B2B</t>
        </is>
      </c>
      <c r="L390" s="1177" t="n"/>
      <c r="M390" s="1181" t="inlineStr">
        <is>
          <t>Australia</t>
        </is>
      </c>
      <c r="N390" s="1182" t="inlineStr">
        <is>
          <t>CIB</t>
        </is>
      </c>
      <c r="O390" s="1182" t="n">
        <v>1</v>
      </c>
      <c r="P390" s="1182" t="n"/>
      <c r="Q390" s="1277" t="inlineStr">
        <is>
          <t>Permanent - Full Time</t>
        </is>
      </c>
      <c r="R390" s="1281" t="n"/>
      <c r="S390" s="1281" t="n"/>
      <c r="T390" s="1282" t="n">
        <v>140000</v>
      </c>
      <c r="U390" s="1283" t="n">
        <v>140000</v>
      </c>
      <c r="V390" s="1284" t="n">
        <v>0.12</v>
      </c>
      <c r="W390" s="1285" t="n">
        <v>0.055</v>
      </c>
      <c r="X390" s="1285" t="n">
        <v>0.12</v>
      </c>
      <c r="Y390" s="1286" t="n"/>
      <c r="Z390" s="1285" t="n">
        <v>0.04</v>
      </c>
      <c r="AA390" s="1287">
        <f>IF(TRIM($B390)="","",IF(N($AU390)&gt;0,$AU390,IF(N($S390)&gt;0,$S390*Lists!$AG$15*(1+N($Z390)),N($U390)*(1+N($V390)+N($W390)+N($X390)+N($Z390))+N($Y390))))</f>
        <v>186900</v>
      </c>
      <c r="AJ390" s="865" t="str">
        <f>IF(TRIM($B390)="","",IF(IFERROR(INDEX(Lists!$AO$2:$AO$11,MATCH(ROW(),Lists!$AN$2:$AN$11,0)),"")&lt;&gt;"",IFERROR(INDEX(Lists!$AO$2:$AO$11,MATCH(ROW(),Lists!$AN$2:$AN$11,0)),""),IFERROR(INDEX(Lists!$U:$U,MATCH(TRIM($I390),Lists!$T:$T,0)),TRIM($I390))))</f>
        <v>Energy Solutions &amp; B2B</v>
      </c>
      <c r="AK390" s="865" t="str">
        <f>IF(ISNUMBER(SEARCH("vacant",$B390)),"Vacant","Filled")</f>
        <v>Filled</v>
      </c>
      <c r="AL390" s="865" t="str">
        <f>IF($M390="NZ","NZ","AU")</f>
        <v>AU</v>
      </c>
      <c r="AM390" s="865">
        <f>COUNTIF($AJ$2:$AJ390,$AJ390)</f>
        <v>22</v>
      </c>
      <c r="AN390" s="865" t="str">
        <f>$AJ390&amp;"|"&amp;$AM390</f>
        <v>Energy Solutions &amp; B2B|22</v>
      </c>
      <c r="AP390" s="865" t="str">
        <f>IF(TRIM($B390)="","",IF($AQ390=1,"Leadership",IFERROR(INDEX(Lists!$X:$X,MATCH(TRIM($K390),Lists!$W:$W,0)),IF(OR(TRIM($K390)="",LOWER(TRIM($K390))="na"),IF(TRIM($G390)="","Unassigned",TRIM($G390)),TRIM($K390)))))</f>
        <v>B2B</v>
      </c>
      <c r="AQ390" s="865" t="b">
        <f>IF(TRIM($B390)="","",--OR(TRIM($K390)="Leadership",TRIM($J390)="Leadership"))</f>
        <v>0</v>
      </c>
      <c r="AR390" s="1136" t="str">
        <f>IF(TRIM($B390)="","",IF(IFERROR(INDEX(Lists!$AQ$2:$AQ$11,MATCH(ROW(),Lists!$AN$2:$AN$11,0)),"")&lt;&gt;"",IFERROR(INDEX(Lists!$AQ$2:$AQ$11,MATCH(ROW(),Lists!$AN$2:$AN$11,0)),""),IF(ISNUMBER(SEARCH("head of ",$C390)),"Head of Technology",IF(ISNUMBER(SEARCH("TDD BP",$C390)),"Business Partner",IF(OR(ISNUMBER(SEARCH("domain architect",$C390)),ISNUMBER(SEARCH("enterprise architect",$C390))),"Domain Architect",IF(ISNUMBER(SEARCH("delivery man",$C390)),"Delivery Manager",IF(OR(ISNUMBER(SEARCH("technology manager",$C390)),ISNUMBER(SEARCH("technology manger",$C390)),ISNUMBER(SEARCH("tech manager",$C390))),"Technology Manager","Squad")))))))</f>
        <v>Squad</v>
      </c>
      <c r="AS390" s="1136" t="str">
        <f>IF(TRIM($B390)="","",IFERROR(INDEX(Lists!$AA:$AA,MATCH($AP390,Lists!$Z:$Z,0)),$AP390))</f>
        <v>B2B</v>
      </c>
      <c r="AT390" s="1136" t="str">
        <f>IF(TRIM($B390)="","",IF(IFERROR(INDEX(Lists!$AP$2:$AP$11,MATCH(ROW(),Lists!$AN$2:$AN$11,0)),"")&lt;&gt;"",IFERROR(INDEX(Lists!$AP$2:$AP$11,MATCH(ROW(),Lists!$AN$2:$AN$11,0)),""),IF(OR(LEFT($AJ390,3)="COE",$AJ390="EGI"),$AP390,IF($AR390&lt;&gt;"Squad",$AR390,$AP390))))</f>
        <v>B2B</v>
      </c>
    </row>
    <row r="391" ht="18" customHeight="1" s="866">
      <c r="A391" s="1155" t="n">
        <v>114723</v>
      </c>
      <c r="B391" s="1156" t="inlineStr">
        <is>
          <t>Ming Shao</t>
        </is>
      </c>
      <c r="C391" s="1156" t="inlineStr">
        <is>
          <t>Senior Systems Analyst Card</t>
        </is>
      </c>
      <c r="D391" s="1156" t="inlineStr">
        <is>
          <t>Elle Spencer</t>
        </is>
      </c>
      <c r="E391" s="1156" t="inlineStr">
        <is>
          <t>Technology Manager, Energy Solutions</t>
        </is>
      </c>
      <c r="F391" s="1157" t="inlineStr">
        <is>
          <t>TDD CFE&amp;I</t>
        </is>
      </c>
      <c r="G391" s="1158" t="inlineStr">
        <is>
          <t>B2B &amp; Energy Solutions</t>
        </is>
      </c>
      <c r="H391" s="1158" t="inlineStr">
        <is>
          <t>Technology B2B</t>
        </is>
      </c>
      <c r="I391" s="1158" t="inlineStr">
        <is>
          <t>B2B &amp; Energy Solutions</t>
        </is>
      </c>
      <c r="J391" s="1156" t="inlineStr">
        <is>
          <t>B2B</t>
        </is>
      </c>
      <c r="K391" s="1156" t="inlineStr">
        <is>
          <t>B2B</t>
        </is>
      </c>
      <c r="L391" s="1158" t="n"/>
      <c r="M391" s="1183" t="inlineStr">
        <is>
          <t>Australia</t>
        </is>
      </c>
      <c r="N391" s="1160" t="inlineStr">
        <is>
          <t>CIC</t>
        </is>
      </c>
      <c r="O391" s="1160" t="n">
        <v>1</v>
      </c>
      <c r="P391" s="1160" t="n"/>
      <c r="Q391" s="1160" t="inlineStr">
        <is>
          <t>Permanent - Full Time</t>
        </is>
      </c>
      <c r="R391" s="1162" t="n"/>
      <c r="S391" s="1162" t="n"/>
      <c r="T391" s="1162" t="n">
        <v>166000</v>
      </c>
      <c r="U391" s="1174" t="n">
        <v>166000</v>
      </c>
      <c r="V391" s="1166" t="n">
        <v>0.12</v>
      </c>
      <c r="W391" s="1170" t="n">
        <v>0.055</v>
      </c>
      <c r="X391" s="1170" t="n">
        <v>0.12</v>
      </c>
      <c r="Y391" s="1171" t="n"/>
      <c r="Z391" s="1170" t="n">
        <v>0.04</v>
      </c>
      <c r="AA391" s="1168">
        <f>IF(TRIM($B391)="","",IF(N($AU391)&gt;0,$AU391,IF(N($S391)&gt;0,$S391*Lists!$AG$15*(1+N($Z391)),N($U391)*(1+N($V391)+N($W391)+N($X391)+N($Z391))+N($Y391))))</f>
        <v>221610</v>
      </c>
      <c r="AB391" s="1238" t="n"/>
      <c r="AC391" s="1238" t="n"/>
      <c r="AD391" s="1238" t="n"/>
      <c r="AE391" s="1238" t="n"/>
      <c r="AF391" s="1238" t="n"/>
      <c r="AG391" s="1238" t="n"/>
      <c r="AJ391" s="865" t="str">
        <f>IF(TRIM($B391)="","",IF(IFERROR(INDEX(Lists!$AO$2:$AO$11,MATCH(ROW(),Lists!$AN$2:$AN$11,0)),"")&lt;&gt;"",IFERROR(INDEX(Lists!$AO$2:$AO$11,MATCH(ROW(),Lists!$AN$2:$AN$11,0)),""),IFERROR(INDEX(Lists!$U:$U,MATCH(TRIM($I391),Lists!$T:$T,0)),TRIM($I391))))</f>
        <v>Energy Solutions &amp; B2B</v>
      </c>
      <c r="AK391" s="865" t="str">
        <f>IF(ISNUMBER(SEARCH("vacant",$B391)),"Vacant","Filled")</f>
        <v>Filled</v>
      </c>
      <c r="AL391" s="865" t="str">
        <f>IF($M391="NZ","NZ","AU")</f>
        <v>AU</v>
      </c>
      <c r="AM391" s="865">
        <f>COUNTIF($AJ$2:$AJ391,$AJ391)</f>
        <v>23</v>
      </c>
      <c r="AN391" s="865" t="str">
        <f>$AJ391&amp;"|"&amp;$AM391</f>
        <v>Energy Solutions &amp; B2B|23</v>
      </c>
      <c r="AP391" s="865" t="str">
        <f>IF(TRIM($B391)="","",IF($AQ391=1,"Leadership",IFERROR(INDEX(Lists!$X:$X,MATCH(TRIM($K391),Lists!$W:$W,0)),IF(OR(TRIM($K391)="",LOWER(TRIM($K391))="na"),IF(TRIM($G391)="","Unassigned",TRIM($G391)),TRIM($K391)))))</f>
        <v>B2B</v>
      </c>
      <c r="AQ391" s="865" t="b">
        <f>IF(TRIM($B391)="","",--OR(TRIM($K391)="Leadership",TRIM($J391)="Leadership"))</f>
        <v>0</v>
      </c>
      <c r="AR391" s="1136" t="str">
        <f>IF(TRIM($B391)="","",IF(IFERROR(INDEX(Lists!$AQ$2:$AQ$11,MATCH(ROW(),Lists!$AN$2:$AN$11,0)),"")&lt;&gt;"",IFERROR(INDEX(Lists!$AQ$2:$AQ$11,MATCH(ROW(),Lists!$AN$2:$AN$11,0)),""),IF(ISNUMBER(SEARCH("head of ",$C391)),"Head of Technology",IF(ISNUMBER(SEARCH("TDD BP",$C391)),"Business Partner",IF(OR(ISNUMBER(SEARCH("domain architect",$C391)),ISNUMBER(SEARCH("enterprise architect",$C391))),"Domain Architect",IF(ISNUMBER(SEARCH("delivery man",$C391)),"Delivery Manager",IF(OR(ISNUMBER(SEARCH("technology manager",$C391)),ISNUMBER(SEARCH("technology manger",$C391)),ISNUMBER(SEARCH("tech manager",$C391))),"Technology Manager","Squad")))))))</f>
        <v>Squad</v>
      </c>
      <c r="AS391" s="1136" t="str">
        <f>IF(TRIM($B391)="","",IFERROR(INDEX(Lists!$AA:$AA,MATCH($AP391,Lists!$Z:$Z,0)),$AP391))</f>
        <v>B2B</v>
      </c>
      <c r="AT391" s="1136" t="str">
        <f>IF(TRIM($B391)="","",IF(IFERROR(INDEX(Lists!$AP$2:$AP$11,MATCH(ROW(),Lists!$AN$2:$AN$11,0)),"")&lt;&gt;"",IFERROR(INDEX(Lists!$AP$2:$AP$11,MATCH(ROW(),Lists!$AN$2:$AN$11,0)),""),IF(OR(LEFT($AJ391,3)="COE",$AJ391="EGI"),$AP391,IF($AR391&lt;&gt;"Squad",$AR391,$AP391))))</f>
        <v>B2B</v>
      </c>
    </row>
    <row r="392" ht="18" customHeight="1" s="866">
      <c r="A392" s="1155" t="n">
        <v>99999101224</v>
      </c>
      <c r="B392" s="1156" t="inlineStr">
        <is>
          <t>Nakul Bharade</t>
        </is>
      </c>
      <c r="C392" s="1156" t="inlineStr">
        <is>
          <t>Head of Technology, Commercial Fuels</t>
        </is>
      </c>
      <c r="D392" s="1156" t="inlineStr">
        <is>
          <t xml:space="preserve">Roanne Steele </t>
        </is>
      </c>
      <c r="E392" s="1156" t="inlineStr">
        <is>
          <t>GM TDD, CFE&amp;I</t>
        </is>
      </c>
      <c r="F392" s="1157" t="inlineStr">
        <is>
          <t>TDD CFE&amp;I</t>
        </is>
      </c>
      <c r="G392" s="1158" t="inlineStr">
        <is>
          <t>Commercial Fuels</t>
        </is>
      </c>
      <c r="H392" s="1158" t="inlineStr">
        <is>
          <t>Leadership</t>
        </is>
      </c>
      <c r="I392" s="1158" t="inlineStr">
        <is>
          <t>Commercial Fuels</t>
        </is>
      </c>
      <c r="J392" s="1158" t="inlineStr">
        <is>
          <t>Leadership</t>
        </is>
      </c>
      <c r="K392" s="1158" t="inlineStr">
        <is>
          <t>Leadership</t>
        </is>
      </c>
      <c r="L392" s="1158" t="n"/>
      <c r="M392" s="1183" t="inlineStr">
        <is>
          <t>NZ</t>
        </is>
      </c>
      <c r="N392" s="1160" t="inlineStr">
        <is>
          <t>CSC</t>
        </is>
      </c>
      <c r="O392" s="1161" t="n">
        <v>1</v>
      </c>
      <c r="P392" s="1160" t="n"/>
      <c r="Q392" s="1161" t="inlineStr">
        <is>
          <t>Permanent - Full Time</t>
        </is>
      </c>
      <c r="R392" s="1162" t="n"/>
      <c r="S392" s="1162" t="n"/>
      <c r="T392" s="1162" t="n">
        <v>245860</v>
      </c>
      <c r="U392" s="1174" t="n">
        <v>226191.2</v>
      </c>
      <c r="V392" s="1165" t="n">
        <v>0.2</v>
      </c>
      <c r="W392" s="1162" t="n"/>
      <c r="X392" s="1166" t="n">
        <v>0.05</v>
      </c>
      <c r="Y392" s="1907" t="n">
        <v>2910</v>
      </c>
      <c r="Z392" s="1166" t="n">
        <v>0.03</v>
      </c>
      <c r="AA392" s="1168">
        <f>IF(TRIM($B392)="","",IF(N($AU392)&gt;0,$AU392,IF(N($S392)&gt;0,$S392*Lists!$AG$15*(1+N($Z392)),N($U392)*(1+N($V392)+N($W392)+N($X392)+N($Z392))+N($Y392))))</f>
        <v>292434.736</v>
      </c>
      <c r="AB392" s="1238" t="n"/>
      <c r="AC392" s="1238" t="n"/>
      <c r="AD392" s="1238" t="n"/>
      <c r="AE392" s="1238" t="n"/>
      <c r="AF392" s="1238" t="n"/>
      <c r="AG392" s="1238" t="n"/>
      <c r="AJ392" s="865" t="str">
        <f>IF(TRIM($B392)="","",IF(IFERROR(INDEX(Lists!$AO$2:$AO$11,MATCH(ROW(),Lists!$AN$2:$AN$11,0)),"")&lt;&gt;"",IFERROR(INDEX(Lists!$AO$2:$AO$11,MATCH(ROW(),Lists!$AN$2:$AN$11,0)),""),IFERROR(INDEX(Lists!$U:$U,MATCH(TRIM($I392),Lists!$T:$T,0)),TRIM($I392))))</f>
        <v>Commercial Fuels</v>
      </c>
      <c r="AK392" s="865" t="str">
        <f>IF(ISNUMBER(SEARCH("vacant",$B392)),"Vacant","Filled")</f>
        <v>Filled</v>
      </c>
      <c r="AL392" s="865" t="str">
        <f>IF($M392="NZ","NZ","AU")</f>
        <v>NZ</v>
      </c>
      <c r="AM392" s="865">
        <f>COUNTIF($AJ$2:$AJ392,$AJ392)</f>
        <v>23</v>
      </c>
      <c r="AN392" s="865" t="str">
        <f>$AJ392&amp;"|"&amp;$AM392</f>
        <v>Commercial Fuels|23</v>
      </c>
      <c r="AP392" s="865" t="str">
        <f>IF(TRIM($B392)="","",IF($AQ392=1,"Leadership",IFERROR(INDEX(Lists!$X:$X,MATCH(TRIM($K392),Lists!$W:$W,0)),IF(OR(TRIM($K392)="",LOWER(TRIM($K392))="na"),IF(TRIM($G392)="","Unassigned",TRIM($G392)),TRIM($K392)))))</f>
        <v>Leadership</v>
      </c>
      <c r="AQ392" s="865" t="b">
        <f>IF(TRIM($B392)="","",--OR(TRIM($K392)="Leadership",TRIM($J392)="Leadership"))</f>
        <v>1</v>
      </c>
      <c r="AR392" s="1136" t="str">
        <f>IF(TRIM($B392)="","",IF(IFERROR(INDEX(Lists!$AQ$2:$AQ$11,MATCH(ROW(),Lists!$AN$2:$AN$11,0)),"")&lt;&gt;"",IFERROR(INDEX(Lists!$AQ$2:$AQ$11,MATCH(ROW(),Lists!$AN$2:$AN$11,0)),""),IF(ISNUMBER(SEARCH("head of ",$C392)),"Head of Technology",IF(ISNUMBER(SEARCH("TDD BP",$C392)),"Business Partner",IF(OR(ISNUMBER(SEARCH("domain architect",$C392)),ISNUMBER(SEARCH("enterprise architect",$C392))),"Domain Architect",IF(ISNUMBER(SEARCH("delivery man",$C392)),"Delivery Manager",IF(OR(ISNUMBER(SEARCH("technology manager",$C392)),ISNUMBER(SEARCH("technology manger",$C392)),ISNUMBER(SEARCH("tech manager",$C392))),"Technology Manager","Squad")))))))</f>
        <v>Head of Technology</v>
      </c>
      <c r="AS392" s="1136" t="str">
        <f>IF(TRIM($B392)="","",IFERROR(INDEX(Lists!$AA:$AA,MATCH($AP392,Lists!$Z:$Z,0)),$AP392))</f>
        <v>Leadership</v>
      </c>
      <c r="AT392" s="1136" t="str">
        <f>IF(TRIM($B392)="","",IF(IFERROR(INDEX(Lists!$AP$2:$AP$11,MATCH(ROW(),Lists!$AN$2:$AN$11,0)),"")&lt;&gt;"",IFERROR(INDEX(Lists!$AP$2:$AP$11,MATCH(ROW(),Lists!$AN$2:$AN$11,0)),""),IF(OR(LEFT($AJ392,3)="COE",$AJ392="EGI"),$AP392,IF($AR392&lt;&gt;"Squad",$AR392,$AP392))))</f>
        <v>Head of Technology</v>
      </c>
    </row>
    <row r="393" ht="18" customHeight="1" s="866">
      <c r="A393" s="1155" t="n">
        <v>99999101908</v>
      </c>
      <c r="B393" s="1156" t="inlineStr">
        <is>
          <t>Oliver Shanks</t>
        </is>
      </c>
      <c r="C393" s="1156" t="inlineStr">
        <is>
          <t>Associate Engineer Software</t>
        </is>
      </c>
      <c r="D393" s="1158" t="inlineStr">
        <is>
          <t>Vacant</t>
        </is>
      </c>
      <c r="E393" s="1156" t="inlineStr">
        <is>
          <t>Technology Manager, Engineering</t>
        </is>
      </c>
      <c r="F393" s="1157" t="inlineStr">
        <is>
          <t>TDD CFE&amp;I</t>
        </is>
      </c>
      <c r="G393" s="1158" t="inlineStr">
        <is>
          <t>Commercial Fuels</t>
        </is>
      </c>
      <c r="H393" s="1158" t="inlineStr">
        <is>
          <t>Technology, CF Engineering</t>
        </is>
      </c>
      <c r="I393" s="1158" t="inlineStr">
        <is>
          <t>Commercial Fuels</t>
        </is>
      </c>
      <c r="J393" s="1156" t="inlineStr">
        <is>
          <t>CTRM</t>
        </is>
      </c>
      <c r="K393" s="1156" t="inlineStr">
        <is>
          <t>CTRM</t>
        </is>
      </c>
      <c r="L393" s="1158" t="n"/>
      <c r="M393" s="1183" t="inlineStr">
        <is>
          <t>NZ</t>
        </is>
      </c>
      <c r="N393" s="1160" t="inlineStr">
        <is>
          <t>CDA</t>
        </is>
      </c>
      <c r="O393" s="1161" t="n">
        <v>1</v>
      </c>
      <c r="P393" s="1160" t="n"/>
      <c r="Q393" s="1161" t="inlineStr">
        <is>
          <t>Permanent - Full Time</t>
        </is>
      </c>
      <c r="R393" s="1162" t="n"/>
      <c r="S393" s="1162" t="n"/>
      <c r="T393" s="1162" t="n">
        <v>75170</v>
      </c>
      <c r="U393" s="1174" t="n">
        <v>69156.39999999999</v>
      </c>
      <c r="V393" s="1165" t="n">
        <v>0.1</v>
      </c>
      <c r="W393" s="1162" t="n"/>
      <c r="X393" s="1166" t="n">
        <v>0.05</v>
      </c>
      <c r="Y393" s="1907" t="n">
        <v>2910</v>
      </c>
      <c r="Z393" s="1166" t="n">
        <v>0.03</v>
      </c>
      <c r="AA393" s="1168">
        <f>IF(TRIM($B393)="","",IF(N($AU393)&gt;0,$AU393,IF(N($S393)&gt;0,$S393*Lists!$AG$15*(1+N($Z393)),N($U393)*(1+N($V393)+N($W393)+N($X393)+N($Z393))+N($Y393))))</f>
        <v>84514.552</v>
      </c>
      <c r="AB393" s="1238" t="n"/>
      <c r="AC393" s="1238" t="n"/>
      <c r="AD393" s="1238" t="n"/>
      <c r="AE393" s="1238" t="n"/>
      <c r="AF393" s="1238" t="n"/>
      <c r="AG393" s="1238" t="n"/>
      <c r="AJ393" s="865" t="str">
        <f>IF(TRIM($B393)="","",IF(IFERROR(INDEX(Lists!$AO$2:$AO$11,MATCH(ROW(),Lists!$AN$2:$AN$11,0)),"")&lt;&gt;"",IFERROR(INDEX(Lists!$AO$2:$AO$11,MATCH(ROW(),Lists!$AN$2:$AN$11,0)),""),IFERROR(INDEX(Lists!$U:$U,MATCH(TRIM($I393),Lists!$T:$T,0)),TRIM($I393))))</f>
        <v>Commercial Fuels</v>
      </c>
      <c r="AK393" s="865" t="str">
        <f>IF(ISNUMBER(SEARCH("vacant",$B393)),"Vacant","Filled")</f>
        <v>Filled</v>
      </c>
      <c r="AL393" s="865" t="str">
        <f>IF($M393="NZ","NZ","AU")</f>
        <v>NZ</v>
      </c>
      <c r="AM393" s="865">
        <f>COUNTIF($AJ$2:$AJ393,$AJ393)</f>
        <v>24</v>
      </c>
      <c r="AN393" s="865" t="str">
        <f>$AJ393&amp;"|"&amp;$AM393</f>
        <v>Commercial Fuels|24</v>
      </c>
      <c r="AP393" s="865" t="str">
        <f>IF(TRIM($B393)="","",IF($AQ393=1,"Leadership",IFERROR(INDEX(Lists!$X:$X,MATCH(TRIM($K393),Lists!$W:$W,0)),IF(OR(TRIM($K393)="",LOWER(TRIM($K393))="na"),IF(TRIM($G393)="","Unassigned",TRIM($G393)),TRIM($K393)))))</f>
        <v>CTRM</v>
      </c>
      <c r="AQ393" s="865" t="b">
        <f>IF(TRIM($B393)="","",--OR(TRIM($K393)="Leadership",TRIM($J393)="Leadership"))</f>
        <v>0</v>
      </c>
      <c r="AR393" s="1136" t="str">
        <f>IF(TRIM($B393)="","",IF(IFERROR(INDEX(Lists!$AQ$2:$AQ$11,MATCH(ROW(),Lists!$AN$2:$AN$11,0)),"")&lt;&gt;"",IFERROR(INDEX(Lists!$AQ$2:$AQ$11,MATCH(ROW(),Lists!$AN$2:$AN$11,0)),""),IF(ISNUMBER(SEARCH("head of ",$C393)),"Head of Technology",IF(ISNUMBER(SEARCH("TDD BP",$C393)),"Business Partner",IF(OR(ISNUMBER(SEARCH("domain architect",$C393)),ISNUMBER(SEARCH("enterprise architect",$C393))),"Domain Architect",IF(ISNUMBER(SEARCH("delivery man",$C393)),"Delivery Manager",IF(OR(ISNUMBER(SEARCH("technology manager",$C393)),ISNUMBER(SEARCH("technology manger",$C393)),ISNUMBER(SEARCH("tech manager",$C393))),"Technology Manager","Squad")))))))</f>
        <v>Squad</v>
      </c>
      <c r="AS393" s="1136" t="str">
        <f>IF(TRIM($B393)="","",IFERROR(INDEX(Lists!$AA:$AA,MATCH($AP393,Lists!$Z:$Z,0)),$AP393))</f>
        <v>CTRM</v>
      </c>
      <c r="AT393" s="1136" t="str">
        <f>IF(TRIM($B393)="","",IF(IFERROR(INDEX(Lists!$AP$2:$AP$11,MATCH(ROW(),Lists!$AN$2:$AN$11,0)),"")&lt;&gt;"",IFERROR(INDEX(Lists!$AP$2:$AP$11,MATCH(ROW(),Lists!$AN$2:$AN$11,0)),""),IF(OR(LEFT($AJ393,3)="COE",$AJ393="EGI"),$AP393,IF($AR393&lt;&gt;"Squad",$AR393,$AP393))))</f>
        <v>CTRM</v>
      </c>
    </row>
    <row r="394" ht="18" customHeight="1" s="866">
      <c r="A394" s="1155" t="n">
        <v>106907</v>
      </c>
      <c r="B394" s="1156" t="inlineStr">
        <is>
          <t>Oz Shaaban</t>
        </is>
      </c>
      <c r="C394" s="1156" t="inlineStr">
        <is>
          <t>Delivery Lead</t>
        </is>
      </c>
      <c r="D394" s="1158" t="inlineStr">
        <is>
          <t>Vacant</t>
        </is>
      </c>
      <c r="E394" s="1156" t="inlineStr">
        <is>
          <t>Delivery Manager</t>
        </is>
      </c>
      <c r="F394" s="1157" t="inlineStr">
        <is>
          <t>TDD CFE&amp;I</t>
        </is>
      </c>
      <c r="G394" s="1158" t="inlineStr">
        <is>
          <t>Commercial Fuels</t>
        </is>
      </c>
      <c r="H394" s="1158" t="inlineStr">
        <is>
          <t>Delivery, Commercial Fuels</t>
        </is>
      </c>
      <c r="I394" s="1158" t="inlineStr">
        <is>
          <t>Commercial Fuels</t>
        </is>
      </c>
      <c r="J394" s="1158" t="inlineStr">
        <is>
          <t>CTRM</t>
        </is>
      </c>
      <c r="K394" s="1158" t="inlineStr">
        <is>
          <t>CTRM</t>
        </is>
      </c>
      <c r="L394" s="1156" t="n"/>
      <c r="M394" s="1183" t="inlineStr">
        <is>
          <t>Australia</t>
        </is>
      </c>
      <c r="N394" s="1160" t="inlineStr">
        <is>
          <t>CIC</t>
        </is>
      </c>
      <c r="O394" s="1160" t="n">
        <v>1</v>
      </c>
      <c r="P394" s="1160" t="n"/>
      <c r="Q394" s="1160" t="inlineStr">
        <is>
          <t>Permanent - Full Time</t>
        </is>
      </c>
      <c r="R394" s="1162" t="n"/>
      <c r="S394" s="1162" t="n"/>
      <c r="T394" s="1162" t="n">
        <v>190260</v>
      </c>
      <c r="U394" s="1174" t="n">
        <v>190260</v>
      </c>
      <c r="V394" s="1166" t="n">
        <v>0.12</v>
      </c>
      <c r="W394" s="1170" t="n">
        <v>0.055</v>
      </c>
      <c r="X394" s="1170" t="n">
        <v>0.12</v>
      </c>
      <c r="Y394" s="1171" t="n"/>
      <c r="Z394" s="1170" t="n">
        <v>0.04</v>
      </c>
      <c r="AA394" s="1168">
        <f>IF(TRIM($B394)="","",IF(N($AU394)&gt;0,$AU394,IF(N($S394)&gt;0,$S394*Lists!$AG$15*(1+N($Z394)),N($U394)*(1+N($V394)+N($W394)+N($X394)+N($Z394))+N($Y394))))</f>
        <v>253997.1</v>
      </c>
      <c r="AB394" s="1238" t="n"/>
      <c r="AC394" s="1238" t="n"/>
      <c r="AD394" s="1238" t="n"/>
      <c r="AE394" s="1238" t="n"/>
      <c r="AF394" s="1238" t="n"/>
      <c r="AG394" s="1238" t="n"/>
      <c r="AJ394" s="865" t="str">
        <f>IF(TRIM($B394)="","",IF(IFERROR(INDEX(Lists!$AO$2:$AO$11,MATCH(ROW(),Lists!$AN$2:$AN$11,0)),"")&lt;&gt;"",IFERROR(INDEX(Lists!$AO$2:$AO$11,MATCH(ROW(),Lists!$AN$2:$AN$11,0)),""),IFERROR(INDEX(Lists!$U:$U,MATCH(TRIM($I394),Lists!$T:$T,0)),TRIM($I394))))</f>
        <v>Commercial Fuels</v>
      </c>
      <c r="AK394" s="865" t="str">
        <f>IF(ISNUMBER(SEARCH("vacant",$B394)),"Vacant","Filled")</f>
        <v>Filled</v>
      </c>
      <c r="AL394" s="865" t="str">
        <f>IF($M394="NZ","NZ","AU")</f>
        <v>AU</v>
      </c>
      <c r="AM394" s="865">
        <f>COUNTIF($AJ$2:$AJ394,$AJ394)</f>
        <v>25</v>
      </c>
      <c r="AN394" s="865" t="str">
        <f>$AJ394&amp;"|"&amp;$AM394</f>
        <v>Commercial Fuels|25</v>
      </c>
      <c r="AP394" s="865" t="str">
        <f>IF(TRIM($B394)="","",IF($AQ394=1,"Leadership",IFERROR(INDEX(Lists!$X:$X,MATCH(TRIM($K394),Lists!$W:$W,0)),IF(OR(TRIM($K394)="",LOWER(TRIM($K394))="na"),IF(TRIM($G394)="","Unassigned",TRIM($G394)),TRIM($K394)))))</f>
        <v>CTRM</v>
      </c>
      <c r="AQ394" s="865" t="b">
        <f>IF(TRIM($B394)="","",--OR(TRIM($K394)="Leadership",TRIM($J394)="Leadership"))</f>
        <v>0</v>
      </c>
      <c r="AR394" s="1136" t="str">
        <f>IF(TRIM($B394)="","",IF(IFERROR(INDEX(Lists!$AQ$2:$AQ$11,MATCH(ROW(),Lists!$AN$2:$AN$11,0)),"")&lt;&gt;"",IFERROR(INDEX(Lists!$AQ$2:$AQ$11,MATCH(ROW(),Lists!$AN$2:$AN$11,0)),""),IF(ISNUMBER(SEARCH("head of ",$C394)),"Head of Technology",IF(ISNUMBER(SEARCH("TDD BP",$C394)),"Business Partner",IF(OR(ISNUMBER(SEARCH("domain architect",$C394)),ISNUMBER(SEARCH("enterprise architect",$C394))),"Domain Architect",IF(ISNUMBER(SEARCH("delivery man",$C394)),"Delivery Manager",IF(OR(ISNUMBER(SEARCH("technology manager",$C394)),ISNUMBER(SEARCH("technology manger",$C394)),ISNUMBER(SEARCH("tech manager",$C394))),"Technology Manager","Squad")))))))</f>
        <v>Squad</v>
      </c>
      <c r="AS394" s="1136" t="str">
        <f>IF(TRIM($B394)="","",IFERROR(INDEX(Lists!$AA:$AA,MATCH($AP394,Lists!$Z:$Z,0)),$AP394))</f>
        <v>CTRM</v>
      </c>
      <c r="AT394" s="1136" t="str">
        <f>IF(TRIM($B394)="","",IF(IFERROR(INDEX(Lists!$AP$2:$AP$11,MATCH(ROW(),Lists!$AN$2:$AN$11,0)),"")&lt;&gt;"",IFERROR(INDEX(Lists!$AP$2:$AP$11,MATCH(ROW(),Lists!$AN$2:$AN$11,0)),""),IF(OR(LEFT($AJ394,3)="COE",$AJ394="EGI"),$AP394,IF($AR394&lt;&gt;"Squad",$AR394,$AP394))))</f>
        <v>CTRM</v>
      </c>
    </row>
    <row r="395" ht="18" customHeight="1" s="866">
      <c r="A395" s="1155" t="n">
        <v>14920</v>
      </c>
      <c r="B395" s="1156" t="inlineStr">
        <is>
          <t>Poch Fernandez</t>
        </is>
      </c>
      <c r="C395" s="1156" t="inlineStr">
        <is>
          <t xml:space="preserve">Lead Technology Support  </t>
        </is>
      </c>
      <c r="D395" s="1156" t="inlineStr">
        <is>
          <t>Allan Francia</t>
        </is>
      </c>
      <c r="E395" s="1156" t="inlineStr">
        <is>
          <t>Technology Manager, T&amp;S</t>
        </is>
      </c>
      <c r="F395" s="1157" t="inlineStr">
        <is>
          <t>TDD CFE&amp;I</t>
        </is>
      </c>
      <c r="G395" s="1158" t="inlineStr">
        <is>
          <t>Commercial Fuels</t>
        </is>
      </c>
      <c r="H395" s="1158" t="inlineStr">
        <is>
          <t>Technology, Trading &amp; Shipping</t>
        </is>
      </c>
      <c r="I395" s="1158" t="inlineStr">
        <is>
          <t>Commercial Fuels</t>
        </is>
      </c>
      <c r="J395" s="1158" t="inlineStr">
        <is>
          <t>Trading &amp; Shipping</t>
        </is>
      </c>
      <c r="K395" s="1156" t="inlineStr">
        <is>
          <t>Trading &amp; Shipping</t>
        </is>
      </c>
      <c r="L395" s="1158" t="n"/>
      <c r="M395" s="1183" t="inlineStr">
        <is>
          <t>Singapore</t>
        </is>
      </c>
      <c r="N395" s="1162" t="inlineStr">
        <is>
          <t>CIA</t>
        </is>
      </c>
      <c r="O395" s="1162" t="n">
        <v>1</v>
      </c>
      <c r="P395" s="1162" t="n"/>
      <c r="Q395" s="1162" t="inlineStr">
        <is>
          <t>Permanent - Full Time</t>
        </is>
      </c>
      <c r="R395" s="1162" t="n"/>
      <c r="S395" s="1162" t="n"/>
      <c r="T395" s="1162" t="n">
        <v>126380</v>
      </c>
      <c r="U395" s="1174" t="n">
        <v>152919.8</v>
      </c>
      <c r="V395" s="1166" t="n">
        <v>0.18</v>
      </c>
      <c r="W395" s="1162" t="n"/>
      <c r="X395" s="1166" t="n">
        <v>0.17</v>
      </c>
      <c r="Y395" s="1907" t="n">
        <v>3310</v>
      </c>
      <c r="Z395" s="1207" t="n">
        <v>0.045</v>
      </c>
      <c r="AA395" s="1168">
        <f>IF(TRIM($B395)="","",IF(N($AU395)&gt;0,$AU395,IF(N($S395)&gt;0,$S395*Lists!$AG$15*(1+N($Z395)),N($U395)*(1+N($V395)+N($W395)+N($X395)+N($Z395))+N($Y395))))</f>
        <v>216633.121</v>
      </c>
      <c r="AB395" s="1238" t="n"/>
      <c r="AC395" s="1238" t="n"/>
      <c r="AD395" s="1238" t="n"/>
      <c r="AE395" s="1238" t="n"/>
      <c r="AF395" s="1238" t="n"/>
      <c r="AG395" s="1238" t="n"/>
      <c r="AJ395" s="865" t="str">
        <f>IF(TRIM($B395)="","",IF(IFERROR(INDEX(Lists!$AO$2:$AO$11,MATCH(ROW(),Lists!$AN$2:$AN$11,0)),"")&lt;&gt;"",IFERROR(INDEX(Lists!$AO$2:$AO$11,MATCH(ROW(),Lists!$AN$2:$AN$11,0)),""),IFERROR(INDEX(Lists!$U:$U,MATCH(TRIM($I395),Lists!$T:$T,0)),TRIM($I395))))</f>
        <v>Commercial Fuels</v>
      </c>
      <c r="AK395" s="865" t="str">
        <f>IF(ISNUMBER(SEARCH("vacant",$B395)),"Vacant","Filled")</f>
        <v>Filled</v>
      </c>
      <c r="AL395" s="865" t="str">
        <f>IF($M395="NZ","NZ","AU")</f>
        <v>AU</v>
      </c>
      <c r="AM395" s="865">
        <f>COUNTIF($AJ$2:$AJ395,$AJ395)</f>
        <v>26</v>
      </c>
      <c r="AN395" s="865" t="str">
        <f>$AJ395&amp;"|"&amp;$AM395</f>
        <v>Commercial Fuels|26</v>
      </c>
      <c r="AP395" s="865" t="str">
        <f>IF(TRIM($B395)="","",IF($AQ395=1,"Leadership",IFERROR(INDEX(Lists!$X:$X,MATCH(TRIM($K395),Lists!$W:$W,0)),IF(OR(TRIM($K395)="",LOWER(TRIM($K395))="na"),IF(TRIM($G395)="","Unassigned",TRIM($G395)),TRIM($K395)))))</f>
        <v>Trading &amp; Shipping</v>
      </c>
      <c r="AQ395" s="865" t="b">
        <f>IF(TRIM($B395)="","",--OR(TRIM($K395)="Leadership",TRIM($J395)="Leadership"))</f>
        <v>0</v>
      </c>
      <c r="AR395" s="1136" t="str">
        <f>IF(TRIM($B395)="","",IF(IFERROR(INDEX(Lists!$AQ$2:$AQ$11,MATCH(ROW(),Lists!$AN$2:$AN$11,0)),"")&lt;&gt;"",IFERROR(INDEX(Lists!$AQ$2:$AQ$11,MATCH(ROW(),Lists!$AN$2:$AN$11,0)),""),IF(ISNUMBER(SEARCH("head of ",$C395)),"Head of Technology",IF(ISNUMBER(SEARCH("TDD BP",$C395)),"Business Partner",IF(OR(ISNUMBER(SEARCH("domain architect",$C395)),ISNUMBER(SEARCH("enterprise architect",$C395))),"Domain Architect",IF(ISNUMBER(SEARCH("delivery man",$C395)),"Delivery Manager",IF(OR(ISNUMBER(SEARCH("technology manager",$C395)),ISNUMBER(SEARCH("technology manger",$C395)),ISNUMBER(SEARCH("tech manager",$C395))),"Technology Manager","Squad")))))))</f>
        <v>Squad</v>
      </c>
      <c r="AS395" s="1136" t="str">
        <f>IF(TRIM($B395)="","",IFERROR(INDEX(Lists!$AA:$AA,MATCH($AP395,Lists!$Z:$Z,0)),$AP395))</f>
        <v>Trading &amp; Shipping</v>
      </c>
      <c r="AT395" s="1136" t="str">
        <f>IF(TRIM($B395)="","",IF(IFERROR(INDEX(Lists!$AP$2:$AP$11,MATCH(ROW(),Lists!$AN$2:$AN$11,0)),"")&lt;&gt;"",IFERROR(INDEX(Lists!$AP$2:$AP$11,MATCH(ROW(),Lists!$AN$2:$AN$11,0)),""),IF(OR(LEFT($AJ395,3)="COE",$AJ395="EGI"),$AP395,IF($AR395&lt;&gt;"Squad",$AR395,$AP395))))</f>
        <v>Trading &amp; Shipping</v>
      </c>
    </row>
    <row r="396" ht="18" customHeight="1" s="866">
      <c r="A396" s="1155" t="n">
        <v>92697</v>
      </c>
      <c r="B396" s="1156" t="inlineStr">
        <is>
          <t>Radek Rybar</t>
        </is>
      </c>
      <c r="C396" s="1156" t="inlineStr">
        <is>
          <t>Technology Support Engineer - Infrastructure</t>
        </is>
      </c>
      <c r="D396" s="1156" t="inlineStr">
        <is>
          <t>Glenn Earl</t>
        </is>
      </c>
      <c r="E396" s="1156" t="inlineStr">
        <is>
          <t>Lead Support, Infrastructure</t>
        </is>
      </c>
      <c r="F396" s="1157" t="inlineStr">
        <is>
          <t>TDD CFE&amp;I</t>
        </is>
      </c>
      <c r="G396" s="1158" t="inlineStr">
        <is>
          <t>Fuel Infrastructure</t>
        </is>
      </c>
      <c r="H396" s="1158" t="inlineStr">
        <is>
          <t>Refinery Applications</t>
        </is>
      </c>
      <c r="I396" s="1158" t="inlineStr">
        <is>
          <t>Infrastructure</t>
        </is>
      </c>
      <c r="J396" s="1158" t="inlineStr">
        <is>
          <t>Fuel Infrastructure</t>
        </is>
      </c>
      <c r="K396" s="1156" t="inlineStr">
        <is>
          <t>Technology Suport</t>
        </is>
      </c>
      <c r="L396" s="1158" t="n"/>
      <c r="M396" s="1183" t="inlineStr">
        <is>
          <t>Australia</t>
        </is>
      </c>
      <c r="N396" s="1160" t="inlineStr">
        <is>
          <t>CIA</t>
        </is>
      </c>
      <c r="O396" s="1160" t="n">
        <v>1</v>
      </c>
      <c r="P396" s="1160" t="n"/>
      <c r="Q396" s="1160" t="inlineStr">
        <is>
          <t>Permanent - Full Time</t>
        </is>
      </c>
      <c r="R396" s="1162" t="n"/>
      <c r="S396" s="1162" t="n"/>
      <c r="T396" s="1162" t="n">
        <v>116880</v>
      </c>
      <c r="U396" s="1174" t="n">
        <v>116880</v>
      </c>
      <c r="V396" s="1166" t="n">
        <v>0.1</v>
      </c>
      <c r="W396" s="1170" t="n">
        <v>0.055</v>
      </c>
      <c r="X396" s="1170" t="n">
        <v>0.12</v>
      </c>
      <c r="Y396" s="1171" t="n"/>
      <c r="Z396" s="1170" t="n">
        <v>0.04</v>
      </c>
      <c r="AA396" s="1168">
        <f>IF(TRIM($B396)="","",IF(N($AU396)&gt;0,$AU396,IF(N($S396)&gt;0,$S396*Lists!$AG$15*(1+N($Z396)),N($U396)*(1+N($V396)+N($W396)+N($X396)+N($Z396))+N($Y396))))</f>
        <v>153697.2</v>
      </c>
      <c r="AB396" s="1238" t="n"/>
      <c r="AC396" s="1238" t="n"/>
      <c r="AD396" s="1238" t="n"/>
      <c r="AE396" s="1238" t="n"/>
      <c r="AF396" s="1238" t="n"/>
      <c r="AG396" s="1238" t="n"/>
      <c r="AJ396" s="865" t="str">
        <f>IF(TRIM($B396)="","",IF(IFERROR(INDEX(Lists!$AO$2:$AO$11,MATCH(ROW(),Lists!$AN$2:$AN$11,0)),"")&lt;&gt;"",IFERROR(INDEX(Lists!$AO$2:$AO$11,MATCH(ROW(),Lists!$AN$2:$AN$11,0)),""),IFERROR(INDEX(Lists!$U:$U,MATCH(TRIM($I396),Lists!$T:$T,0)),TRIM($I396))))</f>
        <v>Infrastructure</v>
      </c>
      <c r="AK396" s="865" t="str">
        <f>IF(ISNUMBER(SEARCH("vacant",$B396)),"Vacant","Filled")</f>
        <v>Filled</v>
      </c>
      <c r="AL396" s="865" t="str">
        <f>IF($M396="NZ","NZ","AU")</f>
        <v>AU</v>
      </c>
      <c r="AM396" s="865">
        <f>COUNTIF($AJ$2:$AJ396,$AJ396)</f>
        <v>14</v>
      </c>
      <c r="AN396" s="865" t="str">
        <f>$AJ396&amp;"|"&amp;$AM396</f>
        <v>Infrastructure|14</v>
      </c>
      <c r="AP396" s="865" t="str">
        <f>IF(TRIM($B396)="","",IF($AQ396=1,"Leadership",IFERROR(INDEX(Lists!$X:$X,MATCH(TRIM($K396),Lists!$W:$W,0)),IF(OR(TRIM($K396)="",LOWER(TRIM($K396))="na"),IF(TRIM($G396)="","Unassigned",TRIM($G396)),TRIM($K396)))))</f>
        <v>Technology Support</v>
      </c>
      <c r="AQ396" s="865" t="b">
        <f>IF(TRIM($B396)="","",--OR(TRIM($K396)="Leadership",TRIM($J396)="Leadership"))</f>
        <v>0</v>
      </c>
      <c r="AR396" s="1136" t="str">
        <f>IF(TRIM($B396)="","",IF(IFERROR(INDEX(Lists!$AQ$2:$AQ$11,MATCH(ROW(),Lists!$AN$2:$AN$11,0)),"")&lt;&gt;"",IFERROR(INDEX(Lists!$AQ$2:$AQ$11,MATCH(ROW(),Lists!$AN$2:$AN$11,0)),""),IF(ISNUMBER(SEARCH("head of ",$C396)),"Head of Technology",IF(ISNUMBER(SEARCH("TDD BP",$C396)),"Business Partner",IF(OR(ISNUMBER(SEARCH("domain architect",$C396)),ISNUMBER(SEARCH("enterprise architect",$C396))),"Domain Architect",IF(ISNUMBER(SEARCH("delivery man",$C396)),"Delivery Manager",IF(OR(ISNUMBER(SEARCH("technology manager",$C396)),ISNUMBER(SEARCH("technology manger",$C396)),ISNUMBER(SEARCH("tech manager",$C396))),"Technology Manager","Squad")))))))</f>
        <v>Squad</v>
      </c>
      <c r="AS396" s="1136" t="str">
        <f>IF(TRIM($B396)="","",IFERROR(INDEX(Lists!$AA:$AA,MATCH($AP396,Lists!$Z:$Z,0)),$AP396))</f>
        <v>Technology Support</v>
      </c>
      <c r="AT396" s="1136" t="str">
        <f>IF(TRIM($B396)="","",IF(IFERROR(INDEX(Lists!$AP$2:$AP$11,MATCH(ROW(),Lists!$AN$2:$AN$11,0)),"")&lt;&gt;"",IFERROR(INDEX(Lists!$AP$2:$AP$11,MATCH(ROW(),Lists!$AN$2:$AN$11,0)),""),IF(OR(LEFT($AJ396,3)="COE",$AJ396="EGI"),$AP396,IF($AR396&lt;&gt;"Squad",$AR396,$AP396))))</f>
        <v>Technology Support</v>
      </c>
    </row>
    <row r="397" ht="18" customHeight="1" s="866">
      <c r="A397" s="1155" t="n">
        <v>97884</v>
      </c>
      <c r="B397" s="1156" t="inlineStr">
        <is>
          <t>Rebecca Estepa</t>
        </is>
      </c>
      <c r="C397" s="1156" t="inlineStr">
        <is>
          <t>Snr Business Analyst</t>
        </is>
      </c>
      <c r="D397" s="1158" t="inlineStr">
        <is>
          <t>Vacant</t>
        </is>
      </c>
      <c r="E397" s="1156" t="inlineStr">
        <is>
          <t>Delivery Manager</t>
        </is>
      </c>
      <c r="F397" s="1157" t="inlineStr">
        <is>
          <t>TDD CFE&amp;I</t>
        </is>
      </c>
      <c r="G397" s="1158" t="inlineStr">
        <is>
          <t>Fuel Infrastructure</t>
        </is>
      </c>
      <c r="H397" s="1158" t="inlineStr">
        <is>
          <t>Fuel Infrastructure, Delivery</t>
        </is>
      </c>
      <c r="I397" s="1158" t="inlineStr">
        <is>
          <t>Infrastructure</t>
        </is>
      </c>
      <c r="J397" s="1156" t="inlineStr">
        <is>
          <t>Distribution</t>
        </is>
      </c>
      <c r="K397" s="1156" t="inlineStr">
        <is>
          <t>Distribution, Sales &amp; Services</t>
        </is>
      </c>
      <c r="L397" s="1158" t="n"/>
      <c r="M397" s="1183" t="inlineStr">
        <is>
          <t>Australia</t>
        </is>
      </c>
      <c r="N397" s="1160" t="inlineStr">
        <is>
          <t>CIB</t>
        </is>
      </c>
      <c r="O397" s="1160" t="n">
        <v>1</v>
      </c>
      <c r="P397" s="1160" t="n"/>
      <c r="Q397" s="1160" t="inlineStr">
        <is>
          <t>Permanent - Full Time</t>
        </is>
      </c>
      <c r="R397" s="1162" t="n"/>
      <c r="S397" s="1162" t="n"/>
      <c r="T397" s="1162" t="n">
        <v>174780</v>
      </c>
      <c r="U397" s="1174" t="n">
        <v>174780</v>
      </c>
      <c r="V397" s="1166" t="n">
        <v>0.12</v>
      </c>
      <c r="W397" s="1170" t="n">
        <v>0.055</v>
      </c>
      <c r="X397" s="1170" t="n">
        <v>0.12</v>
      </c>
      <c r="Y397" s="1171" t="n"/>
      <c r="Z397" s="1170" t="n">
        <v>0.04</v>
      </c>
      <c r="AA397" s="1168">
        <f>IF(TRIM($B397)="","",IF(N($AU397)&gt;0,$AU397,IF(N($S397)&gt;0,$S397*Lists!$AG$15*(1+N($Z397)),N($U397)*(1+N($V397)+N($W397)+N($X397)+N($Z397))+N($Y397))))</f>
        <v>233331.3</v>
      </c>
      <c r="AB397" s="1238" t="n"/>
      <c r="AC397" s="1238" t="n"/>
      <c r="AD397" s="1238" t="n"/>
      <c r="AE397" s="1238" t="n"/>
      <c r="AF397" s="1238" t="n"/>
      <c r="AG397" s="1238" t="n"/>
      <c r="AH397" s="1238" t="n"/>
      <c r="AJ397" s="865" t="str">
        <f>IF(TRIM($B397)="","",IF(IFERROR(INDEX(Lists!$AO$2:$AO$11,MATCH(ROW(),Lists!$AN$2:$AN$11,0)),"")&lt;&gt;"",IFERROR(INDEX(Lists!$AO$2:$AO$11,MATCH(ROW(),Lists!$AN$2:$AN$11,0)),""),IFERROR(INDEX(Lists!$U:$U,MATCH(TRIM($I397),Lists!$T:$T,0)),TRIM($I397))))</f>
        <v>Infrastructure</v>
      </c>
      <c r="AK397" s="865" t="str">
        <f>IF(ISNUMBER(SEARCH("vacant",$B397)),"Vacant","Filled")</f>
        <v>Filled</v>
      </c>
      <c r="AL397" s="865" t="str">
        <f>IF($M397="NZ","NZ","AU")</f>
        <v>AU</v>
      </c>
      <c r="AM397" s="865">
        <f>COUNTIF($AJ$2:$AJ397,$AJ397)</f>
        <v>15</v>
      </c>
      <c r="AN397" s="865" t="str">
        <f>$AJ397&amp;"|"&amp;$AM397</f>
        <v>Infrastructure|15</v>
      </c>
      <c r="AP397" s="865" t="str">
        <f>IF(TRIM($B397)="","",IF($AQ397=1,"Leadership",IFERROR(INDEX(Lists!$X:$X,MATCH(TRIM($K397),Lists!$W:$W,0)),IF(OR(TRIM($K397)="",LOWER(TRIM($K397))="na"),IF(TRIM($G397)="","Unassigned",TRIM($G397)),TRIM($K397)))))</f>
        <v>Distribution, Sales &amp; Services</v>
      </c>
      <c r="AQ397" s="865" t="b">
        <f>IF(TRIM($B397)="","",--OR(TRIM($K397)="Leadership",TRIM($J397)="Leadership"))</f>
        <v>0</v>
      </c>
      <c r="AR397" s="1136" t="str">
        <f>IF(TRIM($B397)="","",IF(IFERROR(INDEX(Lists!$AQ$2:$AQ$11,MATCH(ROW(),Lists!$AN$2:$AN$11,0)),"")&lt;&gt;"",IFERROR(INDEX(Lists!$AQ$2:$AQ$11,MATCH(ROW(),Lists!$AN$2:$AN$11,0)),""),IF(ISNUMBER(SEARCH("head of ",$C397)),"Head of Technology",IF(ISNUMBER(SEARCH("TDD BP",$C397)),"Business Partner",IF(OR(ISNUMBER(SEARCH("domain architect",$C397)),ISNUMBER(SEARCH("enterprise architect",$C397))),"Domain Architect",IF(ISNUMBER(SEARCH("delivery man",$C397)),"Delivery Manager",IF(OR(ISNUMBER(SEARCH("technology manager",$C397)),ISNUMBER(SEARCH("technology manger",$C397)),ISNUMBER(SEARCH("tech manager",$C397))),"Technology Manager","Squad")))))))</f>
        <v>Squad</v>
      </c>
      <c r="AS397" s="1136" t="str">
        <f>IF(TRIM($B397)="","",IFERROR(INDEX(Lists!$AA:$AA,MATCH($AP397,Lists!$Z:$Z,0)),$AP397))</f>
        <v>Distribution, Sales &amp; Services</v>
      </c>
      <c r="AT397" s="1136" t="str">
        <f>IF(TRIM($B397)="","",IF(IFERROR(INDEX(Lists!$AP$2:$AP$11,MATCH(ROW(),Lists!$AN$2:$AN$11,0)),"")&lt;&gt;"",IFERROR(INDEX(Lists!$AP$2:$AP$11,MATCH(ROW(),Lists!$AN$2:$AN$11,0)),""),IF(OR(LEFT($AJ397,3)="COE",$AJ397="EGI"),$AP397,IF($AR397&lt;&gt;"Squad",$AR397,$AP397))))</f>
        <v>Distribution, Sales &amp; Services</v>
      </c>
    </row>
    <row r="398" ht="18" customHeight="1" s="866">
      <c r="A398" s="1155" t="n">
        <v>115935</v>
      </c>
      <c r="B398" s="1156" t="inlineStr">
        <is>
          <t>Rick Abainza</t>
        </is>
      </c>
      <c r="C398" s="1156" t="inlineStr">
        <is>
          <t>Lead Business Analyst</t>
        </is>
      </c>
      <c r="D398" s="1158" t="inlineStr">
        <is>
          <t>Vacant</t>
        </is>
      </c>
      <c r="E398" s="1156" t="inlineStr">
        <is>
          <t>Delivery Manager</t>
        </is>
      </c>
      <c r="F398" s="1157" t="inlineStr">
        <is>
          <t>TDD CFE&amp;I</t>
        </is>
      </c>
      <c r="G398" s="1158" t="inlineStr">
        <is>
          <t>Commercial Fuels</t>
        </is>
      </c>
      <c r="H398" s="1158" t="inlineStr">
        <is>
          <t>Delivery, Commercial Fuels</t>
        </is>
      </c>
      <c r="I398" s="1158" t="inlineStr">
        <is>
          <t>Commercial Fuels</t>
        </is>
      </c>
      <c r="J398" s="1158" t="inlineStr">
        <is>
          <t>CTRM</t>
        </is>
      </c>
      <c r="K398" s="1158" t="inlineStr">
        <is>
          <t>CTRM</t>
        </is>
      </c>
      <c r="L398" s="1156" t="n"/>
      <c r="M398" s="1183" t="inlineStr">
        <is>
          <t>Singapore</t>
        </is>
      </c>
      <c r="N398" s="1160" t="inlineStr">
        <is>
          <t>CIC</t>
        </is>
      </c>
      <c r="O398" s="1160" t="n">
        <v>1</v>
      </c>
      <c r="P398" s="1160" t="n"/>
      <c r="Q398" s="1160" t="inlineStr">
        <is>
          <t>Permanent - Full Time</t>
        </is>
      </c>
      <c r="R398" s="1162" t="n"/>
      <c r="S398" s="1162" t="n"/>
      <c r="T398" s="1162" t="n">
        <v>205000</v>
      </c>
      <c r="U398" s="1174" t="n">
        <v>248050</v>
      </c>
      <c r="V398" s="1166" t="n">
        <v>0.25</v>
      </c>
      <c r="W398" s="1162" t="n"/>
      <c r="X398" s="1166" t="n">
        <v>0.17</v>
      </c>
      <c r="Y398" s="1907" t="n">
        <v>3310</v>
      </c>
      <c r="Z398" s="1207" t="n">
        <v>0.045</v>
      </c>
      <c r="AA398" s="1168">
        <f>IF(TRIM($B398)="","",IF(N($AU398)&gt;0,$AU398,IF(N($S398)&gt;0,$S398*Lists!$AG$15*(1+N($Z398)),N($U398)*(1+N($V398)+N($W398)+N($X398)+N($Z398))+N($Y398))))</f>
        <v>366703.25</v>
      </c>
      <c r="AB398" s="1238" t="n"/>
      <c r="AC398" s="1238" t="n"/>
      <c r="AD398" s="1238" t="n"/>
      <c r="AE398" s="1238" t="n"/>
      <c r="AF398" s="1238" t="n"/>
      <c r="AG398" s="1238" t="n"/>
      <c r="AH398" s="1238" t="n"/>
      <c r="AJ398" s="865" t="str">
        <f>IF(TRIM($B398)="","",IF(IFERROR(INDEX(Lists!$AO$2:$AO$11,MATCH(ROW(),Lists!$AN$2:$AN$11,0)),"")&lt;&gt;"",IFERROR(INDEX(Lists!$AO$2:$AO$11,MATCH(ROW(),Lists!$AN$2:$AN$11,0)),""),IFERROR(INDEX(Lists!$U:$U,MATCH(TRIM($I398),Lists!$T:$T,0)),TRIM($I398))))</f>
        <v>Commercial Fuels</v>
      </c>
      <c r="AK398" s="865" t="str">
        <f>IF(ISNUMBER(SEARCH("vacant",$B398)),"Vacant","Filled")</f>
        <v>Filled</v>
      </c>
      <c r="AL398" s="865" t="str">
        <f>IF($M398="NZ","NZ","AU")</f>
        <v>AU</v>
      </c>
      <c r="AM398" s="865">
        <f>COUNTIF($AJ$2:$AJ398,$AJ398)</f>
        <v>27</v>
      </c>
      <c r="AN398" s="865" t="str">
        <f>$AJ398&amp;"|"&amp;$AM398</f>
        <v>Commercial Fuels|27</v>
      </c>
      <c r="AP398" s="865" t="str">
        <f>IF(TRIM($B398)="","",IF($AQ398=1,"Leadership",IFERROR(INDEX(Lists!$X:$X,MATCH(TRIM($K398),Lists!$W:$W,0)),IF(OR(TRIM($K398)="",LOWER(TRIM($K398))="na"),IF(TRIM($G398)="","Unassigned",TRIM($G398)),TRIM($K398)))))</f>
        <v>CTRM</v>
      </c>
      <c r="AQ398" s="865" t="b">
        <f>IF(TRIM($B398)="","",--OR(TRIM($K398)="Leadership",TRIM($J398)="Leadership"))</f>
        <v>0</v>
      </c>
      <c r="AR398" s="1136" t="str">
        <f>IF(TRIM($B398)="","",IF(IFERROR(INDEX(Lists!$AQ$2:$AQ$11,MATCH(ROW(),Lists!$AN$2:$AN$11,0)),"")&lt;&gt;"",IFERROR(INDEX(Lists!$AQ$2:$AQ$11,MATCH(ROW(),Lists!$AN$2:$AN$11,0)),""),IF(ISNUMBER(SEARCH("head of ",$C398)),"Head of Technology",IF(ISNUMBER(SEARCH("TDD BP",$C398)),"Business Partner",IF(OR(ISNUMBER(SEARCH("domain architect",$C398)),ISNUMBER(SEARCH("enterprise architect",$C398))),"Domain Architect",IF(ISNUMBER(SEARCH("delivery man",$C398)),"Delivery Manager",IF(OR(ISNUMBER(SEARCH("technology manager",$C398)),ISNUMBER(SEARCH("technology manger",$C398)),ISNUMBER(SEARCH("tech manager",$C398))),"Technology Manager","Squad")))))))</f>
        <v>Squad</v>
      </c>
      <c r="AS398" s="1136" t="str">
        <f>IF(TRIM($B398)="","",IFERROR(INDEX(Lists!$AA:$AA,MATCH($AP398,Lists!$Z:$Z,0)),$AP398))</f>
        <v>CTRM</v>
      </c>
      <c r="AT398" s="1136" t="str">
        <f>IF(TRIM($B398)="","",IF(IFERROR(INDEX(Lists!$AP$2:$AP$11,MATCH(ROW(),Lists!$AN$2:$AN$11,0)),"")&lt;&gt;"",IFERROR(INDEX(Lists!$AP$2:$AP$11,MATCH(ROW(),Lists!$AN$2:$AN$11,0)),""),IF(OR(LEFT($AJ398,3)="COE",$AJ398="EGI"),$AP398,IF($AR398&lt;&gt;"Squad",$AR398,$AP398))))</f>
        <v>CTRM</v>
      </c>
    </row>
    <row r="399" ht="18" customHeight="1" s="866">
      <c r="A399" s="1155" t="n">
        <v>99999101636</v>
      </c>
      <c r="B399" s="1156" t="inlineStr">
        <is>
          <t>Rod Santillan</t>
        </is>
      </c>
      <c r="C399" s="1156" t="inlineStr">
        <is>
          <t>Snr Engineer Software</t>
        </is>
      </c>
      <c r="D399" s="1156" t="inlineStr">
        <is>
          <t>Elle Spencer</t>
        </is>
      </c>
      <c r="E399" s="1156" t="inlineStr">
        <is>
          <t>Technology Manager, Energy Solutions</t>
        </is>
      </c>
      <c r="F399" s="1157" t="inlineStr">
        <is>
          <t>TDD CFE&amp;I</t>
        </is>
      </c>
      <c r="G399" s="1158" t="inlineStr">
        <is>
          <t>B2B &amp; Energy Solutions</t>
        </is>
      </c>
      <c r="H399" s="1158" t="inlineStr">
        <is>
          <t>Technology B2B</t>
        </is>
      </c>
      <c r="I399" s="1158" t="inlineStr">
        <is>
          <t>B2B &amp; Energy Solutions</t>
        </is>
      </c>
      <c r="J399" s="1156" t="inlineStr">
        <is>
          <t>B2B</t>
        </is>
      </c>
      <c r="K399" s="1156" t="inlineStr">
        <is>
          <t>B2B</t>
        </is>
      </c>
      <c r="L399" s="1158" t="n"/>
      <c r="M399" s="1183" t="inlineStr">
        <is>
          <t>NZ</t>
        </is>
      </c>
      <c r="N399" s="1160" t="inlineStr">
        <is>
          <t>CIA</t>
        </is>
      </c>
      <c r="O399" s="1161" t="n">
        <v>1</v>
      </c>
      <c r="P399" s="1160" t="n"/>
      <c r="Q399" s="1161" t="inlineStr">
        <is>
          <t>Permanent - Full Time</t>
        </is>
      </c>
      <c r="R399" s="1162" t="n"/>
      <c r="S399" s="1162" t="n"/>
      <c r="T399" s="1162" t="n">
        <v>142200</v>
      </c>
      <c r="U399" s="1174" t="n">
        <v>130824</v>
      </c>
      <c r="V399" s="1165" t="n">
        <v>0.15</v>
      </c>
      <c r="W399" s="1162" t="n"/>
      <c r="X399" s="1166" t="n">
        <v>0.05</v>
      </c>
      <c r="Y399" s="1907" t="n">
        <v>2910</v>
      </c>
      <c r="Z399" s="1166" t="n">
        <v>0.03</v>
      </c>
      <c r="AA399" s="1168">
        <f>IF(TRIM($B399)="","",IF(N($AU399)&gt;0,$AU399,IF(N($S399)&gt;0,$S399*Lists!$AG$15*(1+N($Z399)),N($U399)*(1+N($V399)+N($W399)+N($X399)+N($Z399))+N($Y399))))</f>
        <v>163823.52</v>
      </c>
      <c r="AB399" s="1238" t="n"/>
      <c r="AC399" s="1238" t="n"/>
      <c r="AD399" s="1238" t="n"/>
      <c r="AE399" s="1238" t="n"/>
      <c r="AF399" s="1238" t="n"/>
      <c r="AG399" s="1238" t="n"/>
      <c r="AH399" s="1238" t="n"/>
      <c r="AJ399" s="865" t="str">
        <f>IF(TRIM($B399)="","",IF(IFERROR(INDEX(Lists!$AO$2:$AO$11,MATCH(ROW(),Lists!$AN$2:$AN$11,0)),"")&lt;&gt;"",IFERROR(INDEX(Lists!$AO$2:$AO$11,MATCH(ROW(),Lists!$AN$2:$AN$11,0)),""),IFERROR(INDEX(Lists!$U:$U,MATCH(TRIM($I399),Lists!$T:$T,0)),TRIM($I399))))</f>
        <v>Energy Solutions &amp; B2B</v>
      </c>
      <c r="AK399" s="865" t="str">
        <f>IF(ISNUMBER(SEARCH("vacant",$B399)),"Vacant","Filled")</f>
        <v>Filled</v>
      </c>
      <c r="AL399" s="865" t="str">
        <f>IF($M399="NZ","NZ","AU")</f>
        <v>NZ</v>
      </c>
      <c r="AM399" s="865">
        <f>COUNTIF($AJ$2:$AJ399,$AJ399)</f>
        <v>24</v>
      </c>
      <c r="AN399" s="865" t="str">
        <f>$AJ399&amp;"|"&amp;$AM399</f>
        <v>Energy Solutions &amp; B2B|24</v>
      </c>
      <c r="AP399" s="865" t="str">
        <f>IF(TRIM($B399)="","",IF($AQ399=1,"Leadership",IFERROR(INDEX(Lists!$X:$X,MATCH(TRIM($K399),Lists!$W:$W,0)),IF(OR(TRIM($K399)="",LOWER(TRIM($K399))="na"),IF(TRIM($G399)="","Unassigned",TRIM($G399)),TRIM($K399)))))</f>
        <v>B2B</v>
      </c>
      <c r="AQ399" s="865" t="b">
        <f>IF(TRIM($B399)="","",--OR(TRIM($K399)="Leadership",TRIM($J399)="Leadership"))</f>
        <v>0</v>
      </c>
      <c r="AR399" s="1136" t="str">
        <f>IF(TRIM($B399)="","",IF(IFERROR(INDEX(Lists!$AQ$2:$AQ$11,MATCH(ROW(),Lists!$AN$2:$AN$11,0)),"")&lt;&gt;"",IFERROR(INDEX(Lists!$AQ$2:$AQ$11,MATCH(ROW(),Lists!$AN$2:$AN$11,0)),""),IF(ISNUMBER(SEARCH("head of ",$C399)),"Head of Technology",IF(ISNUMBER(SEARCH("TDD BP",$C399)),"Business Partner",IF(OR(ISNUMBER(SEARCH("domain architect",$C399)),ISNUMBER(SEARCH("enterprise architect",$C399))),"Domain Architect",IF(ISNUMBER(SEARCH("delivery man",$C399)),"Delivery Manager",IF(OR(ISNUMBER(SEARCH("technology manager",$C399)),ISNUMBER(SEARCH("technology manger",$C399)),ISNUMBER(SEARCH("tech manager",$C399))),"Technology Manager","Squad")))))))</f>
        <v>Squad</v>
      </c>
      <c r="AS399" s="1136" t="str">
        <f>IF(TRIM($B399)="","",IFERROR(INDEX(Lists!$AA:$AA,MATCH($AP399,Lists!$Z:$Z,0)),$AP399))</f>
        <v>B2B</v>
      </c>
      <c r="AT399" s="1136" t="str">
        <f>IF(TRIM($B399)="","",IF(IFERROR(INDEX(Lists!$AP$2:$AP$11,MATCH(ROW(),Lists!$AN$2:$AN$11,0)),"")&lt;&gt;"",IFERROR(INDEX(Lists!$AP$2:$AP$11,MATCH(ROW(),Lists!$AN$2:$AN$11,0)),""),IF(OR(LEFT($AJ399,3)="COE",$AJ399="EGI"),$AP399,IF($AR399&lt;&gt;"Squad",$AR399,$AP399))))</f>
        <v>B2B</v>
      </c>
    </row>
    <row r="400" ht="18" customHeight="1" s="866">
      <c r="A400" s="1155" t="n">
        <v>113202</v>
      </c>
      <c r="B400" s="1156" t="inlineStr">
        <is>
          <t>Rohan Patel</t>
        </is>
      </c>
      <c r="C400" s="1156" t="inlineStr">
        <is>
          <t>Senior Systems Analyst</t>
        </is>
      </c>
      <c r="D400" s="1156" t="inlineStr">
        <is>
          <t>Karla Orozco Loza</t>
        </is>
      </c>
      <c r="E400" s="1156" t="inlineStr">
        <is>
          <t>Technology Manager, Future Infrastructure</t>
        </is>
      </c>
      <c r="F400" s="1157" t="inlineStr">
        <is>
          <t>TDD CFE&amp;I</t>
        </is>
      </c>
      <c r="G400" s="1158" t="inlineStr">
        <is>
          <t>Fuel Infrastructure</t>
        </is>
      </c>
      <c r="H400" s="1158" t="inlineStr">
        <is>
          <t>Technology - Distribution</t>
        </is>
      </c>
      <c r="I400" s="1158" t="inlineStr">
        <is>
          <t>Infrastructure</t>
        </is>
      </c>
      <c r="J400" s="1158" t="inlineStr">
        <is>
          <t>Distribution</t>
        </is>
      </c>
      <c r="K400" s="1156" t="inlineStr">
        <is>
          <t>Distribution, Sales &amp; Services</t>
        </is>
      </c>
      <c r="L400" s="1158" t="n"/>
      <c r="M400" s="1183" t="inlineStr">
        <is>
          <t>Australia</t>
        </is>
      </c>
      <c r="N400" s="1160" t="inlineStr">
        <is>
          <t>CIB</t>
        </is>
      </c>
      <c r="O400" s="1160" t="n">
        <v>1</v>
      </c>
      <c r="P400" s="1160" t="n"/>
      <c r="Q400" s="1160" t="inlineStr">
        <is>
          <t>Permanent - Full Time</t>
        </is>
      </c>
      <c r="R400" s="1162" t="n"/>
      <c r="S400" s="1162" t="n"/>
      <c r="T400" s="1162" t="n">
        <v>156850</v>
      </c>
      <c r="U400" s="1174" t="n">
        <v>156850</v>
      </c>
      <c r="V400" s="1166" t="n">
        <v>0.12</v>
      </c>
      <c r="W400" s="1170" t="n">
        <v>0.055</v>
      </c>
      <c r="X400" s="1170" t="n">
        <v>0.12</v>
      </c>
      <c r="Y400" s="1171" t="n"/>
      <c r="Z400" s="1170" t="n">
        <v>0.04</v>
      </c>
      <c r="AA400" s="1168">
        <f>IF(TRIM($B400)="","",IF(N($AU400)&gt;0,$AU400,IF(N($S400)&gt;0,$S400*Lists!$AG$15*(1+N($Z400)),N($U400)*(1+N($V400)+N($W400)+N($X400)+N($Z400))+N($Y400))))</f>
        <v>209394.75</v>
      </c>
      <c r="AB400" s="1238" t="n"/>
      <c r="AC400" s="1238" t="n"/>
      <c r="AD400" s="1238" t="n"/>
      <c r="AE400" s="1238" t="n"/>
      <c r="AF400" s="1238" t="n"/>
      <c r="AG400" s="1238" t="n"/>
      <c r="AH400" s="1238" t="n"/>
      <c r="AJ400" s="865" t="str">
        <f>IF(TRIM($B400)="","",IF(IFERROR(INDEX(Lists!$AO$2:$AO$11,MATCH(ROW(),Lists!$AN$2:$AN$11,0)),"")&lt;&gt;"",IFERROR(INDEX(Lists!$AO$2:$AO$11,MATCH(ROW(),Lists!$AN$2:$AN$11,0)),""),IFERROR(INDEX(Lists!$U:$U,MATCH(TRIM($I400),Lists!$T:$T,0)),TRIM($I400))))</f>
        <v>Infrastructure</v>
      </c>
      <c r="AK400" s="865" t="str">
        <f>IF(ISNUMBER(SEARCH("vacant",$B400)),"Vacant","Filled")</f>
        <v>Filled</v>
      </c>
      <c r="AL400" s="865" t="str">
        <f>IF($M400="NZ","NZ","AU")</f>
        <v>AU</v>
      </c>
      <c r="AM400" s="865">
        <f>COUNTIF($AJ$2:$AJ400,$AJ400)</f>
        <v>16</v>
      </c>
      <c r="AN400" s="865" t="str">
        <f>$AJ400&amp;"|"&amp;$AM400</f>
        <v>Infrastructure|16</v>
      </c>
      <c r="AP400" s="865" t="str">
        <f>IF(TRIM($B400)="","",IF($AQ400=1,"Leadership",IFERROR(INDEX(Lists!$X:$X,MATCH(TRIM($K400),Lists!$W:$W,0)),IF(OR(TRIM($K400)="",LOWER(TRIM($K400))="na"),IF(TRIM($G400)="","Unassigned",TRIM($G400)),TRIM($K400)))))</f>
        <v>Distribution, Sales &amp; Services</v>
      </c>
      <c r="AQ400" s="865" t="b">
        <f>IF(TRIM($B400)="","",--OR(TRIM($K400)="Leadership",TRIM($J400)="Leadership"))</f>
        <v>0</v>
      </c>
      <c r="AR400" s="1136" t="str">
        <f>IF(TRIM($B400)="","",IF(IFERROR(INDEX(Lists!$AQ$2:$AQ$11,MATCH(ROW(),Lists!$AN$2:$AN$11,0)),"")&lt;&gt;"",IFERROR(INDEX(Lists!$AQ$2:$AQ$11,MATCH(ROW(),Lists!$AN$2:$AN$11,0)),""),IF(ISNUMBER(SEARCH("head of ",$C400)),"Head of Technology",IF(ISNUMBER(SEARCH("TDD BP",$C400)),"Business Partner",IF(OR(ISNUMBER(SEARCH("domain architect",$C400)),ISNUMBER(SEARCH("enterprise architect",$C400))),"Domain Architect",IF(ISNUMBER(SEARCH("delivery man",$C400)),"Delivery Manager",IF(OR(ISNUMBER(SEARCH("technology manager",$C400)),ISNUMBER(SEARCH("technology manger",$C400)),ISNUMBER(SEARCH("tech manager",$C400))),"Technology Manager","Squad")))))))</f>
        <v>Squad</v>
      </c>
      <c r="AS400" s="1136" t="str">
        <f>IF(TRIM($B400)="","",IFERROR(INDEX(Lists!$AA:$AA,MATCH($AP400,Lists!$Z:$Z,0)),$AP400))</f>
        <v>Distribution, Sales &amp; Services</v>
      </c>
      <c r="AT400" s="1136" t="str">
        <f>IF(TRIM($B400)="","",IF(IFERROR(INDEX(Lists!$AP$2:$AP$11,MATCH(ROW(),Lists!$AN$2:$AN$11,0)),"")&lt;&gt;"",IFERROR(INDEX(Lists!$AP$2:$AP$11,MATCH(ROW(),Lists!$AN$2:$AN$11,0)),""),IF(OR(LEFT($AJ400,3)="COE",$AJ400="EGI"),$AP400,IF($AR400&lt;&gt;"Squad",$AR400,$AP400))))</f>
        <v>Distribution, Sales &amp; Services</v>
      </c>
    </row>
    <row r="401" ht="18" customHeight="1" s="866">
      <c r="A401" s="1155" t="n">
        <v>109362</v>
      </c>
      <c r="B401" s="1156" t="inlineStr">
        <is>
          <t>Scott Hasson</t>
        </is>
      </c>
      <c r="C401" s="1156" t="inlineStr">
        <is>
          <t>Technology Support Engineer - Infrastructure</t>
        </is>
      </c>
      <c r="D401" s="1156" t="inlineStr">
        <is>
          <t>Glenn Earl</t>
        </is>
      </c>
      <c r="E401" s="1156" t="inlineStr">
        <is>
          <t>Lead Support, Infrastructure</t>
        </is>
      </c>
      <c r="F401" s="1157" t="inlineStr">
        <is>
          <t>TDD CFE&amp;I</t>
        </is>
      </c>
      <c r="G401" s="1158" t="inlineStr">
        <is>
          <t>Fuel Infrastructure</t>
        </is>
      </c>
      <c r="H401" s="1158" t="inlineStr">
        <is>
          <t>Refinery Applications</t>
        </is>
      </c>
      <c r="I401" s="1158" t="inlineStr">
        <is>
          <t>Infrastructure</t>
        </is>
      </c>
      <c r="J401" s="1158" t="inlineStr">
        <is>
          <t>Fuel Infrastructure</t>
        </is>
      </c>
      <c r="K401" s="1156" t="inlineStr">
        <is>
          <t>Technology Suport</t>
        </is>
      </c>
      <c r="L401" s="1158" t="n"/>
      <c r="M401" s="1183" t="inlineStr">
        <is>
          <t>Australia</t>
        </is>
      </c>
      <c r="N401" s="1160" t="inlineStr">
        <is>
          <t>CIA</t>
        </is>
      </c>
      <c r="O401" s="1160" t="n">
        <v>1</v>
      </c>
      <c r="P401" s="1160" t="n"/>
      <c r="Q401" s="1160" t="inlineStr">
        <is>
          <t>Permanent - Full Time</t>
        </is>
      </c>
      <c r="R401" s="1162" t="n"/>
      <c r="S401" s="1162" t="n"/>
      <c r="T401" s="1162" t="n">
        <v>111580</v>
      </c>
      <c r="U401" s="1174" t="n">
        <v>111580</v>
      </c>
      <c r="V401" s="1166" t="n">
        <v>0.1</v>
      </c>
      <c r="W401" s="1170" t="n">
        <v>0.055</v>
      </c>
      <c r="X401" s="1170" t="n">
        <v>0.12</v>
      </c>
      <c r="Y401" s="1171" t="n"/>
      <c r="Z401" s="1170" t="n">
        <v>0.04</v>
      </c>
      <c r="AA401" s="1168">
        <f>IF(TRIM($B401)="","",IF(N($AU401)&gt;0,$AU401,IF(N($S401)&gt;0,$S401*Lists!$AG$15*(1+N($Z401)),N($U401)*(1+N($V401)+N($W401)+N($X401)+N($Z401))+N($Y401))))</f>
        <v>146727.7</v>
      </c>
      <c r="AB401" s="1238" t="n"/>
      <c r="AC401" s="1238" t="n"/>
      <c r="AD401" s="1238" t="n"/>
      <c r="AE401" s="1238" t="n"/>
      <c r="AF401" s="1238" t="n"/>
      <c r="AG401" s="1238" t="n"/>
      <c r="AH401" s="1238" t="n"/>
      <c r="AJ401" s="865" t="str">
        <f>IF(TRIM($B401)="","",IF(IFERROR(INDEX(Lists!$AO$2:$AO$11,MATCH(ROW(),Lists!$AN$2:$AN$11,0)),"")&lt;&gt;"",IFERROR(INDEX(Lists!$AO$2:$AO$11,MATCH(ROW(),Lists!$AN$2:$AN$11,0)),""),IFERROR(INDEX(Lists!$U:$U,MATCH(TRIM($I401),Lists!$T:$T,0)),TRIM($I401))))</f>
        <v>Infrastructure</v>
      </c>
      <c r="AK401" s="865" t="str">
        <f>IF(ISNUMBER(SEARCH("vacant",$B401)),"Vacant","Filled")</f>
        <v>Filled</v>
      </c>
      <c r="AL401" s="865" t="str">
        <f>IF($M401="NZ","NZ","AU")</f>
        <v>AU</v>
      </c>
      <c r="AM401" s="865">
        <f>COUNTIF($AJ$2:$AJ401,$AJ401)</f>
        <v>17</v>
      </c>
      <c r="AN401" s="865" t="str">
        <f>$AJ401&amp;"|"&amp;$AM401</f>
        <v>Infrastructure|17</v>
      </c>
      <c r="AP401" s="865" t="str">
        <f>IF(TRIM($B401)="","",IF($AQ401=1,"Leadership",IFERROR(INDEX(Lists!$X:$X,MATCH(TRIM($K401),Lists!$W:$W,0)),IF(OR(TRIM($K401)="",LOWER(TRIM($K401))="na"),IF(TRIM($G401)="","Unassigned",TRIM($G401)),TRIM($K401)))))</f>
        <v>Technology Support</v>
      </c>
      <c r="AQ401" s="865" t="b">
        <f>IF(TRIM($B401)="","",--OR(TRIM($K401)="Leadership",TRIM($J401)="Leadership"))</f>
        <v>0</v>
      </c>
      <c r="AR401" s="1136" t="str">
        <f>IF(TRIM($B401)="","",IF(IFERROR(INDEX(Lists!$AQ$2:$AQ$11,MATCH(ROW(),Lists!$AN$2:$AN$11,0)),"")&lt;&gt;"",IFERROR(INDEX(Lists!$AQ$2:$AQ$11,MATCH(ROW(),Lists!$AN$2:$AN$11,0)),""),IF(ISNUMBER(SEARCH("head of ",$C401)),"Head of Technology",IF(ISNUMBER(SEARCH("TDD BP",$C401)),"Business Partner",IF(OR(ISNUMBER(SEARCH("domain architect",$C401)),ISNUMBER(SEARCH("enterprise architect",$C401))),"Domain Architect",IF(ISNUMBER(SEARCH("delivery man",$C401)),"Delivery Manager",IF(OR(ISNUMBER(SEARCH("technology manager",$C401)),ISNUMBER(SEARCH("technology manger",$C401)),ISNUMBER(SEARCH("tech manager",$C401))),"Technology Manager","Squad")))))))</f>
        <v>Squad</v>
      </c>
      <c r="AS401" s="1136" t="str">
        <f>IF(TRIM($B401)="","",IFERROR(INDEX(Lists!$AA:$AA,MATCH($AP401,Lists!$Z:$Z,0)),$AP401))</f>
        <v>Technology Support</v>
      </c>
      <c r="AT401" s="1136" t="str">
        <f>IF(TRIM($B401)="","",IF(IFERROR(INDEX(Lists!$AP$2:$AP$11,MATCH(ROW(),Lists!$AN$2:$AN$11,0)),"")&lt;&gt;"",IFERROR(INDEX(Lists!$AP$2:$AP$11,MATCH(ROW(),Lists!$AN$2:$AN$11,0)),""),IF(OR(LEFT($AJ401,3)="COE",$AJ401="EGI"),$AP401,IF($AR401&lt;&gt;"Squad",$AR401,$AP401))))</f>
        <v>Technology Support</v>
      </c>
    </row>
    <row r="402" ht="18" customHeight="1" s="866">
      <c r="A402" s="1155" t="n">
        <v>102187</v>
      </c>
      <c r="B402" s="1156" t="inlineStr">
        <is>
          <t>Sijin Zhu</t>
        </is>
      </c>
      <c r="C402" s="1156" t="inlineStr">
        <is>
          <t>Business Analyst</t>
        </is>
      </c>
      <c r="D402" s="1158" t="inlineStr">
        <is>
          <t>Vacant</t>
        </is>
      </c>
      <c r="E402" s="1156" t="inlineStr">
        <is>
          <t>Delivery Manager</t>
        </is>
      </c>
      <c r="F402" s="1157" t="inlineStr">
        <is>
          <t>TDD CFE&amp;I</t>
        </is>
      </c>
      <c r="G402" s="1158" t="inlineStr">
        <is>
          <t>Commercial Fuels</t>
        </is>
      </c>
      <c r="H402" s="1158" t="inlineStr">
        <is>
          <t>Delivery, Commercial Fuels</t>
        </is>
      </c>
      <c r="I402" s="1158" t="inlineStr">
        <is>
          <t>Commercial Fuels</t>
        </is>
      </c>
      <c r="J402" s="1158" t="inlineStr">
        <is>
          <t>CTRM</t>
        </is>
      </c>
      <c r="K402" s="1158" t="inlineStr">
        <is>
          <t>CTRM</t>
        </is>
      </c>
      <c r="L402" s="1156" t="n"/>
      <c r="M402" s="1183" t="inlineStr">
        <is>
          <t>Singapore</t>
        </is>
      </c>
      <c r="N402" s="1160" t="inlineStr">
        <is>
          <t>CIB</t>
        </is>
      </c>
      <c r="O402" s="1160" t="n">
        <v>1</v>
      </c>
      <c r="P402" s="1160" t="n"/>
      <c r="Q402" s="1160" t="inlineStr">
        <is>
          <t>Permanent - Full Time</t>
        </is>
      </c>
      <c r="R402" s="1162" t="n"/>
      <c r="S402" s="1162" t="n"/>
      <c r="T402" s="1162" t="n">
        <v>155640</v>
      </c>
      <c r="U402" s="1174" t="n">
        <v>188324.4</v>
      </c>
      <c r="V402" s="1166" t="n">
        <v>0.25</v>
      </c>
      <c r="W402" s="1162" t="n"/>
      <c r="X402" s="1166" t="n">
        <v>0.17</v>
      </c>
      <c r="Y402" s="1907" t="n">
        <v>3310</v>
      </c>
      <c r="Z402" s="1207" t="n">
        <v>0.045</v>
      </c>
      <c r="AA402" s="1168">
        <f>IF(TRIM($B402)="","",IF(N($AU402)&gt;0,$AU402,IF(N($S402)&gt;0,$S402*Lists!$AG$15*(1+N($Z402)),N($U402)*(1+N($V402)+N($W402)+N($X402)+N($Z402))+N($Y402))))</f>
        <v>279205.246</v>
      </c>
      <c r="AB402" s="1238" t="n"/>
      <c r="AC402" s="1238" t="n"/>
      <c r="AD402" s="1238" t="n"/>
      <c r="AE402" s="1238" t="n"/>
      <c r="AF402" s="1238" t="n"/>
      <c r="AG402" s="1238" t="n"/>
      <c r="AH402" s="1238" t="n"/>
      <c r="AJ402" s="865" t="str">
        <f>IF(TRIM($B402)="","",IF(IFERROR(INDEX(Lists!$AO$2:$AO$11,MATCH(ROW(),Lists!$AN$2:$AN$11,0)),"")&lt;&gt;"",IFERROR(INDEX(Lists!$AO$2:$AO$11,MATCH(ROW(),Lists!$AN$2:$AN$11,0)),""),IFERROR(INDEX(Lists!$U:$U,MATCH(TRIM($I402),Lists!$T:$T,0)),TRIM($I402))))</f>
        <v>Commercial Fuels</v>
      </c>
      <c r="AK402" s="865" t="str">
        <f>IF(ISNUMBER(SEARCH("vacant",$B402)),"Vacant","Filled")</f>
        <v>Filled</v>
      </c>
      <c r="AL402" s="865" t="str">
        <f>IF($M402="NZ","NZ","AU")</f>
        <v>AU</v>
      </c>
      <c r="AM402" s="865">
        <f>COUNTIF($AJ$2:$AJ402,$AJ402)</f>
        <v>28</v>
      </c>
      <c r="AN402" s="865" t="str">
        <f>$AJ402&amp;"|"&amp;$AM402</f>
        <v>Commercial Fuels|28</v>
      </c>
      <c r="AP402" s="865" t="str">
        <f>IF(TRIM($B402)="","",IF($AQ402=1,"Leadership",IFERROR(INDEX(Lists!$X:$X,MATCH(TRIM($K402),Lists!$W:$W,0)),IF(OR(TRIM($K402)="",LOWER(TRIM($K402))="na"),IF(TRIM($G402)="","Unassigned",TRIM($G402)),TRIM($K402)))))</f>
        <v>CTRM</v>
      </c>
      <c r="AQ402" s="865" t="b">
        <f>IF(TRIM($B402)="","",--OR(TRIM($K402)="Leadership",TRIM($J402)="Leadership"))</f>
        <v>0</v>
      </c>
      <c r="AR402" s="1136" t="str">
        <f>IF(TRIM($B402)="","",IF(IFERROR(INDEX(Lists!$AQ$2:$AQ$11,MATCH(ROW(),Lists!$AN$2:$AN$11,0)),"")&lt;&gt;"",IFERROR(INDEX(Lists!$AQ$2:$AQ$11,MATCH(ROW(),Lists!$AN$2:$AN$11,0)),""),IF(ISNUMBER(SEARCH("head of ",$C402)),"Head of Technology",IF(ISNUMBER(SEARCH("TDD BP",$C402)),"Business Partner",IF(OR(ISNUMBER(SEARCH("domain architect",$C402)),ISNUMBER(SEARCH("enterprise architect",$C402))),"Domain Architect",IF(ISNUMBER(SEARCH("delivery man",$C402)),"Delivery Manager",IF(OR(ISNUMBER(SEARCH("technology manager",$C402)),ISNUMBER(SEARCH("technology manger",$C402)),ISNUMBER(SEARCH("tech manager",$C402))),"Technology Manager","Squad")))))))</f>
        <v>Squad</v>
      </c>
      <c r="AS402" s="1136" t="str">
        <f>IF(TRIM($B402)="","",IFERROR(INDEX(Lists!$AA:$AA,MATCH($AP402,Lists!$Z:$Z,0)),$AP402))</f>
        <v>CTRM</v>
      </c>
      <c r="AT402" s="1136" t="str">
        <f>IF(TRIM($B402)="","",IF(IFERROR(INDEX(Lists!$AP$2:$AP$11,MATCH(ROW(),Lists!$AN$2:$AN$11,0)),"")&lt;&gt;"",IFERROR(INDEX(Lists!$AP$2:$AP$11,MATCH(ROW(),Lists!$AN$2:$AN$11,0)),""),IF(OR(LEFT($AJ402,3)="COE",$AJ402="EGI"),$AP402,IF($AR402&lt;&gt;"Squad",$AR402,$AP402))))</f>
        <v>CTRM</v>
      </c>
    </row>
    <row r="403" ht="18" customHeight="1" s="866">
      <c r="A403" s="1155" t="inlineStr">
        <is>
          <t>C</t>
        </is>
      </c>
      <c r="B403" s="1156" t="inlineStr">
        <is>
          <t>Simrat Singh</t>
        </is>
      </c>
      <c r="C403" s="1156" t="inlineStr">
        <is>
          <t>Reporting Analyst</t>
        </is>
      </c>
      <c r="D403" s="1156" t="inlineStr">
        <is>
          <t>Jaya Ganasan</t>
        </is>
      </c>
      <c r="E403" s="1156" t="inlineStr">
        <is>
          <t>Technology Manager, TDD Refinery</t>
        </is>
      </c>
      <c r="F403" s="1157" t="inlineStr">
        <is>
          <t>TDD CFE&amp;I</t>
        </is>
      </c>
      <c r="G403" s="1158" t="inlineStr">
        <is>
          <t>Fuel Infrastructure</t>
        </is>
      </c>
      <c r="H403" s="1158" t="inlineStr">
        <is>
          <t>Refinery Applications</t>
        </is>
      </c>
      <c r="I403" s="1158" t="inlineStr">
        <is>
          <t>Infrastructure</t>
        </is>
      </c>
      <c r="J403" s="1156" t="inlineStr">
        <is>
          <t xml:space="preserve">Data &amp; Insights </t>
        </is>
      </c>
      <c r="K403" s="1156" t="inlineStr">
        <is>
          <t xml:space="preserve">Data &amp; Insights </t>
        </is>
      </c>
      <c r="L403" s="1158" t="n"/>
      <c r="M403" s="1183" t="inlineStr">
        <is>
          <t>Australia</t>
        </is>
      </c>
      <c r="N403" s="1162" t="inlineStr">
        <is>
          <t>NA</t>
        </is>
      </c>
      <c r="O403" s="1160" t="n">
        <v>1</v>
      </c>
      <c r="P403" s="1162" t="n"/>
      <c r="Q403" s="1162" t="inlineStr">
        <is>
          <t>cxc</t>
        </is>
      </c>
      <c r="R403" s="1172" t="inlineStr">
        <is>
          <t>Daily</t>
        </is>
      </c>
      <c r="S403" s="1162" t="n">
        <v>890</v>
      </c>
      <c r="T403" s="1162" t="n">
        <v>0</v>
      </c>
      <c r="U403" s="1162" t="n"/>
      <c r="V403" s="1158" t="n"/>
      <c r="W403" s="1158" t="n"/>
      <c r="X403" s="1158" t="n"/>
      <c r="Y403" s="1158" t="n"/>
      <c r="Z403" s="1158" t="n"/>
      <c r="AA403" s="1173">
        <f>IF(TRIM($B403)="","",IF(N($AU403)&gt;0,$AU403,IF(N($S403)&gt;0,$S403*Lists!$AG$15*(1+N($Z403)),N($U403)*(1+N($V403)+N($W403)+N($X403)+N($Z403))+N($Y403))))</f>
        <v>197580</v>
      </c>
      <c r="AB403" s="1238" t="n"/>
      <c r="AC403" s="1238" t="n"/>
      <c r="AD403" s="1238" t="n"/>
      <c r="AE403" s="1238" t="n"/>
      <c r="AF403" s="1238" t="n"/>
      <c r="AG403" s="1238" t="n"/>
      <c r="AH403" s="1238" t="n"/>
      <c r="AJ403" s="865" t="str">
        <f>IF(TRIM($B403)="","",IF(IFERROR(INDEX(Lists!$AO$2:$AO$11,MATCH(ROW(),Lists!$AN$2:$AN$11,0)),"")&lt;&gt;"",IFERROR(INDEX(Lists!$AO$2:$AO$11,MATCH(ROW(),Lists!$AN$2:$AN$11,0)),""),IFERROR(INDEX(Lists!$U:$U,MATCH(TRIM($I403),Lists!$T:$T,0)),TRIM($I403))))</f>
        <v>Infrastructure</v>
      </c>
      <c r="AK403" s="865" t="str">
        <f>IF(ISNUMBER(SEARCH("vacant",$B403)),"Vacant","Filled")</f>
        <v>Filled</v>
      </c>
      <c r="AL403" s="865" t="str">
        <f>IF($M403="NZ","NZ","AU")</f>
        <v>AU</v>
      </c>
      <c r="AM403" s="865">
        <f>COUNTIF($AJ$2:$AJ403,$AJ403)</f>
        <v>18</v>
      </c>
      <c r="AN403" s="865" t="str">
        <f>$AJ403&amp;"|"&amp;$AM403</f>
        <v>Infrastructure|18</v>
      </c>
      <c r="AP403" s="865" t="str">
        <f>IF(TRIM($B403)="","",IF($AQ403=1,"Leadership",IFERROR(INDEX(Lists!$X:$X,MATCH(TRIM($K403),Lists!$W:$W,0)),IF(OR(TRIM($K403)="",LOWER(TRIM($K403))="na"),IF(TRIM($G403)="","Unassigned",TRIM($G403)),TRIM($K403)))))</f>
        <v>Data &amp; Insights</v>
      </c>
      <c r="AQ403" s="865" t="b">
        <f>IF(TRIM($B403)="","",--OR(TRIM($K403)="Leadership",TRIM($J403)="Leadership"))</f>
        <v>0</v>
      </c>
      <c r="AR403" s="1136" t="str">
        <f>IF(TRIM($B403)="","",IF(IFERROR(INDEX(Lists!$AQ$2:$AQ$11,MATCH(ROW(),Lists!$AN$2:$AN$11,0)),"")&lt;&gt;"",IFERROR(INDEX(Lists!$AQ$2:$AQ$11,MATCH(ROW(),Lists!$AN$2:$AN$11,0)),""),IF(ISNUMBER(SEARCH("head of ",$C403)),"Head of Technology",IF(ISNUMBER(SEARCH("TDD BP",$C403)),"Business Partner",IF(OR(ISNUMBER(SEARCH("domain architect",$C403)),ISNUMBER(SEARCH("enterprise architect",$C403))),"Domain Architect",IF(ISNUMBER(SEARCH("delivery man",$C403)),"Delivery Manager",IF(OR(ISNUMBER(SEARCH("technology manager",$C403)),ISNUMBER(SEARCH("technology manger",$C403)),ISNUMBER(SEARCH("tech manager",$C403))),"Technology Manager","Squad")))))))</f>
        <v>Squad</v>
      </c>
      <c r="AS403" s="1136" t="str">
        <f>IF(TRIM($B403)="","",IFERROR(INDEX(Lists!$AA:$AA,MATCH($AP403,Lists!$Z:$Z,0)),$AP403))</f>
        <v>Data &amp; Insights</v>
      </c>
      <c r="AT403" s="1136" t="str">
        <f>IF(TRIM($B403)="","",IF(IFERROR(INDEX(Lists!$AP$2:$AP$11,MATCH(ROW(),Lists!$AN$2:$AN$11,0)),"")&lt;&gt;"",IFERROR(INDEX(Lists!$AP$2:$AP$11,MATCH(ROW(),Lists!$AN$2:$AN$11,0)),""),IF(OR(LEFT($AJ403,3)="COE",$AJ403="EGI"),$AP403,IF($AR403&lt;&gt;"Squad",$AR403,$AP403))))</f>
        <v>Data &amp; Insights</v>
      </c>
    </row>
    <row r="404" ht="18" customHeight="1" s="866">
      <c r="A404" s="1155" t="n">
        <v>116253</v>
      </c>
      <c r="B404" s="1156" t="inlineStr">
        <is>
          <t>Siva Chimmani</t>
        </is>
      </c>
      <c r="C404" s="1156" t="inlineStr">
        <is>
          <t>Senior Engineer</t>
        </is>
      </c>
      <c r="D404" s="1156" t="inlineStr">
        <is>
          <t>Karla Orozco Loza</t>
        </is>
      </c>
      <c r="E404" s="1156" t="inlineStr">
        <is>
          <t>Technology Manager, Future Infrastructure</t>
        </is>
      </c>
      <c r="F404" s="1157" t="inlineStr">
        <is>
          <t>TDD CFE&amp;I</t>
        </is>
      </c>
      <c r="G404" s="1158" t="inlineStr">
        <is>
          <t>Fuel Infrastructure</t>
        </is>
      </c>
      <c r="H404" s="1158" t="inlineStr">
        <is>
          <t>Technology - Distribution</t>
        </is>
      </c>
      <c r="I404" s="1158" t="inlineStr">
        <is>
          <t>Infrastructure</t>
        </is>
      </c>
      <c r="J404" s="1158" t="inlineStr">
        <is>
          <t>Distribution</t>
        </is>
      </c>
      <c r="K404" s="1156" t="inlineStr">
        <is>
          <t>Distribution, Sales &amp; Services</t>
        </is>
      </c>
      <c r="L404" s="1158" t="n"/>
      <c r="M404" s="1183" t="inlineStr">
        <is>
          <t>Australia</t>
        </is>
      </c>
      <c r="N404" s="1160" t="inlineStr">
        <is>
          <t>CIB</t>
        </is>
      </c>
      <c r="O404" s="1160" t="n">
        <v>1</v>
      </c>
      <c r="P404" s="1160" t="n"/>
      <c r="Q404" s="1160" t="inlineStr">
        <is>
          <t>Permanent - Full Time</t>
        </is>
      </c>
      <c r="R404" s="1162" t="n"/>
      <c r="S404" s="1162" t="n"/>
      <c r="T404" s="1162" t="n">
        <v>160000</v>
      </c>
      <c r="U404" s="1174" t="n">
        <v>160000</v>
      </c>
      <c r="V404" s="1166" t="n">
        <v>0.12</v>
      </c>
      <c r="W404" s="1170" t="n">
        <v>0.055</v>
      </c>
      <c r="X404" s="1170" t="n">
        <v>0.12</v>
      </c>
      <c r="Y404" s="1171" t="n"/>
      <c r="Z404" s="1170" t="n">
        <v>0.04</v>
      </c>
      <c r="AA404" s="1168">
        <f>IF(TRIM($B404)="","",IF(N($AU404)&gt;0,$AU404,IF(N($S404)&gt;0,$S404*Lists!$AG$15*(1+N($Z404)),N($U404)*(1+N($V404)+N($W404)+N($X404)+N($Z404))+N($Y404))))</f>
        <v>213600</v>
      </c>
      <c r="AB404" s="1238" t="n"/>
      <c r="AC404" s="1238" t="n"/>
      <c r="AD404" s="1238" t="n"/>
      <c r="AE404" s="1238" t="n"/>
      <c r="AF404" s="1238" t="n"/>
      <c r="AG404" s="1238" t="n"/>
      <c r="AH404" s="1238" t="n"/>
      <c r="AJ404" s="865" t="str">
        <f>IF(TRIM($B404)="","",IF(IFERROR(INDEX(Lists!$AO$2:$AO$11,MATCH(ROW(),Lists!$AN$2:$AN$11,0)),"")&lt;&gt;"",IFERROR(INDEX(Lists!$AO$2:$AO$11,MATCH(ROW(),Lists!$AN$2:$AN$11,0)),""),IFERROR(INDEX(Lists!$U:$U,MATCH(TRIM($I404),Lists!$T:$T,0)),TRIM($I404))))</f>
        <v>Infrastructure</v>
      </c>
      <c r="AK404" s="865" t="str">
        <f>IF(ISNUMBER(SEARCH("vacant",$B404)),"Vacant","Filled")</f>
        <v>Filled</v>
      </c>
      <c r="AL404" s="865" t="str">
        <f>IF($M404="NZ","NZ","AU")</f>
        <v>AU</v>
      </c>
      <c r="AM404" s="865">
        <f>COUNTIF($AJ$2:$AJ404,$AJ404)</f>
        <v>19</v>
      </c>
      <c r="AN404" s="865" t="str">
        <f>$AJ404&amp;"|"&amp;$AM404</f>
        <v>Infrastructure|19</v>
      </c>
      <c r="AP404" s="865" t="str">
        <f>IF(TRIM($B404)="","",IF($AQ404=1,"Leadership",IFERROR(INDEX(Lists!$X:$X,MATCH(TRIM($K404),Lists!$W:$W,0)),IF(OR(TRIM($K404)="",LOWER(TRIM($K404))="na"),IF(TRIM($G404)="","Unassigned",TRIM($G404)),TRIM($K404)))))</f>
        <v>Distribution, Sales &amp; Services</v>
      </c>
      <c r="AQ404" s="865" t="b">
        <f>IF(TRIM($B404)="","",--OR(TRIM($K404)="Leadership",TRIM($J404)="Leadership"))</f>
        <v>0</v>
      </c>
      <c r="AR404" s="1136" t="str">
        <f>IF(TRIM($B404)="","",IF(IFERROR(INDEX(Lists!$AQ$2:$AQ$11,MATCH(ROW(),Lists!$AN$2:$AN$11,0)),"")&lt;&gt;"",IFERROR(INDEX(Lists!$AQ$2:$AQ$11,MATCH(ROW(),Lists!$AN$2:$AN$11,0)),""),IF(ISNUMBER(SEARCH("head of ",$C404)),"Head of Technology",IF(ISNUMBER(SEARCH("TDD BP",$C404)),"Business Partner",IF(OR(ISNUMBER(SEARCH("domain architect",$C404)),ISNUMBER(SEARCH("enterprise architect",$C404))),"Domain Architect",IF(ISNUMBER(SEARCH("delivery man",$C404)),"Delivery Manager",IF(OR(ISNUMBER(SEARCH("technology manager",$C404)),ISNUMBER(SEARCH("technology manger",$C404)),ISNUMBER(SEARCH("tech manager",$C404))),"Technology Manager","Squad")))))))</f>
        <v>Squad</v>
      </c>
      <c r="AS404" s="1136" t="str">
        <f>IF(TRIM($B404)="","",IFERROR(INDEX(Lists!$AA:$AA,MATCH($AP404,Lists!$Z:$Z,0)),$AP404))</f>
        <v>Distribution, Sales &amp; Services</v>
      </c>
      <c r="AT404" s="1136" t="str">
        <f>IF(TRIM($B404)="","",IF(IFERROR(INDEX(Lists!$AP$2:$AP$11,MATCH(ROW(),Lists!$AN$2:$AN$11,0)),"")&lt;&gt;"",IFERROR(INDEX(Lists!$AP$2:$AP$11,MATCH(ROW(),Lists!$AN$2:$AN$11,0)),""),IF(OR(LEFT($AJ404,3)="COE",$AJ404="EGI"),$AP404,IF($AR404&lt;&gt;"Squad",$AR404,$AP404))))</f>
        <v>Distribution, Sales &amp; Services</v>
      </c>
    </row>
    <row r="405" ht="18" customHeight="1" s="866">
      <c r="A405" s="1155" t="n">
        <v>110185</v>
      </c>
      <c r="B405" s="1156" t="inlineStr">
        <is>
          <t>Soumya Choudhury</t>
        </is>
      </c>
      <c r="C405" s="1156" t="inlineStr">
        <is>
          <t xml:space="preserve">Data Application Specialist </t>
        </is>
      </c>
      <c r="D405" s="1158" t="inlineStr">
        <is>
          <t>Vacant</t>
        </is>
      </c>
      <c r="E405" s="1156" t="inlineStr">
        <is>
          <t>Technology Manager, Data</t>
        </is>
      </c>
      <c r="F405" s="1157" t="inlineStr">
        <is>
          <t>TDD CFE&amp;I</t>
        </is>
      </c>
      <c r="G405" s="1158" t="inlineStr">
        <is>
          <t>Commercial Fuels</t>
        </is>
      </c>
      <c r="H405" s="1158" t="inlineStr">
        <is>
          <t>Technology, T&amp;S Data</t>
        </is>
      </c>
      <c r="I405" s="1158" t="inlineStr">
        <is>
          <t>Commercial Fuels</t>
        </is>
      </c>
      <c r="J405" s="1158" t="inlineStr">
        <is>
          <t>Trading &amp; Shipping</t>
        </is>
      </c>
      <c r="K405" s="1158" t="inlineStr">
        <is>
          <t>Trading &amp; Shipping Data</t>
        </is>
      </c>
      <c r="L405" s="1158" t="n"/>
      <c r="M405" s="1183" t="inlineStr">
        <is>
          <t>Singapore</t>
        </is>
      </c>
      <c r="N405" s="1160" t="inlineStr">
        <is>
          <t>CIC</t>
        </is>
      </c>
      <c r="O405" s="1160" t="n">
        <v>1</v>
      </c>
      <c r="P405" s="1160" t="n"/>
      <c r="Q405" s="1160" t="inlineStr">
        <is>
          <t>Permanent - Full Time</t>
        </is>
      </c>
      <c r="R405" s="1162" t="n"/>
      <c r="S405" s="1162" t="n"/>
      <c r="T405" s="1162" t="n">
        <v>181860</v>
      </c>
      <c r="U405" s="1174" t="n">
        <v>220050.6</v>
      </c>
      <c r="V405" s="1166" t="n">
        <v>0.25</v>
      </c>
      <c r="W405" s="1162" t="n"/>
      <c r="X405" s="1166" t="n">
        <v>0.17</v>
      </c>
      <c r="Y405" s="1907" t="n">
        <v>3310</v>
      </c>
      <c r="Z405" s="1207" t="n">
        <v>0.045</v>
      </c>
      <c r="AA405" s="1168">
        <f>IF(TRIM($B405)="","",IF(N($AU405)&gt;0,$AU405,IF(N($S405)&gt;0,$S405*Lists!$AG$15*(1+N($Z405)),N($U405)*(1+N($V405)+N($W405)+N($X405)+N($Z405))+N($Y405))))</f>
        <v>325684.129</v>
      </c>
      <c r="AB405" s="1238" t="n"/>
      <c r="AC405" s="1238" t="n"/>
      <c r="AD405" s="1238" t="n"/>
      <c r="AE405" s="1238" t="n"/>
      <c r="AF405" s="1238" t="n"/>
      <c r="AG405" s="1238" t="n"/>
      <c r="AH405" s="1238" t="n"/>
      <c r="AJ405" s="865" t="str">
        <f>IF(TRIM($B405)="","",IF(IFERROR(INDEX(Lists!$AO$2:$AO$11,MATCH(ROW(),Lists!$AN$2:$AN$11,0)),"")&lt;&gt;"",IFERROR(INDEX(Lists!$AO$2:$AO$11,MATCH(ROW(),Lists!$AN$2:$AN$11,0)),""),IFERROR(INDEX(Lists!$U:$U,MATCH(TRIM($I405),Lists!$T:$T,0)),TRIM($I405))))</f>
        <v>Commercial Fuels</v>
      </c>
      <c r="AK405" s="865" t="str">
        <f>IF(ISNUMBER(SEARCH("vacant",$B405)),"Vacant","Filled")</f>
        <v>Filled</v>
      </c>
      <c r="AL405" s="865" t="str">
        <f>IF($M405="NZ","NZ","AU")</f>
        <v>AU</v>
      </c>
      <c r="AM405" s="865">
        <f>COUNTIF($AJ$2:$AJ405,$AJ405)</f>
        <v>29</v>
      </c>
      <c r="AN405" s="865" t="str">
        <f>$AJ405&amp;"|"&amp;$AM405</f>
        <v>Commercial Fuels|29</v>
      </c>
      <c r="AP405" s="865" t="str">
        <f>IF(TRIM($B405)="","",IF($AQ405=1,"Leadership",IFERROR(INDEX(Lists!$X:$X,MATCH(TRIM($K405),Lists!$W:$W,0)),IF(OR(TRIM($K405)="",LOWER(TRIM($K405))="na"),IF(TRIM($G405)="","Unassigned",TRIM($G405)),TRIM($K405)))))</f>
        <v>Trading &amp; Shipping Data</v>
      </c>
      <c r="AQ405" s="865" t="b">
        <f>IF(TRIM($B405)="","",--OR(TRIM($K405)="Leadership",TRIM($J405)="Leadership"))</f>
        <v>0</v>
      </c>
      <c r="AR405" s="1136" t="str">
        <f>IF(TRIM($B405)="","",IF(IFERROR(INDEX(Lists!$AQ$2:$AQ$11,MATCH(ROW(),Lists!$AN$2:$AN$11,0)),"")&lt;&gt;"",IFERROR(INDEX(Lists!$AQ$2:$AQ$11,MATCH(ROW(),Lists!$AN$2:$AN$11,0)),""),IF(ISNUMBER(SEARCH("head of ",$C405)),"Head of Technology",IF(ISNUMBER(SEARCH("TDD BP",$C405)),"Business Partner",IF(OR(ISNUMBER(SEARCH("domain architect",$C405)),ISNUMBER(SEARCH("enterprise architect",$C405))),"Domain Architect",IF(ISNUMBER(SEARCH("delivery man",$C405)),"Delivery Manager",IF(OR(ISNUMBER(SEARCH("technology manager",$C405)),ISNUMBER(SEARCH("technology manger",$C405)),ISNUMBER(SEARCH("tech manager",$C405))),"Technology Manager","Squad")))))))</f>
        <v>Squad</v>
      </c>
      <c r="AS405" s="1136" t="str">
        <f>IF(TRIM($B405)="","",IFERROR(INDEX(Lists!$AA:$AA,MATCH($AP405,Lists!$Z:$Z,0)),$AP405))</f>
        <v>Trading &amp; Shipping Data</v>
      </c>
      <c r="AT405" s="1136" t="str">
        <f>IF(TRIM($B405)="","",IF(IFERROR(INDEX(Lists!$AP$2:$AP$11,MATCH(ROW(),Lists!$AN$2:$AN$11,0)),"")&lt;&gt;"",IFERROR(INDEX(Lists!$AP$2:$AP$11,MATCH(ROW(),Lists!$AN$2:$AN$11,0)),""),IF(OR(LEFT($AJ405,3)="COE",$AJ405="EGI"),$AP405,IF($AR405&lt;&gt;"Squad",$AR405,$AP405))))</f>
        <v>Trading &amp; Shipping Data</v>
      </c>
    </row>
    <row r="406" ht="18" customHeight="1" s="866">
      <c r="A406" s="1155" t="n">
        <v>101059</v>
      </c>
      <c r="B406" s="1156" t="inlineStr">
        <is>
          <t>Sriramani Deyyala</t>
        </is>
      </c>
      <c r="C406" s="1156" t="inlineStr">
        <is>
          <t>Systems Analyst</t>
        </is>
      </c>
      <c r="D406" s="1156" t="inlineStr">
        <is>
          <t>Karla Orozco Loza</t>
        </is>
      </c>
      <c r="E406" s="1156" t="inlineStr">
        <is>
          <t>Technology Manager, Future Infrastructure</t>
        </is>
      </c>
      <c r="F406" s="1157" t="inlineStr">
        <is>
          <t>TDD CFE&amp;I</t>
        </is>
      </c>
      <c r="G406" s="1158" t="inlineStr">
        <is>
          <t>Fuel Infrastructure</t>
        </is>
      </c>
      <c r="H406" s="1158" t="inlineStr">
        <is>
          <t>Technology - Distribution</t>
        </is>
      </c>
      <c r="I406" s="1158" t="inlineStr">
        <is>
          <t>Infrastructure</t>
        </is>
      </c>
      <c r="J406" s="1158" t="inlineStr">
        <is>
          <t>Distribution</t>
        </is>
      </c>
      <c r="K406" s="1156" t="inlineStr">
        <is>
          <t>Distribution, Sales &amp; Services</t>
        </is>
      </c>
      <c r="L406" s="1158" t="n"/>
      <c r="M406" s="1183" t="inlineStr">
        <is>
          <t>Australia</t>
        </is>
      </c>
      <c r="N406" s="1160" t="inlineStr">
        <is>
          <t>CIB</t>
        </is>
      </c>
      <c r="O406" s="1160" t="n">
        <v>1</v>
      </c>
      <c r="P406" s="1160" t="n"/>
      <c r="Q406" s="1160" t="inlineStr">
        <is>
          <t>Permanent - Full Time</t>
        </is>
      </c>
      <c r="R406" s="1162" t="n"/>
      <c r="S406" s="1162" t="n"/>
      <c r="T406" s="1162" t="n">
        <v>166360</v>
      </c>
      <c r="U406" s="1174" t="n">
        <v>166360</v>
      </c>
      <c r="V406" s="1166" t="n">
        <v>0.12</v>
      </c>
      <c r="W406" s="1170" t="n">
        <v>0.055</v>
      </c>
      <c r="X406" s="1170" t="n">
        <v>0.12</v>
      </c>
      <c r="Y406" s="1171" t="n"/>
      <c r="Z406" s="1170" t="n">
        <v>0.04</v>
      </c>
      <c r="AA406" s="1168">
        <f>IF(TRIM($B406)="","",IF(N($AU406)&gt;0,$AU406,IF(N($S406)&gt;0,$S406*Lists!$AG$15*(1+N($Z406)),N($U406)*(1+N($V406)+N($W406)+N($X406)+N($Z406))+N($Y406))))</f>
        <v>222090.6</v>
      </c>
      <c r="AB406" s="1238" t="n"/>
      <c r="AC406" s="1238" t="n"/>
      <c r="AD406" s="1238" t="n"/>
      <c r="AE406" s="1238" t="n"/>
      <c r="AF406" s="1238" t="n"/>
      <c r="AG406" s="1238" t="n"/>
      <c r="AH406" s="1238" t="n"/>
      <c r="AJ406" s="865" t="str">
        <f>IF(TRIM($B406)="","",IF(IFERROR(INDEX(Lists!$AO$2:$AO$11,MATCH(ROW(),Lists!$AN$2:$AN$11,0)),"")&lt;&gt;"",IFERROR(INDEX(Lists!$AO$2:$AO$11,MATCH(ROW(),Lists!$AN$2:$AN$11,0)),""),IFERROR(INDEX(Lists!$U:$U,MATCH(TRIM($I406),Lists!$T:$T,0)),TRIM($I406))))</f>
        <v>Infrastructure</v>
      </c>
      <c r="AK406" s="865" t="str">
        <f>IF(ISNUMBER(SEARCH("vacant",$B406)),"Vacant","Filled")</f>
        <v>Filled</v>
      </c>
      <c r="AL406" s="865" t="str">
        <f>IF($M406="NZ","NZ","AU")</f>
        <v>AU</v>
      </c>
      <c r="AM406" s="865">
        <f>COUNTIF($AJ$2:$AJ406,$AJ406)</f>
        <v>20</v>
      </c>
      <c r="AN406" s="865" t="str">
        <f>$AJ406&amp;"|"&amp;$AM406</f>
        <v>Infrastructure|20</v>
      </c>
      <c r="AP406" s="865" t="str">
        <f>IF(TRIM($B406)="","",IF($AQ406=1,"Leadership",IFERROR(INDEX(Lists!$X:$X,MATCH(TRIM($K406),Lists!$W:$W,0)),IF(OR(TRIM($K406)="",LOWER(TRIM($K406))="na"),IF(TRIM($G406)="","Unassigned",TRIM($G406)),TRIM($K406)))))</f>
        <v>Distribution, Sales &amp; Services</v>
      </c>
      <c r="AQ406" s="865" t="b">
        <f>IF(TRIM($B406)="","",--OR(TRIM($K406)="Leadership",TRIM($J406)="Leadership"))</f>
        <v>0</v>
      </c>
      <c r="AR406" s="1136" t="str">
        <f>IF(TRIM($B406)="","",IF(IFERROR(INDEX(Lists!$AQ$2:$AQ$11,MATCH(ROW(),Lists!$AN$2:$AN$11,0)),"")&lt;&gt;"",IFERROR(INDEX(Lists!$AQ$2:$AQ$11,MATCH(ROW(),Lists!$AN$2:$AN$11,0)),""),IF(ISNUMBER(SEARCH("head of ",$C406)),"Head of Technology",IF(ISNUMBER(SEARCH("TDD BP",$C406)),"Business Partner",IF(OR(ISNUMBER(SEARCH("domain architect",$C406)),ISNUMBER(SEARCH("enterprise architect",$C406))),"Domain Architect",IF(ISNUMBER(SEARCH("delivery man",$C406)),"Delivery Manager",IF(OR(ISNUMBER(SEARCH("technology manager",$C406)),ISNUMBER(SEARCH("technology manger",$C406)),ISNUMBER(SEARCH("tech manager",$C406))),"Technology Manager","Squad")))))))</f>
        <v>Squad</v>
      </c>
      <c r="AS406" s="1136" t="str">
        <f>IF(TRIM($B406)="","",IFERROR(INDEX(Lists!$AA:$AA,MATCH($AP406,Lists!$Z:$Z,0)),$AP406))</f>
        <v>Distribution, Sales &amp; Services</v>
      </c>
      <c r="AT406" s="1136" t="str">
        <f>IF(TRIM($B406)="","",IF(IFERROR(INDEX(Lists!$AP$2:$AP$11,MATCH(ROW(),Lists!$AN$2:$AN$11,0)),"")&lt;&gt;"",IFERROR(INDEX(Lists!$AP$2:$AP$11,MATCH(ROW(),Lists!$AN$2:$AN$11,0)),""),IF(OR(LEFT($AJ406,3)="COE",$AJ406="EGI"),$AP406,IF($AR406&lt;&gt;"Squad",$AR406,$AP406))))</f>
        <v>Distribution, Sales &amp; Services</v>
      </c>
    </row>
    <row r="407" ht="18" customHeight="1" s="866">
      <c r="A407" s="1155" t="n">
        <v>10572</v>
      </c>
      <c r="B407" s="1156" t="inlineStr">
        <is>
          <t>Stevani Kho</t>
        </is>
      </c>
      <c r="C407" s="1156" t="inlineStr">
        <is>
          <t>Delivery Lead</t>
        </is>
      </c>
      <c r="D407" s="1156" t="inlineStr">
        <is>
          <t>Vacant</t>
        </is>
      </c>
      <c r="E407" s="1156" t="inlineStr">
        <is>
          <t>Technology Manger, Data</t>
        </is>
      </c>
      <c r="F407" s="1157" t="inlineStr">
        <is>
          <t>TDD CFE&amp;I</t>
        </is>
      </c>
      <c r="G407" s="1158" t="inlineStr">
        <is>
          <t>Fuel Infrastructure</t>
        </is>
      </c>
      <c r="H407" s="1158" t="inlineStr">
        <is>
          <t>Fuel Infrastructure, Data</t>
        </is>
      </c>
      <c r="I407" s="1158" t="inlineStr">
        <is>
          <t>Infrastructure</t>
        </is>
      </c>
      <c r="J407" s="1156" t="inlineStr">
        <is>
          <t xml:space="preserve">Data &amp; Insights </t>
        </is>
      </c>
      <c r="K407" s="1156" t="inlineStr">
        <is>
          <t xml:space="preserve">Data &amp; Insights </t>
        </is>
      </c>
      <c r="L407" s="1158" t="n"/>
      <c r="M407" s="1183" t="inlineStr">
        <is>
          <t>Australia</t>
        </is>
      </c>
      <c r="N407" s="1162" t="inlineStr">
        <is>
          <t>CSB</t>
        </is>
      </c>
      <c r="O407" s="1162" t="n">
        <v>1</v>
      </c>
      <c r="P407" s="1162" t="n"/>
      <c r="Q407" s="1162" t="inlineStr">
        <is>
          <t>Permanent - Full Time</t>
        </is>
      </c>
      <c r="R407" s="1162" t="n"/>
      <c r="S407" s="1162" t="n"/>
      <c r="T407" s="1162" t="n">
        <v>205050</v>
      </c>
      <c r="U407" s="1174" t="n">
        <v>205050</v>
      </c>
      <c r="V407" s="1166" t="n">
        <v>0.14</v>
      </c>
      <c r="W407" s="1170" t="n">
        <v>0.055</v>
      </c>
      <c r="X407" s="1170" t="n">
        <v>0.12</v>
      </c>
      <c r="Y407" s="1171" t="n"/>
      <c r="Z407" s="1170" t="n">
        <v>0.04</v>
      </c>
      <c r="AA407" s="1168">
        <f>IF(TRIM($B407)="","",IF(N($AU407)&gt;0,$AU407,IF(N($S407)&gt;0,$S407*Lists!$AG$15*(1+N($Z407)),N($U407)*(1+N($V407)+N($W407)+N($X407)+N($Z407))+N($Y407))))</f>
        <v>277842.75</v>
      </c>
      <c r="AB407" s="1238" t="n"/>
      <c r="AC407" s="1238" t="n"/>
      <c r="AD407" s="1238" t="n"/>
      <c r="AE407" s="1238" t="n"/>
      <c r="AF407" s="1238" t="n"/>
      <c r="AG407" s="1238" t="n"/>
      <c r="AH407" s="1238" t="n"/>
      <c r="AJ407" s="865" t="str">
        <f>IF(TRIM($B407)="","",IF(IFERROR(INDEX(Lists!$AO$2:$AO$11,MATCH(ROW(),Lists!$AN$2:$AN$11,0)),"")&lt;&gt;"",IFERROR(INDEX(Lists!$AO$2:$AO$11,MATCH(ROW(),Lists!$AN$2:$AN$11,0)),""),IFERROR(INDEX(Lists!$U:$U,MATCH(TRIM($I407),Lists!$T:$T,0)),TRIM($I407))))</f>
        <v>Infrastructure</v>
      </c>
      <c r="AK407" s="865" t="str">
        <f>IF(ISNUMBER(SEARCH("vacant",$B407)),"Vacant","Filled")</f>
        <v>Filled</v>
      </c>
      <c r="AL407" s="865" t="str">
        <f>IF($M407="NZ","NZ","AU")</f>
        <v>AU</v>
      </c>
      <c r="AM407" s="865">
        <f>COUNTIF($AJ$2:$AJ407,$AJ407)</f>
        <v>21</v>
      </c>
      <c r="AN407" s="865" t="str">
        <f>$AJ407&amp;"|"&amp;$AM407</f>
        <v>Infrastructure|21</v>
      </c>
      <c r="AP407" s="865" t="str">
        <f>IF(TRIM($B407)="","",IF($AQ407=1,"Leadership",IFERROR(INDEX(Lists!$X:$X,MATCH(TRIM($K407),Lists!$W:$W,0)),IF(OR(TRIM($K407)="",LOWER(TRIM($K407))="na"),IF(TRIM($G407)="","Unassigned",TRIM($G407)),TRIM($K407)))))</f>
        <v>Data &amp; Insights</v>
      </c>
      <c r="AQ407" s="865" t="b">
        <f>IF(TRIM($B407)="","",--OR(TRIM($K407)="Leadership",TRIM($J407)="Leadership"))</f>
        <v>0</v>
      </c>
      <c r="AR407" s="1136" t="str">
        <f>IF(TRIM($B407)="","",IF(IFERROR(INDEX(Lists!$AQ$2:$AQ$11,MATCH(ROW(),Lists!$AN$2:$AN$11,0)),"")&lt;&gt;"",IFERROR(INDEX(Lists!$AQ$2:$AQ$11,MATCH(ROW(),Lists!$AN$2:$AN$11,0)),""),IF(ISNUMBER(SEARCH("head of ",$C407)),"Head of Technology",IF(ISNUMBER(SEARCH("TDD BP",$C407)),"Business Partner",IF(OR(ISNUMBER(SEARCH("domain architect",$C407)),ISNUMBER(SEARCH("enterprise architect",$C407))),"Domain Architect",IF(ISNUMBER(SEARCH("delivery man",$C407)),"Delivery Manager",IF(OR(ISNUMBER(SEARCH("technology manager",$C407)),ISNUMBER(SEARCH("technology manger",$C407)),ISNUMBER(SEARCH("tech manager",$C407))),"Technology Manager","Squad")))))))</f>
        <v>Squad</v>
      </c>
      <c r="AS407" s="1136" t="str">
        <f>IF(TRIM($B407)="","",IFERROR(INDEX(Lists!$AA:$AA,MATCH($AP407,Lists!$Z:$Z,0)),$AP407))</f>
        <v>Data &amp; Insights</v>
      </c>
      <c r="AT407" s="1136" t="str">
        <f>IF(TRIM($B407)="","",IF(IFERROR(INDEX(Lists!$AP$2:$AP$11,MATCH(ROW(),Lists!$AN$2:$AN$11,0)),"")&lt;&gt;"",IFERROR(INDEX(Lists!$AP$2:$AP$11,MATCH(ROW(),Lists!$AN$2:$AN$11,0)),""),IF(OR(LEFT($AJ407,3)="COE",$AJ407="EGI"),$AP407,IF($AR407&lt;&gt;"Squad",$AR407,$AP407))))</f>
        <v>Data &amp; Insights</v>
      </c>
    </row>
    <row r="408" ht="18" customHeight="1" s="866">
      <c r="A408" s="1155" t="n">
        <v>106221</v>
      </c>
      <c r="B408" s="1156" t="inlineStr">
        <is>
          <t>Suja Sugathan</t>
        </is>
      </c>
      <c r="C408" s="1156" t="inlineStr">
        <is>
          <t>Senior Business Analyst</t>
        </is>
      </c>
      <c r="D408" s="1158" t="inlineStr">
        <is>
          <t>Vacant</t>
        </is>
      </c>
      <c r="E408" s="1156" t="inlineStr">
        <is>
          <t>Delivery Manager</t>
        </is>
      </c>
      <c r="F408" s="1157" t="inlineStr">
        <is>
          <t>TDD CFE&amp;I</t>
        </is>
      </c>
      <c r="G408" s="1158" t="inlineStr">
        <is>
          <t>Commercial Fuels</t>
        </is>
      </c>
      <c r="H408" s="1158" t="inlineStr">
        <is>
          <t>Delivery, Commercial Fuels</t>
        </is>
      </c>
      <c r="I408" s="1158" t="inlineStr">
        <is>
          <t>Commercial Fuels</t>
        </is>
      </c>
      <c r="J408" s="1158" t="inlineStr">
        <is>
          <t>Trading &amp; Shipping</t>
        </is>
      </c>
      <c r="K408" s="1158" t="inlineStr">
        <is>
          <t>Trading &amp; Shipping</t>
        </is>
      </c>
      <c r="L408" s="1156" t="n"/>
      <c r="M408" s="1183" t="inlineStr">
        <is>
          <t>Singapore</t>
        </is>
      </c>
      <c r="N408" s="1160" t="inlineStr">
        <is>
          <t>CIC</t>
        </is>
      </c>
      <c r="O408" s="1160" t="n">
        <v>1</v>
      </c>
      <c r="P408" s="1160" t="n"/>
      <c r="Q408" s="1160" t="inlineStr">
        <is>
          <t>Permanent - Full Time</t>
        </is>
      </c>
      <c r="R408" s="1162" t="n"/>
      <c r="S408" s="1162" t="n"/>
      <c r="T408" s="1162" t="n">
        <v>196770</v>
      </c>
      <c r="U408" s="1174" t="n">
        <v>238091.7</v>
      </c>
      <c r="V408" s="1166" t="n">
        <v>0.25</v>
      </c>
      <c r="W408" s="1162" t="n"/>
      <c r="X408" s="1166" t="n">
        <v>0.17</v>
      </c>
      <c r="Y408" s="1907" t="n">
        <v>3310</v>
      </c>
      <c r="Z408" s="1207" t="n">
        <v>0.045</v>
      </c>
      <c r="AA408" s="1168">
        <f>IF(TRIM($B408)="","",IF(N($AU408)&gt;0,$AU408,IF(N($S408)&gt;0,$S408*Lists!$AG$15*(1+N($Z408)),N($U408)*(1+N($V408)+N($W408)+N($X408)+N($Z408))+N($Y408))))</f>
        <v>352114.3405</v>
      </c>
      <c r="AB408" s="1238" t="n"/>
      <c r="AC408" s="1238" t="n"/>
      <c r="AD408" s="1238" t="n"/>
      <c r="AE408" s="1238" t="n"/>
      <c r="AF408" s="1238" t="n"/>
      <c r="AG408" s="1238" t="n"/>
      <c r="AH408" s="1238" t="n"/>
      <c r="AJ408" s="865" t="str">
        <f>IF(TRIM($B408)="","",IF(IFERROR(INDEX(Lists!$AO$2:$AO$11,MATCH(ROW(),Lists!$AN$2:$AN$11,0)),"")&lt;&gt;"",IFERROR(INDEX(Lists!$AO$2:$AO$11,MATCH(ROW(),Lists!$AN$2:$AN$11,0)),""),IFERROR(INDEX(Lists!$U:$U,MATCH(TRIM($I408),Lists!$T:$T,0)),TRIM($I408))))</f>
        <v>Commercial Fuels</v>
      </c>
      <c r="AK408" s="865" t="str">
        <f>IF(ISNUMBER(SEARCH("vacant",$B408)),"Vacant","Filled")</f>
        <v>Filled</v>
      </c>
      <c r="AL408" s="865" t="str">
        <f>IF($M408="NZ","NZ","AU")</f>
        <v>AU</v>
      </c>
      <c r="AM408" s="865">
        <f>COUNTIF($AJ$2:$AJ408,$AJ408)</f>
        <v>30</v>
      </c>
      <c r="AN408" s="865" t="str">
        <f>$AJ408&amp;"|"&amp;$AM408</f>
        <v>Commercial Fuels|30</v>
      </c>
      <c r="AP408" s="865" t="str">
        <f>IF(TRIM($B408)="","",IF($AQ408=1,"Leadership",IFERROR(INDEX(Lists!$X:$X,MATCH(TRIM($K408),Lists!$W:$W,0)),IF(OR(TRIM($K408)="",LOWER(TRIM($K408))="na"),IF(TRIM($G408)="","Unassigned",TRIM($G408)),TRIM($K408)))))</f>
        <v>Trading &amp; Shipping</v>
      </c>
      <c r="AQ408" s="865" t="b">
        <f>IF(TRIM($B408)="","",--OR(TRIM($K408)="Leadership",TRIM($J408)="Leadership"))</f>
        <v>0</v>
      </c>
      <c r="AR408" s="1136" t="str">
        <f>IF(TRIM($B408)="","",IF(IFERROR(INDEX(Lists!$AQ$2:$AQ$11,MATCH(ROW(),Lists!$AN$2:$AN$11,0)),"")&lt;&gt;"",IFERROR(INDEX(Lists!$AQ$2:$AQ$11,MATCH(ROW(),Lists!$AN$2:$AN$11,0)),""),IF(ISNUMBER(SEARCH("head of ",$C408)),"Head of Technology",IF(ISNUMBER(SEARCH("TDD BP",$C408)),"Business Partner",IF(OR(ISNUMBER(SEARCH("domain architect",$C408)),ISNUMBER(SEARCH("enterprise architect",$C408))),"Domain Architect",IF(ISNUMBER(SEARCH("delivery man",$C408)),"Delivery Manager",IF(OR(ISNUMBER(SEARCH("technology manager",$C408)),ISNUMBER(SEARCH("technology manger",$C408)),ISNUMBER(SEARCH("tech manager",$C408))),"Technology Manager","Squad")))))))</f>
        <v>Squad</v>
      </c>
      <c r="AS408" s="1136" t="str">
        <f>IF(TRIM($B408)="","",IFERROR(INDEX(Lists!$AA:$AA,MATCH($AP408,Lists!$Z:$Z,0)),$AP408))</f>
        <v>Trading &amp; Shipping</v>
      </c>
      <c r="AT408" s="1136" t="str">
        <f>IF(TRIM($B408)="","",IF(IFERROR(INDEX(Lists!$AP$2:$AP$11,MATCH(ROW(),Lists!$AN$2:$AN$11,0)),"")&lt;&gt;"",IFERROR(INDEX(Lists!$AP$2:$AP$11,MATCH(ROW(),Lists!$AN$2:$AN$11,0)),""),IF(OR(LEFT($AJ408,3)="COE",$AJ408="EGI"),$AP408,IF($AR408&lt;&gt;"Squad",$AR408,$AP408))))</f>
        <v>Trading &amp; Shipping</v>
      </c>
    </row>
    <row r="409" ht="18" customHeight="1" s="866">
      <c r="A409" s="1155" t="n">
        <v>113333</v>
      </c>
      <c r="B409" s="1156" t="inlineStr">
        <is>
          <t>Tom Moore</t>
        </is>
      </c>
      <c r="C409" s="1156" t="inlineStr">
        <is>
          <t>Technology Support Engineer - Infrastructure</t>
        </is>
      </c>
      <c r="D409" s="1156" t="inlineStr">
        <is>
          <t>Glenn Earl</t>
        </is>
      </c>
      <c r="E409" s="1156" t="inlineStr">
        <is>
          <t>Lead Support, Infrastructure</t>
        </is>
      </c>
      <c r="F409" s="1157" t="inlineStr">
        <is>
          <t>TDD CFE&amp;I</t>
        </is>
      </c>
      <c r="G409" s="1158" t="inlineStr">
        <is>
          <t>Fuel Infrastructure</t>
        </is>
      </c>
      <c r="H409" s="1158" t="inlineStr">
        <is>
          <t>Refinery Applications</t>
        </is>
      </c>
      <c r="I409" s="1158" t="inlineStr">
        <is>
          <t>Infrastructure</t>
        </is>
      </c>
      <c r="J409" s="1158" t="inlineStr">
        <is>
          <t>Fuel Infrastructure</t>
        </is>
      </c>
      <c r="K409" s="1156" t="inlineStr">
        <is>
          <t>Technology Suport</t>
        </is>
      </c>
      <c r="L409" s="1158" t="n"/>
      <c r="M409" s="1183" t="inlineStr">
        <is>
          <t>Australia</t>
        </is>
      </c>
      <c r="N409" s="1160" t="inlineStr">
        <is>
          <t>CDA</t>
        </is>
      </c>
      <c r="O409" s="1160" t="n">
        <v>1</v>
      </c>
      <c r="P409" s="1160" t="n"/>
      <c r="Q409" s="1160" t="inlineStr">
        <is>
          <t>Permanent - Full Time</t>
        </is>
      </c>
      <c r="R409" s="1162" t="n"/>
      <c r="S409" s="1162" t="n"/>
      <c r="T409" s="1162" t="n">
        <v>82380</v>
      </c>
      <c r="U409" s="1174" t="n">
        <v>82380</v>
      </c>
      <c r="V409" s="1166" t="n">
        <v>0.08</v>
      </c>
      <c r="W409" s="1170" t="n">
        <v>0.055</v>
      </c>
      <c r="X409" s="1170" t="n">
        <v>0.12</v>
      </c>
      <c r="Y409" s="1171" t="n"/>
      <c r="Z409" s="1170" t="n">
        <v>0.04</v>
      </c>
      <c r="AA409" s="1168">
        <f>IF(TRIM($B409)="","",IF(N($AU409)&gt;0,$AU409,IF(N($S409)&gt;0,$S409*Lists!$AG$15*(1+N($Z409)),N($U409)*(1+N($V409)+N($W409)+N($X409)+N($Z409))+N($Y409))))</f>
        <v>106682.1</v>
      </c>
      <c r="AB409" s="1238" t="n"/>
      <c r="AC409" s="1238" t="n"/>
      <c r="AD409" s="1238" t="n"/>
      <c r="AE409" s="1238" t="n"/>
      <c r="AF409" s="1238" t="n"/>
      <c r="AG409" s="1238" t="n"/>
      <c r="AH409" s="1238" t="n"/>
      <c r="AJ409" s="865" t="str">
        <f>IF(TRIM($B409)="","",IF(IFERROR(INDEX(Lists!$AO$2:$AO$11,MATCH(ROW(),Lists!$AN$2:$AN$11,0)),"")&lt;&gt;"",IFERROR(INDEX(Lists!$AO$2:$AO$11,MATCH(ROW(),Lists!$AN$2:$AN$11,0)),""),IFERROR(INDEX(Lists!$U:$U,MATCH(TRIM($I409),Lists!$T:$T,0)),TRIM($I409))))</f>
        <v>Infrastructure</v>
      </c>
      <c r="AK409" s="865" t="str">
        <f>IF(ISNUMBER(SEARCH("vacant",$B409)),"Vacant","Filled")</f>
        <v>Filled</v>
      </c>
      <c r="AL409" s="865" t="str">
        <f>IF($M409="NZ","NZ","AU")</f>
        <v>AU</v>
      </c>
      <c r="AM409" s="865">
        <f>COUNTIF($AJ$2:$AJ409,$AJ409)</f>
        <v>22</v>
      </c>
      <c r="AN409" s="865" t="str">
        <f>$AJ409&amp;"|"&amp;$AM409</f>
        <v>Infrastructure|22</v>
      </c>
      <c r="AP409" s="865" t="str">
        <f>IF(TRIM($B409)="","",IF($AQ409=1,"Leadership",IFERROR(INDEX(Lists!$X:$X,MATCH(TRIM($K409),Lists!$W:$W,0)),IF(OR(TRIM($K409)="",LOWER(TRIM($K409))="na"),IF(TRIM($G409)="","Unassigned",TRIM($G409)),TRIM($K409)))))</f>
        <v>Technology Support</v>
      </c>
      <c r="AQ409" s="865" t="b">
        <f>IF(TRIM($B409)="","",--OR(TRIM($K409)="Leadership",TRIM($J409)="Leadership"))</f>
        <v>0</v>
      </c>
      <c r="AR409" s="1136" t="str">
        <f>IF(TRIM($B409)="","",IF(IFERROR(INDEX(Lists!$AQ$2:$AQ$11,MATCH(ROW(),Lists!$AN$2:$AN$11,0)),"")&lt;&gt;"",IFERROR(INDEX(Lists!$AQ$2:$AQ$11,MATCH(ROW(),Lists!$AN$2:$AN$11,0)),""),IF(ISNUMBER(SEARCH("head of ",$C409)),"Head of Technology",IF(ISNUMBER(SEARCH("TDD BP",$C409)),"Business Partner",IF(OR(ISNUMBER(SEARCH("domain architect",$C409)),ISNUMBER(SEARCH("enterprise architect",$C409))),"Domain Architect",IF(ISNUMBER(SEARCH("delivery man",$C409)),"Delivery Manager",IF(OR(ISNUMBER(SEARCH("technology manager",$C409)),ISNUMBER(SEARCH("technology manger",$C409)),ISNUMBER(SEARCH("tech manager",$C409))),"Technology Manager","Squad")))))))</f>
        <v>Squad</v>
      </c>
      <c r="AS409" s="1136" t="str">
        <f>IF(TRIM($B409)="","",IFERROR(INDEX(Lists!$AA:$AA,MATCH($AP409,Lists!$Z:$Z,0)),$AP409))</f>
        <v>Technology Support</v>
      </c>
      <c r="AT409" s="1136" t="str">
        <f>IF(TRIM($B409)="","",IF(IFERROR(INDEX(Lists!$AP$2:$AP$11,MATCH(ROW(),Lists!$AN$2:$AN$11,0)),"")&lt;&gt;"",IFERROR(INDEX(Lists!$AP$2:$AP$11,MATCH(ROW(),Lists!$AN$2:$AN$11,0)),""),IF(OR(LEFT($AJ409,3)="COE",$AJ409="EGI"),$AP409,IF($AR409&lt;&gt;"Squad",$AR409,$AP409))))</f>
        <v>Technology Support</v>
      </c>
    </row>
    <row r="410" ht="18" customHeight="1" s="866">
      <c r="A410" s="1155" t="n">
        <v>116312</v>
      </c>
      <c r="B410" s="1156" t="inlineStr">
        <is>
          <t>Trung Truong</t>
        </is>
      </c>
      <c r="C410" s="1156" t="inlineStr">
        <is>
          <t>Engineer Applications</t>
        </is>
      </c>
      <c r="D410" s="1156" t="inlineStr">
        <is>
          <t>Allan Francia</t>
        </is>
      </c>
      <c r="E410" s="1156" t="inlineStr">
        <is>
          <t>Technology Manager, T&amp;S</t>
        </is>
      </c>
      <c r="F410" s="1157" t="inlineStr">
        <is>
          <t>TDD CFE&amp;I</t>
        </is>
      </c>
      <c r="G410" s="1158" t="inlineStr">
        <is>
          <t>Commercial Fuels</t>
        </is>
      </c>
      <c r="H410" s="1158" t="inlineStr">
        <is>
          <t>Technology, Trading &amp; Shipping</t>
        </is>
      </c>
      <c r="I410" s="1158" t="inlineStr">
        <is>
          <t>Commercial Fuels</t>
        </is>
      </c>
      <c r="J410" s="1156" t="inlineStr">
        <is>
          <t>CTRM</t>
        </is>
      </c>
      <c r="K410" s="1156" t="inlineStr">
        <is>
          <t>CTRM</t>
        </is>
      </c>
      <c r="L410" s="1158" t="n"/>
      <c r="M410" s="1183" t="inlineStr">
        <is>
          <t>Singapore</t>
        </is>
      </c>
      <c r="N410" s="1160" t="inlineStr">
        <is>
          <t>CIC</t>
        </is>
      </c>
      <c r="O410" s="1160" t="n">
        <v>1</v>
      </c>
      <c r="P410" s="1160" t="n"/>
      <c r="Q410" s="1160" t="inlineStr">
        <is>
          <t>Permanent - Full Time</t>
        </is>
      </c>
      <c r="R410" s="1162" t="n"/>
      <c r="S410" s="1162" t="n"/>
      <c r="T410" s="1162" t="n">
        <v>170000</v>
      </c>
      <c r="U410" s="1174" t="n">
        <v>205700</v>
      </c>
      <c r="V410" s="1166" t="n">
        <v>0.25</v>
      </c>
      <c r="W410" s="1162" t="n"/>
      <c r="X410" s="1166" t="n">
        <v>0.17</v>
      </c>
      <c r="Y410" s="1907" t="n">
        <v>3310</v>
      </c>
      <c r="Z410" s="1207" t="n">
        <v>0.045</v>
      </c>
      <c r="AA410" s="1168">
        <f>IF(TRIM($B410)="","",IF(N($AU410)&gt;0,$AU410,IF(N($S410)&gt;0,$S410*Lists!$AG$15*(1+N($Z410)),N($U410)*(1+N($V410)+N($W410)+N($X410)+N($Z410))+N($Y410))))</f>
        <v>304660.5</v>
      </c>
      <c r="AB410" s="1238" t="n"/>
      <c r="AC410" s="1238" t="n"/>
      <c r="AD410" s="1238" t="n"/>
      <c r="AE410" s="1238" t="n"/>
      <c r="AF410" s="1238" t="n"/>
      <c r="AG410" s="1238" t="n"/>
      <c r="AH410" s="1238" t="n"/>
      <c r="AJ410" s="865" t="str">
        <f>IF(TRIM($B410)="","",IF(IFERROR(INDEX(Lists!$AO$2:$AO$11,MATCH(ROW(),Lists!$AN$2:$AN$11,0)),"")&lt;&gt;"",IFERROR(INDEX(Lists!$AO$2:$AO$11,MATCH(ROW(),Lists!$AN$2:$AN$11,0)),""),IFERROR(INDEX(Lists!$U:$U,MATCH(TRIM($I410),Lists!$T:$T,0)),TRIM($I410))))</f>
        <v>Commercial Fuels</v>
      </c>
      <c r="AK410" s="865" t="str">
        <f>IF(ISNUMBER(SEARCH("vacant",$B410)),"Vacant","Filled")</f>
        <v>Filled</v>
      </c>
      <c r="AL410" s="865" t="str">
        <f>IF($M410="NZ","NZ","AU")</f>
        <v>AU</v>
      </c>
      <c r="AM410" s="865">
        <f>COUNTIF($AJ$2:$AJ410,$AJ410)</f>
        <v>31</v>
      </c>
      <c r="AN410" s="865" t="str">
        <f>$AJ410&amp;"|"&amp;$AM410</f>
        <v>Commercial Fuels|31</v>
      </c>
      <c r="AP410" s="865" t="str">
        <f>IF(TRIM($B410)="","",IF($AQ410=1,"Leadership",IFERROR(INDEX(Lists!$X:$X,MATCH(TRIM($K410),Lists!$W:$W,0)),IF(OR(TRIM($K410)="",LOWER(TRIM($K410))="na"),IF(TRIM($G410)="","Unassigned",TRIM($G410)),TRIM($K410)))))</f>
        <v>CTRM</v>
      </c>
      <c r="AQ410" s="865" t="b">
        <f>IF(TRIM($B410)="","",--OR(TRIM($K410)="Leadership",TRIM($J410)="Leadership"))</f>
        <v>0</v>
      </c>
      <c r="AR410" s="1136" t="str">
        <f>IF(TRIM($B410)="","",IF(IFERROR(INDEX(Lists!$AQ$2:$AQ$11,MATCH(ROW(),Lists!$AN$2:$AN$11,0)),"")&lt;&gt;"",IFERROR(INDEX(Lists!$AQ$2:$AQ$11,MATCH(ROW(),Lists!$AN$2:$AN$11,0)),""),IF(ISNUMBER(SEARCH("head of ",$C410)),"Head of Technology",IF(ISNUMBER(SEARCH("TDD BP",$C410)),"Business Partner",IF(OR(ISNUMBER(SEARCH("domain architect",$C410)),ISNUMBER(SEARCH("enterprise architect",$C410))),"Domain Architect",IF(ISNUMBER(SEARCH("delivery man",$C410)),"Delivery Manager",IF(OR(ISNUMBER(SEARCH("technology manager",$C410)),ISNUMBER(SEARCH("technology manger",$C410)),ISNUMBER(SEARCH("tech manager",$C410))),"Technology Manager","Squad")))))))</f>
        <v>Squad</v>
      </c>
      <c r="AS410" s="1136" t="str">
        <f>IF(TRIM($B410)="","",IFERROR(INDEX(Lists!$AA:$AA,MATCH($AP410,Lists!$Z:$Z,0)),$AP410))</f>
        <v>CTRM</v>
      </c>
      <c r="AT410" s="1136" t="str">
        <f>IF(TRIM($B410)="","",IF(IFERROR(INDEX(Lists!$AP$2:$AP$11,MATCH(ROW(),Lists!$AN$2:$AN$11,0)),"")&lt;&gt;"",IFERROR(INDEX(Lists!$AP$2:$AP$11,MATCH(ROW(),Lists!$AN$2:$AN$11,0)),""),IF(OR(LEFT($AJ410,3)="COE",$AJ410="EGI"),$AP410,IF($AR410&lt;&gt;"Squad",$AR410,$AP410))))</f>
        <v>CTRM</v>
      </c>
    </row>
    <row r="411" ht="18" customHeight="1" s="866">
      <c r="A411" s="1155" t="n">
        <v>110040</v>
      </c>
      <c r="B411" s="1156" t="inlineStr">
        <is>
          <t>Tyler Meggs</t>
        </is>
      </c>
      <c r="C411" s="1156" t="inlineStr">
        <is>
          <t>System Analyst</t>
        </is>
      </c>
      <c r="D411" s="1156" t="inlineStr">
        <is>
          <t>Jaya Ganasan</t>
        </is>
      </c>
      <c r="E411" s="1156" t="inlineStr">
        <is>
          <t>Technology Manager, TDD Refinery</t>
        </is>
      </c>
      <c r="F411" s="1157" t="inlineStr">
        <is>
          <t>TDD CFE&amp;I</t>
        </is>
      </c>
      <c r="G411" s="1158" t="inlineStr">
        <is>
          <t>Fuel Infrastructure</t>
        </is>
      </c>
      <c r="H411" s="1158" t="inlineStr">
        <is>
          <t>Refinery Applications</t>
        </is>
      </c>
      <c r="I411" s="1158" t="inlineStr">
        <is>
          <t>Infrastructure</t>
        </is>
      </c>
      <c r="J411" s="1158" t="inlineStr">
        <is>
          <t>Manufacturing</t>
        </is>
      </c>
      <c r="K411" s="1156" t="inlineStr">
        <is>
          <t>Manufacturing Group Projects</t>
        </is>
      </c>
      <c r="L411" s="1158" t="n"/>
      <c r="M411" s="1183" t="inlineStr">
        <is>
          <t>Australia</t>
        </is>
      </c>
      <c r="N411" s="1160" t="inlineStr">
        <is>
          <t>CIA</t>
        </is>
      </c>
      <c r="O411" s="1160" t="n">
        <v>1</v>
      </c>
      <c r="P411" s="1160" t="n"/>
      <c r="Q411" s="1160" t="inlineStr">
        <is>
          <t>Permanent - Full Time</t>
        </is>
      </c>
      <c r="R411" s="1162" t="n"/>
      <c r="S411" s="1162" t="n"/>
      <c r="T411" s="1162" t="n">
        <v>110000</v>
      </c>
      <c r="U411" s="1174" t="n">
        <v>110000</v>
      </c>
      <c r="V411" s="1166" t="n">
        <v>0.1</v>
      </c>
      <c r="W411" s="1170" t="n">
        <v>0.055</v>
      </c>
      <c r="X411" s="1170" t="n">
        <v>0.12</v>
      </c>
      <c r="Y411" s="1171" t="n"/>
      <c r="Z411" s="1170" t="n">
        <v>0.04</v>
      </c>
      <c r="AA411" s="1168">
        <f>IF(TRIM($B411)="","",IF(N($AU411)&gt;0,$AU411,IF(N($S411)&gt;0,$S411*Lists!$AG$15*(1+N($Z411)),N($U411)*(1+N($V411)+N($W411)+N($X411)+N($Z411))+N($Y411))))</f>
        <v>144650</v>
      </c>
      <c r="AB411" s="1238" t="n"/>
      <c r="AC411" s="1238" t="n"/>
      <c r="AD411" s="1238" t="n"/>
      <c r="AE411" s="1238" t="n"/>
      <c r="AF411" s="1238" t="n"/>
      <c r="AG411" s="1238" t="n"/>
      <c r="AH411" s="1238" t="n"/>
      <c r="AJ411" s="865" t="str">
        <f>IF(TRIM($B411)="","",IF(IFERROR(INDEX(Lists!$AO$2:$AO$11,MATCH(ROW(),Lists!$AN$2:$AN$11,0)),"")&lt;&gt;"",IFERROR(INDEX(Lists!$AO$2:$AO$11,MATCH(ROW(),Lists!$AN$2:$AN$11,0)),""),IFERROR(INDEX(Lists!$U:$U,MATCH(TRIM($I411),Lists!$T:$T,0)),TRIM($I411))))</f>
        <v>Infrastructure</v>
      </c>
      <c r="AK411" s="865" t="str">
        <f>IF(ISNUMBER(SEARCH("vacant",$B411)),"Vacant","Filled")</f>
        <v>Filled</v>
      </c>
      <c r="AL411" s="865" t="str">
        <f>IF($M411="NZ","NZ","AU")</f>
        <v>AU</v>
      </c>
      <c r="AM411" s="865">
        <f>COUNTIF($AJ$2:$AJ411,$AJ411)</f>
        <v>23</v>
      </c>
      <c r="AN411" s="865" t="str">
        <f>$AJ411&amp;"|"&amp;$AM411</f>
        <v>Infrastructure|23</v>
      </c>
      <c r="AP411" s="865" t="str">
        <f>IF(TRIM($B411)="","",IF($AQ411=1,"Leadership",IFERROR(INDEX(Lists!$X:$X,MATCH(TRIM($K411),Lists!$W:$W,0)),IF(OR(TRIM($K411)="",LOWER(TRIM($K411))="na"),IF(TRIM($G411)="","Unassigned",TRIM($G411)),TRIM($K411)))))</f>
        <v>Manufacturing Group Projects</v>
      </c>
      <c r="AQ411" s="865" t="b">
        <f>IF(TRIM($B411)="","",--OR(TRIM($K411)="Leadership",TRIM($J411)="Leadership"))</f>
        <v>0</v>
      </c>
      <c r="AR411" s="1136" t="str">
        <f>IF(TRIM($B411)="","",IF(IFERROR(INDEX(Lists!$AQ$2:$AQ$11,MATCH(ROW(),Lists!$AN$2:$AN$11,0)),"")&lt;&gt;"",IFERROR(INDEX(Lists!$AQ$2:$AQ$11,MATCH(ROW(),Lists!$AN$2:$AN$11,0)),""),IF(ISNUMBER(SEARCH("head of ",$C411)),"Head of Technology",IF(ISNUMBER(SEARCH("TDD BP",$C411)),"Business Partner",IF(OR(ISNUMBER(SEARCH("domain architect",$C411)),ISNUMBER(SEARCH("enterprise architect",$C411))),"Domain Architect",IF(ISNUMBER(SEARCH("delivery man",$C411)),"Delivery Manager",IF(OR(ISNUMBER(SEARCH("technology manager",$C411)),ISNUMBER(SEARCH("technology manger",$C411)),ISNUMBER(SEARCH("tech manager",$C411))),"Technology Manager","Squad")))))))</f>
        <v>Squad</v>
      </c>
      <c r="AS411" s="1136" t="str">
        <f>IF(TRIM($B411)="","",IFERROR(INDEX(Lists!$AA:$AA,MATCH($AP411,Lists!$Z:$Z,0)),$AP411))</f>
        <v>Manufacturing Group Projects</v>
      </c>
      <c r="AT411" s="1136" t="str">
        <f>IF(TRIM($B411)="","",IF(IFERROR(INDEX(Lists!$AP$2:$AP$11,MATCH(ROW(),Lists!$AN$2:$AN$11,0)),"")&lt;&gt;"",IFERROR(INDEX(Lists!$AP$2:$AP$11,MATCH(ROW(),Lists!$AN$2:$AN$11,0)),""),IF(OR(LEFT($AJ411,3)="COE",$AJ411="EGI"),$AP411,IF($AR411&lt;&gt;"Squad",$AR411,$AP411))))</f>
        <v>Manufacturing Group Projects</v>
      </c>
    </row>
    <row r="412" ht="18" customHeight="1" s="866">
      <c r="A412" s="1155" t="inlineStr">
        <is>
          <t>V</t>
        </is>
      </c>
      <c r="B412" s="1156" t="inlineStr">
        <is>
          <t>Vacant</t>
        </is>
      </c>
      <c r="C412" s="1156" t="inlineStr">
        <is>
          <t>Engineer Software</t>
        </is>
      </c>
      <c r="D412" s="1156" t="inlineStr">
        <is>
          <t>Elle Spencer</t>
        </is>
      </c>
      <c r="E412" s="1156" t="inlineStr">
        <is>
          <t>Technology Manager, Energy Solutions</t>
        </is>
      </c>
      <c r="F412" s="1157" t="inlineStr">
        <is>
          <t>TDD CFE&amp;I</t>
        </is>
      </c>
      <c r="G412" s="1158" t="inlineStr">
        <is>
          <t>B2B &amp; Energy Solutions</t>
        </is>
      </c>
      <c r="H412" s="1158" t="inlineStr">
        <is>
          <t>Technology B2B</t>
        </is>
      </c>
      <c r="I412" s="1158" t="inlineStr">
        <is>
          <t>B2B &amp; Energy Solutions</t>
        </is>
      </c>
      <c r="J412" s="1156" t="inlineStr">
        <is>
          <t>B2B</t>
        </is>
      </c>
      <c r="K412" s="1156" t="inlineStr">
        <is>
          <t>B2B</t>
        </is>
      </c>
      <c r="L412" s="1158" t="n"/>
      <c r="M412" s="1183" t="inlineStr">
        <is>
          <t>Australia</t>
        </is>
      </c>
      <c r="N412" s="1160" t="inlineStr">
        <is>
          <t>CIB</t>
        </is>
      </c>
      <c r="O412" s="1160" t="n">
        <v>1</v>
      </c>
      <c r="P412" s="1160" t="n"/>
      <c r="Q412" s="1160" t="inlineStr">
        <is>
          <t>V</t>
        </is>
      </c>
      <c r="R412" s="1162" t="n"/>
      <c r="S412" s="1162" t="n"/>
      <c r="T412" s="1162" t="n">
        <v>151950</v>
      </c>
      <c r="U412" s="1174" t="n">
        <v>151950</v>
      </c>
      <c r="V412" s="1166" t="n">
        <v>0.12</v>
      </c>
      <c r="W412" s="1170" t="n">
        <v>0.055</v>
      </c>
      <c r="X412" s="1170" t="n">
        <v>0.12</v>
      </c>
      <c r="Y412" s="1171" t="n"/>
      <c r="Z412" s="1170" t="n">
        <v>0.04</v>
      </c>
      <c r="AA412" s="1168">
        <f>IF(TRIM($B412)="","",IF(N($AU412)&gt;0,$AU412,IF(N($S412)&gt;0,$S412*Lists!$AG$15*(1+N($Z412)),N($U412)*(1+N($V412)+N($W412)+N($X412)+N($Z412))+N($Y412))))</f>
        <v>202853.25</v>
      </c>
      <c r="AB412" s="1238" t="n"/>
      <c r="AC412" s="1238" t="n"/>
      <c r="AD412" s="1238" t="n"/>
      <c r="AE412" s="1238" t="n"/>
      <c r="AF412" s="1238" t="n"/>
      <c r="AG412" s="1238" t="n"/>
      <c r="AH412" s="1238" t="n"/>
      <c r="AJ412" s="865" t="str">
        <f>IF(TRIM($B412)="","",IF(IFERROR(INDEX(Lists!$AO$2:$AO$11,MATCH(ROW(),Lists!$AN$2:$AN$11,0)),"")&lt;&gt;"",IFERROR(INDEX(Lists!$AO$2:$AO$11,MATCH(ROW(),Lists!$AN$2:$AN$11,0)),""),IFERROR(INDEX(Lists!$U:$U,MATCH(TRIM($I412),Lists!$T:$T,0)),TRIM($I412))))</f>
        <v>Energy Solutions &amp; B2B</v>
      </c>
      <c r="AK412" s="865" t="str">
        <f>IF(ISNUMBER(SEARCH("vacant",$B412)),"Vacant","Filled")</f>
        <v>Vacant</v>
      </c>
      <c r="AL412" s="865" t="str">
        <f>IF($M412="NZ","NZ","AU")</f>
        <v>AU</v>
      </c>
      <c r="AM412" s="865">
        <f>COUNTIF($AJ$2:$AJ412,$AJ412)</f>
        <v>25</v>
      </c>
      <c r="AN412" s="865" t="str">
        <f>$AJ412&amp;"|"&amp;$AM412</f>
        <v>Energy Solutions &amp; B2B|25</v>
      </c>
      <c r="AP412" s="865" t="str">
        <f>IF(TRIM($B412)="","",IF($AQ412=1,"Leadership",IFERROR(INDEX(Lists!$X:$X,MATCH(TRIM($K412),Lists!$W:$W,0)),IF(OR(TRIM($K412)="",LOWER(TRIM($K412))="na"),IF(TRIM($G412)="","Unassigned",TRIM($G412)),TRIM($K412)))))</f>
        <v>B2B</v>
      </c>
      <c r="AQ412" s="865" t="b">
        <f>IF(TRIM($B412)="","",--OR(TRIM($K412)="Leadership",TRIM($J412)="Leadership"))</f>
        <v>0</v>
      </c>
      <c r="AR412" s="1136" t="str">
        <f>IF(TRIM($B412)="","",IF(IFERROR(INDEX(Lists!$AQ$2:$AQ$11,MATCH(ROW(),Lists!$AN$2:$AN$11,0)),"")&lt;&gt;"",IFERROR(INDEX(Lists!$AQ$2:$AQ$11,MATCH(ROW(),Lists!$AN$2:$AN$11,0)),""),IF(ISNUMBER(SEARCH("head of ",$C412)),"Head of Technology",IF(ISNUMBER(SEARCH("TDD BP",$C412)),"Business Partner",IF(OR(ISNUMBER(SEARCH("domain architect",$C412)),ISNUMBER(SEARCH("enterprise architect",$C412))),"Domain Architect",IF(ISNUMBER(SEARCH("delivery man",$C412)),"Delivery Manager",IF(OR(ISNUMBER(SEARCH("technology manager",$C412)),ISNUMBER(SEARCH("technology manger",$C412)),ISNUMBER(SEARCH("tech manager",$C412))),"Technology Manager","Squad")))))))</f>
        <v>Squad</v>
      </c>
      <c r="AS412" s="1136" t="str">
        <f>IF(TRIM($B412)="","",IFERROR(INDEX(Lists!$AA:$AA,MATCH($AP412,Lists!$Z:$Z,0)),$AP412))</f>
        <v>B2B</v>
      </c>
      <c r="AT412" s="1136" t="str">
        <f>IF(TRIM($B412)="","",IF(IFERROR(INDEX(Lists!$AP$2:$AP$11,MATCH(ROW(),Lists!$AN$2:$AN$11,0)),"")&lt;&gt;"",IFERROR(INDEX(Lists!$AP$2:$AP$11,MATCH(ROW(),Lists!$AN$2:$AN$11,0)),""),IF(OR(LEFT($AJ412,3)="COE",$AJ412="EGI"),$AP412,IF($AR412&lt;&gt;"Squad",$AR412,$AP412))))</f>
        <v>B2B</v>
      </c>
    </row>
    <row r="413" ht="18" customHeight="1" s="866">
      <c r="A413" s="1155" t="inlineStr">
        <is>
          <t>V</t>
        </is>
      </c>
      <c r="B413" s="1156" t="inlineStr">
        <is>
          <t>Vacant</t>
        </is>
      </c>
      <c r="C413" s="1156" t="inlineStr">
        <is>
          <t>Solution Architect</t>
        </is>
      </c>
      <c r="D413" s="1156" t="inlineStr">
        <is>
          <t>Elle Spencer</t>
        </is>
      </c>
      <c r="E413" s="1156" t="inlineStr">
        <is>
          <t>Technology Manager, Energy Solutions</t>
        </is>
      </c>
      <c r="F413" s="1157" t="inlineStr">
        <is>
          <t>TDD CFE&amp;I</t>
        </is>
      </c>
      <c r="G413" s="1158" t="inlineStr">
        <is>
          <t>B2B &amp; Energy Solutions</t>
        </is>
      </c>
      <c r="H413" s="1158" t="inlineStr">
        <is>
          <t>Technology B2B</t>
        </is>
      </c>
      <c r="I413" s="1158" t="inlineStr">
        <is>
          <t>B2B &amp; Energy Solutions</t>
        </is>
      </c>
      <c r="J413" s="1156" t="inlineStr">
        <is>
          <t>B2B</t>
        </is>
      </c>
      <c r="K413" s="1156" t="inlineStr">
        <is>
          <t>B2B</t>
        </is>
      </c>
      <c r="L413" s="1158" t="n"/>
      <c r="M413" s="1183" t="inlineStr">
        <is>
          <t>australia</t>
        </is>
      </c>
      <c r="N413" s="1160" t="inlineStr">
        <is>
          <t>CIC</t>
        </is>
      </c>
      <c r="O413" s="1160" t="n">
        <v>1</v>
      </c>
      <c r="P413" s="1160" t="n"/>
      <c r="Q413" s="1160" t="inlineStr">
        <is>
          <t>v</t>
        </is>
      </c>
      <c r="R413" s="1162" t="n"/>
      <c r="S413" s="1162" t="n"/>
      <c r="T413" s="1162" t="n">
        <v>173550</v>
      </c>
      <c r="U413" s="1174" t="n">
        <v>173550</v>
      </c>
      <c r="V413" s="1166" t="n">
        <v>0.12</v>
      </c>
      <c r="W413" s="1170" t="n">
        <v>0.055</v>
      </c>
      <c r="X413" s="1170" t="n">
        <v>0.12</v>
      </c>
      <c r="Y413" s="1171" t="n"/>
      <c r="Z413" s="1170" t="n">
        <v>0.04</v>
      </c>
      <c r="AA413" s="1168">
        <f>IF(TRIM($B413)="","",IF(N($AU413)&gt;0,$AU413,IF(N($S413)&gt;0,$S413*Lists!$AG$15*(1+N($Z413)),N($U413)*(1+N($V413)+N($W413)+N($X413)+N($Z413))+N($Y413))))</f>
        <v>231689.25</v>
      </c>
      <c r="AB413" s="1238" t="n"/>
      <c r="AC413" s="1238" t="n"/>
      <c r="AD413" s="1238" t="n"/>
      <c r="AE413" s="1238" t="n"/>
      <c r="AF413" s="1238" t="n"/>
      <c r="AG413" s="1238" t="n"/>
      <c r="AH413" s="1238" t="n"/>
      <c r="AJ413" s="865" t="str">
        <f>IF(TRIM($B413)="","",IF(IFERROR(INDEX(Lists!$AO$2:$AO$11,MATCH(ROW(),Lists!$AN$2:$AN$11,0)),"")&lt;&gt;"",IFERROR(INDEX(Lists!$AO$2:$AO$11,MATCH(ROW(),Lists!$AN$2:$AN$11,0)),""),IFERROR(INDEX(Lists!$U:$U,MATCH(TRIM($I413),Lists!$T:$T,0)),TRIM($I413))))</f>
        <v>Energy Solutions &amp; B2B</v>
      </c>
      <c r="AK413" s="865" t="str">
        <f>IF(ISNUMBER(SEARCH("vacant",$B413)),"Vacant","Filled")</f>
        <v>Vacant</v>
      </c>
      <c r="AL413" s="865" t="str">
        <f>IF($M413="NZ","NZ","AU")</f>
        <v>AU</v>
      </c>
      <c r="AM413" s="865">
        <f>COUNTIF($AJ$2:$AJ413,$AJ413)</f>
        <v>26</v>
      </c>
      <c r="AN413" s="865" t="str">
        <f>$AJ413&amp;"|"&amp;$AM413</f>
        <v>Energy Solutions &amp; B2B|26</v>
      </c>
      <c r="AP413" s="865" t="str">
        <f>IF(TRIM($B413)="","",IF($AQ413=1,"Leadership",IFERROR(INDEX(Lists!$X:$X,MATCH(TRIM($K413),Lists!$W:$W,0)),IF(OR(TRIM($K413)="",LOWER(TRIM($K413))="na"),IF(TRIM($G413)="","Unassigned",TRIM($G413)),TRIM($K413)))))</f>
        <v>B2B</v>
      </c>
      <c r="AQ413" s="865" t="b">
        <f>IF(TRIM($B413)="","",--OR(TRIM($K413)="Leadership",TRIM($J413)="Leadership"))</f>
        <v>0</v>
      </c>
      <c r="AR413" s="1136" t="str">
        <f>IF(TRIM($B413)="","",IF(IFERROR(INDEX(Lists!$AQ$2:$AQ$11,MATCH(ROW(),Lists!$AN$2:$AN$11,0)),"")&lt;&gt;"",IFERROR(INDEX(Lists!$AQ$2:$AQ$11,MATCH(ROW(),Lists!$AN$2:$AN$11,0)),""),IF(ISNUMBER(SEARCH("head of ",$C413)),"Head of Technology",IF(ISNUMBER(SEARCH("TDD BP",$C413)),"Business Partner",IF(OR(ISNUMBER(SEARCH("domain architect",$C413)),ISNUMBER(SEARCH("enterprise architect",$C413))),"Domain Architect",IF(ISNUMBER(SEARCH("delivery man",$C413)),"Delivery Manager",IF(OR(ISNUMBER(SEARCH("technology manager",$C413)),ISNUMBER(SEARCH("technology manger",$C413)),ISNUMBER(SEARCH("tech manager",$C413))),"Technology Manager","Squad")))))))</f>
        <v>Squad</v>
      </c>
      <c r="AS413" s="1136" t="str">
        <f>IF(TRIM($B413)="","",IFERROR(INDEX(Lists!$AA:$AA,MATCH($AP413,Lists!$Z:$Z,0)),$AP413))</f>
        <v>B2B</v>
      </c>
      <c r="AT413" s="1136" t="str">
        <f>IF(TRIM($B413)="","",IF(IFERROR(INDEX(Lists!$AP$2:$AP$11,MATCH(ROW(),Lists!$AN$2:$AN$11,0)),"")&lt;&gt;"",IFERROR(INDEX(Lists!$AP$2:$AP$11,MATCH(ROW(),Lists!$AN$2:$AN$11,0)),""),IF(OR(LEFT($AJ413,3)="COE",$AJ413="EGI"),$AP413,IF($AR413&lt;&gt;"Squad",$AR413,$AP413))))</f>
        <v>B2B</v>
      </c>
    </row>
    <row r="414" ht="18" customHeight="1" s="866">
      <c r="A414" s="1155" t="inlineStr">
        <is>
          <t>V</t>
        </is>
      </c>
      <c r="B414" s="1156" t="inlineStr">
        <is>
          <t>Vacant</t>
        </is>
      </c>
      <c r="C414" s="1156" t="inlineStr">
        <is>
          <t>Delivery manager</t>
        </is>
      </c>
      <c r="D414" s="1158" t="inlineStr">
        <is>
          <t>Liesl Tye</t>
        </is>
      </c>
      <c r="E414" s="1156" t="inlineStr">
        <is>
          <t>Head of Technology, B2B &amp; Energy Solutions</t>
        </is>
      </c>
      <c r="F414" s="1157" t="inlineStr">
        <is>
          <t>TDD CFE&amp;I</t>
        </is>
      </c>
      <c r="G414" s="1158" t="inlineStr">
        <is>
          <t>B2B &amp; Energy Solutions</t>
        </is>
      </c>
      <c r="H414" s="1158" t="inlineStr">
        <is>
          <t>Leadership</t>
        </is>
      </c>
      <c r="I414" s="1158" t="inlineStr">
        <is>
          <t>B2B &amp; Energy Solutions</t>
        </is>
      </c>
      <c r="J414" s="1158" t="inlineStr">
        <is>
          <t>Leadership</t>
        </is>
      </c>
      <c r="K414" s="1156" t="inlineStr">
        <is>
          <t>Leadership</t>
        </is>
      </c>
      <c r="L414" s="1158" t="n"/>
      <c r="M414" s="1183" t="inlineStr">
        <is>
          <t>Australia</t>
        </is>
      </c>
      <c r="N414" s="1160" t="inlineStr">
        <is>
          <t>CSB</t>
        </is>
      </c>
      <c r="O414" s="1160" t="n">
        <v>1</v>
      </c>
      <c r="P414" s="1160" t="n"/>
      <c r="Q414" s="1160" t="inlineStr">
        <is>
          <t>V</t>
        </is>
      </c>
      <c r="R414" s="1162" t="n"/>
      <c r="S414" s="1162" t="n"/>
      <c r="T414" s="1162" t="n">
        <v>203550</v>
      </c>
      <c r="U414" s="1174" t="n">
        <v>203550</v>
      </c>
      <c r="V414" s="1166" t="n">
        <v>0.14</v>
      </c>
      <c r="W414" s="1170" t="n">
        <v>0.055</v>
      </c>
      <c r="X414" s="1170" t="n">
        <v>0.12</v>
      </c>
      <c r="Y414" s="1171" t="n"/>
      <c r="Z414" s="1170" t="n">
        <v>0.04</v>
      </c>
      <c r="AA414" s="1168">
        <f>IF(TRIM($B414)="","",IF(N($AU414)&gt;0,$AU414,IF(N($S414)&gt;0,$S414*Lists!$AG$15*(1+N($Z414)),N($U414)*(1+N($V414)+N($W414)+N($X414)+N($Z414))+N($Y414))))</f>
        <v>275810.25</v>
      </c>
      <c r="AB414" s="1238" t="n"/>
      <c r="AC414" s="1238" t="n"/>
      <c r="AD414" s="1238" t="n"/>
      <c r="AE414" s="1238" t="n"/>
      <c r="AF414" s="1238" t="n"/>
      <c r="AG414" s="1238" t="n"/>
      <c r="AH414" s="1238" t="n"/>
      <c r="AJ414" s="865" t="str">
        <f>IF(TRIM($B414)="","",IF(IFERROR(INDEX(Lists!$AO$2:$AO$11,MATCH(ROW(),Lists!$AN$2:$AN$11,0)),"")&lt;&gt;"",IFERROR(INDEX(Lists!$AO$2:$AO$11,MATCH(ROW(),Lists!$AN$2:$AN$11,0)),""),IFERROR(INDEX(Lists!$U:$U,MATCH(TRIM($I414),Lists!$T:$T,0)),TRIM($I414))))</f>
        <v>Energy Solutions &amp; B2B</v>
      </c>
      <c r="AK414" s="865" t="str">
        <f>IF(ISNUMBER(SEARCH("vacant",$B414)),"Vacant","Filled")</f>
        <v>Vacant</v>
      </c>
      <c r="AL414" s="865" t="str">
        <f>IF($M414="NZ","NZ","AU")</f>
        <v>AU</v>
      </c>
      <c r="AM414" s="865">
        <f>COUNTIF($AJ$2:$AJ414,$AJ414)</f>
        <v>27</v>
      </c>
      <c r="AN414" s="865" t="str">
        <f>$AJ414&amp;"|"&amp;$AM414</f>
        <v>Energy Solutions &amp; B2B|27</v>
      </c>
      <c r="AP414" s="1136" t="str">
        <f>IF(TRIM($B414)="","",IF($AQ414=1,"Leadership",IFERROR(INDEX(Lists!$X:$X,MATCH(TRIM($K414),Lists!$W:$W,0)),IF(OR(TRIM($K414)="",LOWER(TRIM($K414))="na"),IF(TRIM($G414)="","Unassigned",TRIM($G414)),TRIM($K414)))))</f>
        <v>Leadership</v>
      </c>
      <c r="AQ414" s="865" t="b">
        <f>IF(TRIM($B414)="","",--OR(TRIM($K414)="Leadership",TRIM($J414)="Leadership"))</f>
        <v>1</v>
      </c>
      <c r="AR414" s="1136" t="str">
        <f>IF(TRIM($B414)="","",IF(IFERROR(INDEX(Lists!$AQ$2:$AQ$11,MATCH(ROW(),Lists!$AN$2:$AN$11,0)),"")&lt;&gt;"",IFERROR(INDEX(Lists!$AQ$2:$AQ$11,MATCH(ROW(),Lists!$AN$2:$AN$11,0)),""),IF(ISNUMBER(SEARCH("head of ",$C414)),"Head of Technology",IF(ISNUMBER(SEARCH("TDD BP",$C414)),"Business Partner",IF(OR(ISNUMBER(SEARCH("domain architect",$C414)),ISNUMBER(SEARCH("enterprise architect",$C414))),"Domain Architect",IF(ISNUMBER(SEARCH("delivery man",$C414)),"Delivery Manager",IF(OR(ISNUMBER(SEARCH("technology manager",$C414)),ISNUMBER(SEARCH("technology manger",$C414)),ISNUMBER(SEARCH("tech manager",$C414))),"Technology Manager","Squad")))))))</f>
        <v>Delivery Manager</v>
      </c>
      <c r="AS414" s="1136" t="str">
        <f>IF(TRIM($B414)="","",IFERROR(INDEX(Lists!$AA:$AA,MATCH($AP414,Lists!$Z:$Z,0)),$AP414))</f>
        <v>Leadership</v>
      </c>
      <c r="AT414" s="1136" t="str">
        <f>IF(TRIM($B414)="","",IF(IFERROR(INDEX(Lists!$AP$2:$AP$11,MATCH(ROW(),Lists!$AN$2:$AN$11,0)),"")&lt;&gt;"",IFERROR(INDEX(Lists!$AP$2:$AP$11,MATCH(ROW(),Lists!$AN$2:$AN$11,0)),""),IF(OR(LEFT($AJ414,3)="COE",$AJ414="EGI"),$AP414,IF($AR414&lt;&gt;"Squad",$AR414,$AP414))))</f>
        <v>Delivery Manager</v>
      </c>
    </row>
    <row r="415" ht="18" customHeight="1" s="866">
      <c r="A415" s="1155" t="inlineStr">
        <is>
          <t>V</t>
        </is>
      </c>
      <c r="B415" s="1156" t="inlineStr">
        <is>
          <t>Vacant</t>
        </is>
      </c>
      <c r="C415" s="1156" t="inlineStr">
        <is>
          <t>Technology Manager, Energy Solutions</t>
        </is>
      </c>
      <c r="D415" s="1158" t="inlineStr">
        <is>
          <t>Liesl Tye</t>
        </is>
      </c>
      <c r="E415" s="1156" t="inlineStr">
        <is>
          <t>Head of Technology, B2B &amp; Energy Solutions</t>
        </is>
      </c>
      <c r="F415" s="1157" t="inlineStr">
        <is>
          <t>TDD CFE&amp;I</t>
        </is>
      </c>
      <c r="G415" s="1158" t="inlineStr">
        <is>
          <t>B2B &amp; Energy Solutions</t>
        </is>
      </c>
      <c r="H415" s="1158" t="inlineStr">
        <is>
          <t>Technology Energy Solutions</t>
        </is>
      </c>
      <c r="I415" s="1158" t="inlineStr">
        <is>
          <t>B2B &amp; Energy Solutions</t>
        </is>
      </c>
      <c r="J415" s="1834" t="inlineStr">
        <is>
          <t>Leadership</t>
        </is>
      </c>
      <c r="K415" s="1156" t="inlineStr">
        <is>
          <t>Leadership</t>
        </is>
      </c>
      <c r="L415" s="1158" t="n"/>
      <c r="M415" s="1183" t="inlineStr">
        <is>
          <t>Australia</t>
        </is>
      </c>
      <c r="N415" s="1160" t="inlineStr">
        <is>
          <t>CSB</t>
        </is>
      </c>
      <c r="O415" s="1160" t="n">
        <v>1</v>
      </c>
      <c r="P415" s="1160" t="n"/>
      <c r="Q415" s="1160" t="inlineStr">
        <is>
          <t>v</t>
        </is>
      </c>
      <c r="R415" s="1162" t="n"/>
      <c r="S415" s="1162" t="n"/>
      <c r="T415" s="1162" t="n">
        <v>203550</v>
      </c>
      <c r="U415" s="1174" t="n">
        <v>203550</v>
      </c>
      <c r="V415" s="1166" t="n">
        <v>0.14</v>
      </c>
      <c r="W415" s="1170" t="n">
        <v>0.055</v>
      </c>
      <c r="X415" s="1170" t="n">
        <v>0.12</v>
      </c>
      <c r="Y415" s="1171" t="n"/>
      <c r="Z415" s="1170" t="n">
        <v>0.04</v>
      </c>
      <c r="AA415" s="1168">
        <f>IF(TRIM($B415)="","",IF(N($AU415)&gt;0,$AU415,IF(N($S415)&gt;0,$S415*Lists!$AG$15*(1+N($Z415)),N($U415)*(1+N($V415)+N($W415)+N($X415)+N($Z415))+N($Y415))))</f>
        <v>275810.25</v>
      </c>
      <c r="AB415" s="1238" t="n"/>
      <c r="AC415" s="1238" t="n"/>
      <c r="AD415" s="1238" t="n"/>
      <c r="AE415" s="1238" t="n"/>
      <c r="AF415" s="1238" t="n"/>
      <c r="AG415" s="1238" t="n"/>
      <c r="AH415" s="1238" t="n"/>
      <c r="AJ415" s="865" t="str">
        <f>IF(TRIM($B415)="","",IF(IFERROR(INDEX(Lists!$AO$2:$AO$11,MATCH(ROW(),Lists!$AN$2:$AN$11,0)),"")&lt;&gt;"",IFERROR(INDEX(Lists!$AO$2:$AO$11,MATCH(ROW(),Lists!$AN$2:$AN$11,0)),""),IFERROR(INDEX(Lists!$U:$U,MATCH(TRIM($I415),Lists!$T:$T,0)),TRIM($I415))))</f>
        <v>Energy Solutions &amp; B2B</v>
      </c>
      <c r="AK415" s="865" t="str">
        <f>IF(ISNUMBER(SEARCH("vacant",$B415)),"Vacant","Filled")</f>
        <v>Vacant</v>
      </c>
      <c r="AL415" s="865" t="str">
        <f>IF($M415="NZ","NZ","AU")</f>
        <v>AU</v>
      </c>
      <c r="AM415" s="865">
        <f>COUNTIF($AJ$2:$AJ415,$AJ415)</f>
        <v>28</v>
      </c>
      <c r="AN415" s="865" t="str">
        <f>$AJ415&amp;"|"&amp;$AM415</f>
        <v>Energy Solutions &amp; B2B|28</v>
      </c>
      <c r="AP415" s="1136" t="str">
        <f>IF(TRIM($B415)="","",IF($AQ415=1,"Leadership",IFERROR(INDEX(Lists!$X:$X,MATCH(TRIM($K415),Lists!$W:$W,0)),IF(OR(TRIM($K415)="",LOWER(TRIM($K415))="na"),IF(TRIM($G415)="","Unassigned",TRIM($G415)),TRIM($K415)))))</f>
        <v>Leadership</v>
      </c>
      <c r="AQ415" s="865" t="b">
        <f>IF(TRIM($B415)="","",--OR(TRIM($K415)="Leadership",TRIM($J415)="Leadership"))</f>
        <v>1</v>
      </c>
      <c r="AR415" s="1136" t="str">
        <f>IF(TRIM($B415)="","",IF(IFERROR(INDEX(Lists!$AQ$2:$AQ$11,MATCH(ROW(),Lists!$AN$2:$AN$11,0)),"")&lt;&gt;"",IFERROR(INDEX(Lists!$AQ$2:$AQ$11,MATCH(ROW(),Lists!$AN$2:$AN$11,0)),""),IF(ISNUMBER(SEARCH("head of ",$C415)),"Head of Technology",IF(ISNUMBER(SEARCH("TDD BP",$C415)),"Business Partner",IF(OR(ISNUMBER(SEARCH("domain architect",$C415)),ISNUMBER(SEARCH("enterprise architect",$C415))),"Domain Architect",IF(ISNUMBER(SEARCH("delivery man",$C415)),"Delivery Manager",IF(OR(ISNUMBER(SEARCH("technology manager",$C415)),ISNUMBER(SEARCH("technology manger",$C415)),ISNUMBER(SEARCH("tech manager",$C415))),"Technology Manager","Squad")))))))</f>
        <v>Technology Manager</v>
      </c>
      <c r="AS415" s="1136" t="str">
        <f>IF(TRIM($B415)="","",IFERROR(INDEX(Lists!$AA:$AA,MATCH($AP415,Lists!$Z:$Z,0)),$AP415))</f>
        <v>Leadership</v>
      </c>
      <c r="AT415" s="1136" t="str">
        <f>IF(TRIM($B415)="","",IF(IFERROR(INDEX(Lists!$AP$2:$AP$11,MATCH(ROW(),Lists!$AN$2:$AN$11,0)),"")&lt;&gt;"",IFERROR(INDEX(Lists!$AP$2:$AP$11,MATCH(ROW(),Lists!$AN$2:$AN$11,0)),""),IF(OR(LEFT($AJ415,3)="COE",$AJ415="EGI"),$AP415,IF($AR415&lt;&gt;"Squad",$AR415,$AP415))))</f>
        <v>Technology Manager</v>
      </c>
    </row>
    <row r="416" ht="18" customHeight="1" s="866">
      <c r="A416" s="1155" t="inlineStr">
        <is>
          <t>V</t>
        </is>
      </c>
      <c r="B416" s="1156" t="inlineStr">
        <is>
          <t>Vacant</t>
        </is>
      </c>
      <c r="C416" s="1156" t="inlineStr">
        <is>
          <t>Engineer Automation - Testing</t>
        </is>
      </c>
      <c r="D416" s="1158" t="inlineStr">
        <is>
          <t>Vacant</t>
        </is>
      </c>
      <c r="E416" s="1156" t="inlineStr">
        <is>
          <t>Technology Manager, Energy Solutions</t>
        </is>
      </c>
      <c r="F416" s="1157" t="inlineStr">
        <is>
          <t>TDD CFE&amp;I</t>
        </is>
      </c>
      <c r="G416" s="1158" t="inlineStr">
        <is>
          <t>B2B &amp; Energy Solutions</t>
        </is>
      </c>
      <c r="H416" s="1158" t="inlineStr">
        <is>
          <t>Technology Energy Solutions</t>
        </is>
      </c>
      <c r="I416" s="1158" t="inlineStr">
        <is>
          <t>B2B &amp; Energy Solutions</t>
        </is>
      </c>
      <c r="J416" s="1158" t="inlineStr">
        <is>
          <t>Energy Solutions</t>
        </is>
      </c>
      <c r="K416" s="1156" t="inlineStr">
        <is>
          <t>Energy</t>
        </is>
      </c>
      <c r="L416" s="1158" t="n"/>
      <c r="M416" s="1183" t="inlineStr">
        <is>
          <t>Australia</t>
        </is>
      </c>
      <c r="N416" s="1160" t="inlineStr">
        <is>
          <t>CIB</t>
        </is>
      </c>
      <c r="O416" s="1160" t="n">
        <v>1</v>
      </c>
      <c r="P416" s="1160" t="n"/>
      <c r="Q416" s="1160" t="inlineStr">
        <is>
          <t>V</t>
        </is>
      </c>
      <c r="R416" s="1162" t="n"/>
      <c r="S416" s="1162" t="n"/>
      <c r="T416" s="1162" t="n">
        <v>151950</v>
      </c>
      <c r="U416" s="1174" t="n">
        <v>151950</v>
      </c>
      <c r="V416" s="1166" t="n">
        <v>0.12</v>
      </c>
      <c r="W416" s="1170" t="n">
        <v>0.055</v>
      </c>
      <c r="X416" s="1170" t="n">
        <v>0.12</v>
      </c>
      <c r="Y416" s="1171" t="n"/>
      <c r="Z416" s="1170" t="n">
        <v>0.04</v>
      </c>
      <c r="AA416" s="1168">
        <f>IF(TRIM($B416)="","",IF(N($AU416)&gt;0,$AU416,IF(N($S416)&gt;0,$S416*Lists!$AG$15*(1+N($Z416)),N($U416)*(1+N($V416)+N($W416)+N($X416)+N($Z416))+N($Y416))))</f>
        <v>202853.25</v>
      </c>
      <c r="AB416" s="1238" t="n"/>
      <c r="AC416" s="1238" t="n"/>
      <c r="AD416" s="1238" t="n"/>
      <c r="AE416" s="1238" t="n"/>
      <c r="AF416" s="1238" t="n"/>
      <c r="AG416" s="1238" t="n"/>
      <c r="AH416" s="1238" t="n"/>
      <c r="AJ416" s="865" t="str">
        <f>IF(TRIM($B416)="","",IF(IFERROR(INDEX(Lists!$AO$2:$AO$11,MATCH(ROW(),Lists!$AN$2:$AN$11,0)),"")&lt;&gt;"",IFERROR(INDEX(Lists!$AO$2:$AO$11,MATCH(ROW(),Lists!$AN$2:$AN$11,0)),""),IFERROR(INDEX(Lists!$U:$U,MATCH(TRIM($I416),Lists!$T:$T,0)),TRIM($I416))))</f>
        <v>Energy Solutions &amp; B2B</v>
      </c>
      <c r="AK416" s="865" t="str">
        <f>IF(ISNUMBER(SEARCH("vacant",$B416)),"Vacant","Filled")</f>
        <v>Vacant</v>
      </c>
      <c r="AL416" s="865" t="str">
        <f>IF($M416="NZ","NZ","AU")</f>
        <v>AU</v>
      </c>
      <c r="AM416" s="865">
        <f>COUNTIF($AJ$2:$AJ416,$AJ416)</f>
        <v>29</v>
      </c>
      <c r="AN416" s="865" t="str">
        <f>$AJ416&amp;"|"&amp;$AM416</f>
        <v>Energy Solutions &amp; B2B|29</v>
      </c>
      <c r="AP416" s="865" t="str">
        <f>IF(TRIM($B416)="","",IF($AQ416=1,"Leadership",IFERROR(INDEX(Lists!$X:$X,MATCH(TRIM($K416),Lists!$W:$W,0)),IF(OR(TRIM($K416)="",LOWER(TRIM($K416))="na"),IF(TRIM($G416)="","Unassigned",TRIM($G416)),TRIM($K416)))))</f>
        <v>Energy</v>
      </c>
      <c r="AQ416" s="865" t="b">
        <f>IF(TRIM($B416)="","",--OR(TRIM($K416)="Leadership",TRIM($J416)="Leadership"))</f>
        <v>0</v>
      </c>
      <c r="AR416" s="1136" t="str">
        <f>IF(TRIM($B416)="","",IF(IFERROR(INDEX(Lists!$AQ$2:$AQ$11,MATCH(ROW(),Lists!$AN$2:$AN$11,0)),"")&lt;&gt;"",IFERROR(INDEX(Lists!$AQ$2:$AQ$11,MATCH(ROW(),Lists!$AN$2:$AN$11,0)),""),IF(ISNUMBER(SEARCH("head of ",$C416)),"Head of Technology",IF(ISNUMBER(SEARCH("TDD BP",$C416)),"Business Partner",IF(OR(ISNUMBER(SEARCH("domain architect",$C416)),ISNUMBER(SEARCH("enterprise architect",$C416))),"Domain Architect",IF(ISNUMBER(SEARCH("delivery man",$C416)),"Delivery Manager",IF(OR(ISNUMBER(SEARCH("technology manager",$C416)),ISNUMBER(SEARCH("technology manger",$C416)),ISNUMBER(SEARCH("tech manager",$C416))),"Technology Manager","Squad")))))))</f>
        <v>Squad</v>
      </c>
      <c r="AS416" s="1136" t="str">
        <f>IF(TRIM($B416)="","",IFERROR(INDEX(Lists!$AA:$AA,MATCH($AP416,Lists!$Z:$Z,0)),$AP416))</f>
        <v>Energy</v>
      </c>
      <c r="AT416" s="1136" t="str">
        <f>IF(TRIM($B416)="","",IF(IFERROR(INDEX(Lists!$AP$2:$AP$11,MATCH(ROW(),Lists!$AN$2:$AN$11,0)),"")&lt;&gt;"",IFERROR(INDEX(Lists!$AP$2:$AP$11,MATCH(ROW(),Lists!$AN$2:$AN$11,0)),""),IF(OR(LEFT($AJ416,3)="COE",$AJ416="EGI"),$AP416,IF($AR416&lt;&gt;"Squad",$AR416,$AP416))))</f>
        <v>Energy</v>
      </c>
    </row>
    <row r="417" ht="18" customHeight="1" s="866">
      <c r="A417" s="1155" t="inlineStr">
        <is>
          <t>V</t>
        </is>
      </c>
      <c r="B417" s="1156" t="inlineStr">
        <is>
          <t>Vacant</t>
        </is>
      </c>
      <c r="C417" s="1156" t="inlineStr">
        <is>
          <t>Snr Engineer Software</t>
        </is>
      </c>
      <c r="D417" s="1158" t="inlineStr">
        <is>
          <t>Vacant</t>
        </is>
      </c>
      <c r="E417" s="1156" t="inlineStr">
        <is>
          <t>Technology Manager, Energy Solutions</t>
        </is>
      </c>
      <c r="F417" s="1157" t="inlineStr">
        <is>
          <t>TDD CFE&amp;I</t>
        </is>
      </c>
      <c r="G417" s="1158" t="inlineStr">
        <is>
          <t>B2B &amp; Energy Solutions</t>
        </is>
      </c>
      <c r="H417" s="1158" t="inlineStr">
        <is>
          <t>Technology Energy Solutions</t>
        </is>
      </c>
      <c r="I417" s="1158" t="inlineStr">
        <is>
          <t>B2B &amp; Energy Solutions</t>
        </is>
      </c>
      <c r="J417" s="1158" t="inlineStr">
        <is>
          <t>Energy Solutions</t>
        </is>
      </c>
      <c r="K417" s="1156" t="inlineStr">
        <is>
          <t>Energy</t>
        </is>
      </c>
      <c r="L417" s="1158" t="n"/>
      <c r="M417" s="1183" t="inlineStr">
        <is>
          <t>Australia</t>
        </is>
      </c>
      <c r="N417" s="1160" t="inlineStr">
        <is>
          <t>CIB</t>
        </is>
      </c>
      <c r="O417" s="1160" t="n">
        <v>1</v>
      </c>
      <c r="P417" s="1160" t="n"/>
      <c r="Q417" s="1160" t="inlineStr">
        <is>
          <t>v</t>
        </is>
      </c>
      <c r="R417" s="1162" t="n"/>
      <c r="S417" s="1162" t="n"/>
      <c r="T417" s="1162" t="n">
        <v>151950</v>
      </c>
      <c r="U417" s="1174" t="n">
        <v>151950</v>
      </c>
      <c r="V417" s="1166" t="n">
        <v>0.12</v>
      </c>
      <c r="W417" s="1170" t="n">
        <v>0.055</v>
      </c>
      <c r="X417" s="1170" t="n">
        <v>0.12</v>
      </c>
      <c r="Y417" s="1171" t="n"/>
      <c r="Z417" s="1170" t="n">
        <v>0.04</v>
      </c>
      <c r="AA417" s="1168">
        <f>IF(TRIM($B417)="","",IF(N($AU417)&gt;0,$AU417,IF(N($S417)&gt;0,$S417*Lists!$AG$15*(1+N($Z417)),N($U417)*(1+N($V417)+N($W417)+N($X417)+N($Z417))+N($Y417))))</f>
        <v>202853.25</v>
      </c>
      <c r="AB417" s="1238" t="n"/>
      <c r="AC417" s="1238" t="n"/>
      <c r="AD417" s="1238" t="n"/>
      <c r="AE417" s="1238" t="n"/>
      <c r="AF417" s="1238" t="n"/>
      <c r="AG417" s="1238" t="n"/>
      <c r="AH417" s="1238" t="n"/>
      <c r="AJ417" s="865" t="str">
        <f>IF(TRIM($B417)="","",IF(IFERROR(INDEX(Lists!$AO$2:$AO$11,MATCH(ROW(),Lists!$AN$2:$AN$11,0)),"")&lt;&gt;"",IFERROR(INDEX(Lists!$AO$2:$AO$11,MATCH(ROW(),Lists!$AN$2:$AN$11,0)),""),IFERROR(INDEX(Lists!$U:$U,MATCH(TRIM($I417),Lists!$T:$T,0)),TRIM($I417))))</f>
        <v>Energy Solutions &amp; B2B</v>
      </c>
      <c r="AK417" s="865" t="str">
        <f>IF(ISNUMBER(SEARCH("vacant",$B417)),"Vacant","Filled")</f>
        <v>Vacant</v>
      </c>
      <c r="AL417" s="865" t="str">
        <f>IF($M417="NZ","NZ","AU")</f>
        <v>AU</v>
      </c>
      <c r="AM417" s="865">
        <f>COUNTIF($AJ$2:$AJ417,$AJ417)</f>
        <v>30</v>
      </c>
      <c r="AN417" s="865" t="str">
        <f>$AJ417&amp;"|"&amp;$AM417</f>
        <v>Energy Solutions &amp; B2B|30</v>
      </c>
      <c r="AP417" s="865" t="str">
        <f>IF(TRIM($B417)="","",IF($AQ417=1,"Leadership",IFERROR(INDEX(Lists!$X:$X,MATCH(TRIM($K417),Lists!$W:$W,0)),IF(OR(TRIM($K417)="",LOWER(TRIM($K417))="na"),IF(TRIM($G417)="","Unassigned",TRIM($G417)),TRIM($K417)))))</f>
        <v>Energy</v>
      </c>
      <c r="AQ417" s="865" t="b">
        <f>IF(TRIM($B417)="","",--OR(TRIM($K417)="Leadership",TRIM($J417)="Leadership"))</f>
        <v>0</v>
      </c>
      <c r="AR417" s="1136" t="str">
        <f>IF(TRIM($B417)="","",IF(IFERROR(INDEX(Lists!$AQ$2:$AQ$11,MATCH(ROW(),Lists!$AN$2:$AN$11,0)),"")&lt;&gt;"",IFERROR(INDEX(Lists!$AQ$2:$AQ$11,MATCH(ROW(),Lists!$AN$2:$AN$11,0)),""),IF(ISNUMBER(SEARCH("head of ",$C417)),"Head of Technology",IF(ISNUMBER(SEARCH("TDD BP",$C417)),"Business Partner",IF(OR(ISNUMBER(SEARCH("domain architect",$C417)),ISNUMBER(SEARCH("enterprise architect",$C417))),"Domain Architect",IF(ISNUMBER(SEARCH("delivery man",$C417)),"Delivery Manager",IF(OR(ISNUMBER(SEARCH("technology manager",$C417)),ISNUMBER(SEARCH("technology manger",$C417)),ISNUMBER(SEARCH("tech manager",$C417))),"Technology Manager","Squad")))))))</f>
        <v>Squad</v>
      </c>
      <c r="AS417" s="1136" t="str">
        <f>IF(TRIM($B417)="","",IFERROR(INDEX(Lists!$AA:$AA,MATCH($AP417,Lists!$Z:$Z,0)),$AP417))</f>
        <v>Energy</v>
      </c>
      <c r="AT417" s="1136" t="str">
        <f>IF(TRIM($B417)="","",IF(IFERROR(INDEX(Lists!$AP$2:$AP$11,MATCH(ROW(),Lists!$AN$2:$AN$11,0)),"")&lt;&gt;"",IFERROR(INDEX(Lists!$AP$2:$AP$11,MATCH(ROW(),Lists!$AN$2:$AN$11,0)),""),IF(OR(LEFT($AJ417,3)="COE",$AJ417="EGI"),$AP417,IF($AR417&lt;&gt;"Squad",$AR417,$AP417))))</f>
        <v>Energy</v>
      </c>
    </row>
    <row r="418" ht="18" customHeight="1" s="866">
      <c r="A418" s="1155" t="inlineStr">
        <is>
          <t>V</t>
        </is>
      </c>
      <c r="B418" s="1156" t="inlineStr">
        <is>
          <t>Vacant</t>
        </is>
      </c>
      <c r="C418" s="1156" t="inlineStr">
        <is>
          <t>Solution Architect</t>
        </is>
      </c>
      <c r="D418" s="1158" t="inlineStr">
        <is>
          <t>Vacant</t>
        </is>
      </c>
      <c r="E418" s="1156" t="inlineStr">
        <is>
          <t>Technology Manager, Energy Solutions</t>
        </is>
      </c>
      <c r="F418" s="1157" t="inlineStr">
        <is>
          <t>TDD CFE&amp;I</t>
        </is>
      </c>
      <c r="G418" s="1158" t="inlineStr">
        <is>
          <t>B2B &amp; Energy Solutions</t>
        </is>
      </c>
      <c r="H418" s="1158" t="inlineStr">
        <is>
          <t>Technology Energy Solutions</t>
        </is>
      </c>
      <c r="I418" s="1158" t="inlineStr">
        <is>
          <t>B2B &amp; Energy Solutions</t>
        </is>
      </c>
      <c r="J418" s="1158" t="inlineStr">
        <is>
          <t>Energy Solutions</t>
        </is>
      </c>
      <c r="K418" s="1156" t="inlineStr">
        <is>
          <t>Energy</t>
        </is>
      </c>
      <c r="L418" s="1158" t="n"/>
      <c r="M418" s="1183" t="inlineStr">
        <is>
          <t>australia</t>
        </is>
      </c>
      <c r="N418" s="1160" t="inlineStr">
        <is>
          <t>CIC</t>
        </is>
      </c>
      <c r="O418" s="1160" t="n">
        <v>1</v>
      </c>
      <c r="P418" s="1160" t="n"/>
      <c r="Q418" s="1160" t="inlineStr">
        <is>
          <t>v</t>
        </is>
      </c>
      <c r="R418" s="1162" t="n"/>
      <c r="S418" s="1162" t="n"/>
      <c r="T418" s="1162" t="n">
        <v>173550</v>
      </c>
      <c r="U418" s="1174" t="n">
        <v>173550</v>
      </c>
      <c r="V418" s="1166" t="n">
        <v>0.12</v>
      </c>
      <c r="W418" s="1170" t="n">
        <v>0.055</v>
      </c>
      <c r="X418" s="1170" t="n">
        <v>0.12</v>
      </c>
      <c r="Y418" s="1171" t="n"/>
      <c r="Z418" s="1170" t="n">
        <v>0.04</v>
      </c>
      <c r="AA418" s="1168">
        <f>IF(TRIM($B418)="","",IF(N($AU418)&gt;0,$AU418,IF(N($S418)&gt;0,$S418*Lists!$AG$15*(1+N($Z418)),N($U418)*(1+N($V418)+N($W418)+N($X418)+N($Z418))+N($Y418))))</f>
        <v>231689.25</v>
      </c>
      <c r="AB418" s="1238" t="n"/>
      <c r="AC418" s="1238" t="n"/>
      <c r="AD418" s="1238" t="n"/>
      <c r="AE418" s="1238" t="n"/>
      <c r="AF418" s="1238" t="n"/>
      <c r="AG418" s="1238" t="n"/>
      <c r="AH418" s="1238" t="n"/>
      <c r="AJ418" s="865" t="str">
        <f>IF(TRIM($B418)="","",IF(IFERROR(INDEX(Lists!$AO$2:$AO$11,MATCH(ROW(),Lists!$AN$2:$AN$11,0)),"")&lt;&gt;"",IFERROR(INDEX(Lists!$AO$2:$AO$11,MATCH(ROW(),Lists!$AN$2:$AN$11,0)),""),IFERROR(INDEX(Lists!$U:$U,MATCH(TRIM($I418),Lists!$T:$T,0)),TRIM($I418))))</f>
        <v>Energy Solutions &amp; B2B</v>
      </c>
      <c r="AK418" s="865" t="str">
        <f>IF(ISNUMBER(SEARCH("vacant",$B418)),"Vacant","Filled")</f>
        <v>Vacant</v>
      </c>
      <c r="AL418" s="865" t="str">
        <f>IF($M418="NZ","NZ","AU")</f>
        <v>AU</v>
      </c>
      <c r="AM418" s="865">
        <f>COUNTIF($AJ$2:$AJ418,$AJ418)</f>
        <v>31</v>
      </c>
      <c r="AN418" s="865" t="str">
        <f>$AJ418&amp;"|"&amp;$AM418</f>
        <v>Energy Solutions &amp; B2B|31</v>
      </c>
      <c r="AP418" s="865" t="str">
        <f>IF(TRIM($B418)="","",IF($AQ418=1,"Leadership",IFERROR(INDEX(Lists!$X:$X,MATCH(TRIM($K418),Lists!$W:$W,0)),IF(OR(TRIM($K418)="",LOWER(TRIM($K418))="na"),IF(TRIM($G418)="","Unassigned",TRIM($G418)),TRIM($K418)))))</f>
        <v>Energy</v>
      </c>
      <c r="AQ418" s="865" t="b">
        <f>IF(TRIM($B418)="","",--OR(TRIM($K418)="Leadership",TRIM($J418)="Leadership"))</f>
        <v>0</v>
      </c>
      <c r="AR418" s="1136" t="str">
        <f>IF(TRIM($B418)="","",IF(IFERROR(INDEX(Lists!$AQ$2:$AQ$11,MATCH(ROW(),Lists!$AN$2:$AN$11,0)),"")&lt;&gt;"",IFERROR(INDEX(Lists!$AQ$2:$AQ$11,MATCH(ROW(),Lists!$AN$2:$AN$11,0)),""),IF(ISNUMBER(SEARCH("head of ",$C418)),"Head of Technology",IF(ISNUMBER(SEARCH("TDD BP",$C418)),"Business Partner",IF(OR(ISNUMBER(SEARCH("domain architect",$C418)),ISNUMBER(SEARCH("enterprise architect",$C418))),"Domain Architect",IF(ISNUMBER(SEARCH("delivery man",$C418)),"Delivery Manager",IF(OR(ISNUMBER(SEARCH("technology manager",$C418)),ISNUMBER(SEARCH("technology manger",$C418)),ISNUMBER(SEARCH("tech manager",$C418))),"Technology Manager","Squad")))))))</f>
        <v>Squad</v>
      </c>
      <c r="AS418" s="1136" t="str">
        <f>IF(TRIM($B418)="","",IFERROR(INDEX(Lists!$AA:$AA,MATCH($AP418,Lists!$Z:$Z,0)),$AP418))</f>
        <v>Energy</v>
      </c>
      <c r="AT418" s="1136" t="str">
        <f>IF(TRIM($B418)="","",IF(IFERROR(INDEX(Lists!$AP$2:$AP$11,MATCH(ROW(),Lists!$AN$2:$AN$11,0)),"")&lt;&gt;"",IFERROR(INDEX(Lists!$AP$2:$AP$11,MATCH(ROW(),Lists!$AN$2:$AN$11,0)),""),IF(OR(LEFT($AJ418,3)="COE",$AJ418="EGI"),$AP418,IF($AR418&lt;&gt;"Squad",$AR418,$AP418))))</f>
        <v>Energy</v>
      </c>
    </row>
    <row r="419" ht="18" customHeight="1" s="866">
      <c r="A419" s="1155" t="inlineStr">
        <is>
          <t>V</t>
        </is>
      </c>
      <c r="B419" s="1156" t="inlineStr">
        <is>
          <t>Vacant</t>
        </is>
      </c>
      <c r="C419" s="1156" t="inlineStr">
        <is>
          <t>System Specialist</t>
        </is>
      </c>
      <c r="D419" s="1156" t="inlineStr">
        <is>
          <t>Allan Francia</t>
        </is>
      </c>
      <c r="E419" s="1156" t="inlineStr">
        <is>
          <t>Technology Manager, T&amp;S</t>
        </is>
      </c>
      <c r="F419" s="1157" t="inlineStr">
        <is>
          <t>TDD CFE&amp;I</t>
        </is>
      </c>
      <c r="G419" s="1158" t="inlineStr">
        <is>
          <t>Commercial Fuels</t>
        </is>
      </c>
      <c r="H419" s="1158" t="inlineStr">
        <is>
          <t>Technology, Trading &amp; Shipping</t>
        </is>
      </c>
      <c r="I419" s="1158" t="inlineStr">
        <is>
          <t>Commercial Fuels</t>
        </is>
      </c>
      <c r="J419" s="1158" t="inlineStr">
        <is>
          <t>Supply</t>
        </is>
      </c>
      <c r="K419" s="1156" t="inlineStr">
        <is>
          <t>Supply</t>
        </is>
      </c>
      <c r="L419" s="1158" t="n"/>
      <c r="M419" s="1183" t="inlineStr">
        <is>
          <t>Australia</t>
        </is>
      </c>
      <c r="N419" s="1160" t="inlineStr">
        <is>
          <t>CIB</t>
        </is>
      </c>
      <c r="O419" s="1160" t="n">
        <v>1</v>
      </c>
      <c r="P419" s="1160" t="n"/>
      <c r="Q419" s="1160" t="inlineStr">
        <is>
          <t>v</t>
        </is>
      </c>
      <c r="R419" s="1162" t="n"/>
      <c r="S419" s="1162" t="n"/>
      <c r="T419" s="1162" t="n">
        <v>151950</v>
      </c>
      <c r="U419" s="1174" t="n">
        <v>151950</v>
      </c>
      <c r="V419" s="1166" t="n">
        <v>0.12</v>
      </c>
      <c r="W419" s="1170" t="n">
        <v>0.055</v>
      </c>
      <c r="X419" s="1170" t="n">
        <v>0.12</v>
      </c>
      <c r="Y419" s="1171" t="n"/>
      <c r="Z419" s="1170" t="n">
        <v>0.04</v>
      </c>
      <c r="AA419" s="1168">
        <f>IF(TRIM($B419)="","",IF(N($AU419)&gt;0,$AU419,IF(N($S419)&gt;0,$S419*Lists!$AG$15*(1+N($Z419)),N($U419)*(1+N($V419)+N($W419)+N($X419)+N($Z419))+N($Y419))))</f>
        <v>202853.25</v>
      </c>
      <c r="AB419" s="1238" t="n"/>
      <c r="AC419" s="1238" t="n"/>
      <c r="AD419" s="1238" t="n"/>
      <c r="AE419" s="1238" t="n"/>
      <c r="AF419" s="1238" t="n"/>
      <c r="AG419" s="1238" t="n"/>
      <c r="AH419" s="1238" t="n"/>
      <c r="AJ419" s="865" t="str">
        <f>IF(TRIM($B419)="","",IF(IFERROR(INDEX(Lists!$AO$2:$AO$11,MATCH(ROW(),Lists!$AN$2:$AN$11,0)),"")&lt;&gt;"",IFERROR(INDEX(Lists!$AO$2:$AO$11,MATCH(ROW(),Lists!$AN$2:$AN$11,0)),""),IFERROR(INDEX(Lists!$U:$U,MATCH(TRIM($I419),Lists!$T:$T,0)),TRIM($I419))))</f>
        <v>Commercial Fuels</v>
      </c>
      <c r="AK419" s="865" t="str">
        <f>IF(ISNUMBER(SEARCH("vacant",$B419)),"Vacant","Filled")</f>
        <v>Vacant</v>
      </c>
      <c r="AL419" s="865" t="str">
        <f>IF($M419="NZ","NZ","AU")</f>
        <v>AU</v>
      </c>
      <c r="AM419" s="865">
        <f>COUNTIF($AJ$2:$AJ419,$AJ419)</f>
        <v>32</v>
      </c>
      <c r="AN419" s="865" t="str">
        <f>$AJ419&amp;"|"&amp;$AM419</f>
        <v>Commercial Fuels|32</v>
      </c>
      <c r="AP419" s="865" t="str">
        <f>IF(TRIM($B419)="","",IF($AQ419=1,"Leadership",IFERROR(INDEX(Lists!$X:$X,MATCH(TRIM($K419),Lists!$W:$W,0)),IF(OR(TRIM($K419)="",LOWER(TRIM($K419))="na"),IF(TRIM($G419)="","Unassigned",TRIM($G419)),TRIM($K419)))))</f>
        <v>Supply</v>
      </c>
      <c r="AQ419" s="865" t="b">
        <f>IF(TRIM($B419)="","",--OR(TRIM($K419)="Leadership",TRIM($J419)="Leadership"))</f>
        <v>0</v>
      </c>
      <c r="AR419" s="1136" t="str">
        <f>IF(TRIM($B419)="","",IF(IFERROR(INDEX(Lists!$AQ$2:$AQ$11,MATCH(ROW(),Lists!$AN$2:$AN$11,0)),"")&lt;&gt;"",IFERROR(INDEX(Lists!$AQ$2:$AQ$11,MATCH(ROW(),Lists!$AN$2:$AN$11,0)),""),IF(ISNUMBER(SEARCH("head of ",$C419)),"Head of Technology",IF(ISNUMBER(SEARCH("TDD BP",$C419)),"Business Partner",IF(OR(ISNUMBER(SEARCH("domain architect",$C419)),ISNUMBER(SEARCH("enterprise architect",$C419))),"Domain Architect",IF(ISNUMBER(SEARCH("delivery man",$C419)),"Delivery Manager",IF(OR(ISNUMBER(SEARCH("technology manager",$C419)),ISNUMBER(SEARCH("technology manger",$C419)),ISNUMBER(SEARCH("tech manager",$C419))),"Technology Manager","Squad")))))))</f>
        <v>Squad</v>
      </c>
      <c r="AS419" s="1136" t="str">
        <f>IF(TRIM($B419)="","",IFERROR(INDEX(Lists!$AA:$AA,MATCH($AP419,Lists!$Z:$Z,0)),$AP419))</f>
        <v>Supply</v>
      </c>
      <c r="AT419" s="1136" t="str">
        <f>IF(TRIM($B419)="","",IF(IFERROR(INDEX(Lists!$AP$2:$AP$11,MATCH(ROW(),Lists!$AN$2:$AN$11,0)),"")&lt;&gt;"",IFERROR(INDEX(Lists!$AP$2:$AP$11,MATCH(ROW(),Lists!$AN$2:$AN$11,0)),""),IF(OR(LEFT($AJ419,3)="COE",$AJ419="EGI"),$AP419,IF($AR419&lt;&gt;"Squad",$AR419,$AP419))))</f>
        <v>Supply</v>
      </c>
    </row>
    <row r="420" ht="18" customHeight="1" s="866">
      <c r="A420" s="1155" t="inlineStr">
        <is>
          <t>V</t>
        </is>
      </c>
      <c r="B420" s="1156" t="inlineStr">
        <is>
          <t>Vacant</t>
        </is>
      </c>
      <c r="C420" s="1156" t="inlineStr">
        <is>
          <t>Tech Support Technician</t>
        </is>
      </c>
      <c r="D420" s="1156" t="inlineStr">
        <is>
          <t>Allan Francia</t>
        </is>
      </c>
      <c r="E420" s="1156" t="inlineStr">
        <is>
          <t>Technology Manager, T&amp;S</t>
        </is>
      </c>
      <c r="F420" s="1157" t="inlineStr">
        <is>
          <t>TDD CFE&amp;I</t>
        </is>
      </c>
      <c r="G420" s="1158" t="inlineStr">
        <is>
          <t>Commercial Fuels</t>
        </is>
      </c>
      <c r="H420" s="1158" t="inlineStr">
        <is>
          <t>Technology, Trading &amp; Shipping</t>
        </is>
      </c>
      <c r="I420" s="1158" t="inlineStr">
        <is>
          <t>Commercial Fuels</t>
        </is>
      </c>
      <c r="J420" s="1158" t="inlineStr">
        <is>
          <t>Trading &amp; Shipping</t>
        </is>
      </c>
      <c r="K420" s="1156" t="inlineStr">
        <is>
          <t>Trading &amp; Shipping</t>
        </is>
      </c>
      <c r="L420" s="1158" t="n"/>
      <c r="M420" s="1183" t="inlineStr">
        <is>
          <t>Australia</t>
        </is>
      </c>
      <c r="N420" s="1160" t="inlineStr">
        <is>
          <t>CDB</t>
        </is>
      </c>
      <c r="O420" s="1160" t="n">
        <v>1</v>
      </c>
      <c r="P420" s="1160" t="n"/>
      <c r="Q420" s="1160" t="inlineStr">
        <is>
          <t>v</t>
        </is>
      </c>
      <c r="R420" s="1162" t="n"/>
      <c r="S420" s="1162" t="n"/>
      <c r="T420" s="1162" t="n">
        <v>94650</v>
      </c>
      <c r="U420" s="1174" t="n">
        <v>94650</v>
      </c>
      <c r="V420" s="1166" t="n">
        <v>0.08</v>
      </c>
      <c r="W420" s="1170" t="n">
        <v>0.055</v>
      </c>
      <c r="X420" s="1170" t="n">
        <v>0.12</v>
      </c>
      <c r="Y420" s="1171" t="n"/>
      <c r="Z420" s="1170" t="n">
        <v>0.04</v>
      </c>
      <c r="AA420" s="1168">
        <f>IF(TRIM($B420)="","",IF(N($AU420)&gt;0,$AU420,IF(N($S420)&gt;0,$S420*Lists!$AG$15*(1+N($Z420)),N($U420)*(1+N($V420)+N($W420)+N($X420)+N($Z420))+N($Y420))))</f>
        <v>122571.75</v>
      </c>
      <c r="AB420" s="1238" t="n"/>
      <c r="AC420" s="1238" t="n"/>
      <c r="AD420" s="1238" t="n"/>
      <c r="AE420" s="1238" t="n"/>
      <c r="AF420" s="1238" t="n"/>
      <c r="AG420" s="1238" t="n"/>
      <c r="AH420" s="1238" t="n"/>
      <c r="AJ420" s="865" t="str">
        <f>IF(TRIM($B420)="","",IF(IFERROR(INDEX(Lists!$AO$2:$AO$11,MATCH(ROW(),Lists!$AN$2:$AN$11,0)),"")&lt;&gt;"",IFERROR(INDEX(Lists!$AO$2:$AO$11,MATCH(ROW(),Lists!$AN$2:$AN$11,0)),""),IFERROR(INDEX(Lists!$U:$U,MATCH(TRIM($I420),Lists!$T:$T,0)),TRIM($I420))))</f>
        <v>Commercial Fuels</v>
      </c>
      <c r="AK420" s="865" t="str">
        <f>IF(ISNUMBER(SEARCH("vacant",$B420)),"Vacant","Filled")</f>
        <v>Vacant</v>
      </c>
      <c r="AL420" s="865" t="str">
        <f>IF($M420="NZ","NZ","AU")</f>
        <v>AU</v>
      </c>
      <c r="AM420" s="865">
        <f>COUNTIF($AJ$2:$AJ420,$AJ420)</f>
        <v>33</v>
      </c>
      <c r="AN420" s="865" t="str">
        <f>$AJ420&amp;"|"&amp;$AM420</f>
        <v>Commercial Fuels|33</v>
      </c>
      <c r="AP420" s="865" t="str">
        <f>IF(TRIM($B420)="","",IF($AQ420=1,"Leadership",IFERROR(INDEX(Lists!$X:$X,MATCH(TRIM($K420),Lists!$W:$W,0)),IF(OR(TRIM($K420)="",LOWER(TRIM($K420))="na"),IF(TRIM($G420)="","Unassigned",TRIM($G420)),TRIM($K420)))))</f>
        <v>Trading &amp; Shipping</v>
      </c>
      <c r="AQ420" s="865" t="b">
        <f>IF(TRIM($B420)="","",--OR(TRIM($K420)="Leadership",TRIM($J420)="Leadership"))</f>
        <v>0</v>
      </c>
      <c r="AR420" s="1136" t="str">
        <f>IF(TRIM($B420)="","",IF(IFERROR(INDEX(Lists!$AQ$2:$AQ$11,MATCH(ROW(),Lists!$AN$2:$AN$11,0)),"")&lt;&gt;"",IFERROR(INDEX(Lists!$AQ$2:$AQ$11,MATCH(ROW(),Lists!$AN$2:$AN$11,0)),""),IF(ISNUMBER(SEARCH("head of ",$C420)),"Head of Technology",IF(ISNUMBER(SEARCH("TDD BP",$C420)),"Business Partner",IF(OR(ISNUMBER(SEARCH("domain architect",$C420)),ISNUMBER(SEARCH("enterprise architect",$C420))),"Domain Architect",IF(ISNUMBER(SEARCH("delivery man",$C420)),"Delivery Manager",IF(OR(ISNUMBER(SEARCH("technology manager",$C420)),ISNUMBER(SEARCH("technology manger",$C420)),ISNUMBER(SEARCH("tech manager",$C420))),"Technology Manager","Squad")))))))</f>
        <v>Squad</v>
      </c>
      <c r="AS420" s="1136" t="str">
        <f>IF(TRIM($B420)="","",IFERROR(INDEX(Lists!$AA:$AA,MATCH($AP420,Lists!$Z:$Z,0)),$AP420))</f>
        <v>Trading &amp; Shipping</v>
      </c>
      <c r="AT420" s="1136" t="str">
        <f>IF(TRIM($B420)="","",IF(IFERROR(INDEX(Lists!$AP$2:$AP$11,MATCH(ROW(),Lists!$AN$2:$AN$11,0)),"")&lt;&gt;"",IFERROR(INDEX(Lists!$AP$2:$AP$11,MATCH(ROW(),Lists!$AN$2:$AN$11,0)),""),IF(OR(LEFT($AJ420,3)="COE",$AJ420="EGI"),$AP420,IF($AR420&lt;&gt;"Squad",$AR420,$AP420))))</f>
        <v>Trading &amp; Shipping</v>
      </c>
    </row>
    <row r="421" ht="18" customHeight="1" s="866">
      <c r="A421" s="1155" t="inlineStr">
        <is>
          <t>V</t>
        </is>
      </c>
      <c r="B421" s="1156" t="inlineStr">
        <is>
          <t>Vacant</t>
        </is>
      </c>
      <c r="C421" s="1156" t="inlineStr">
        <is>
          <t>Delivery Manager</t>
        </is>
      </c>
      <c r="D421" s="1158" t="inlineStr">
        <is>
          <t>Nakul Bharade</t>
        </is>
      </c>
      <c r="E421" s="1156" t="inlineStr">
        <is>
          <t>Head of Technology, Commercial Fuels</t>
        </is>
      </c>
      <c r="F421" s="1157" t="inlineStr">
        <is>
          <t>TDD CFE&amp;I</t>
        </is>
      </c>
      <c r="G421" s="1158" t="inlineStr">
        <is>
          <t>Commercial Fuels</t>
        </is>
      </c>
      <c r="H421" s="1158" t="inlineStr">
        <is>
          <t>Delivery, Commercial Fuels</t>
        </is>
      </c>
      <c r="I421" s="1158" t="inlineStr">
        <is>
          <t>Commercial Fuels</t>
        </is>
      </c>
      <c r="J421" s="1158" t="inlineStr">
        <is>
          <t>Leadership</t>
        </is>
      </c>
      <c r="K421" s="1158" t="inlineStr">
        <is>
          <t>Leadership</t>
        </is>
      </c>
      <c r="L421" s="1158" t="n"/>
      <c r="M421" s="1183" t="inlineStr">
        <is>
          <t>Australia</t>
        </is>
      </c>
      <c r="N421" s="1160" t="inlineStr">
        <is>
          <t>CSB</t>
        </is>
      </c>
      <c r="O421" s="1160" t="n">
        <v>1</v>
      </c>
      <c r="P421" s="1160" t="n"/>
      <c r="Q421" s="1160" t="inlineStr">
        <is>
          <t>V</t>
        </is>
      </c>
      <c r="R421" s="1162" t="n"/>
      <c r="S421" s="1162" t="n"/>
      <c r="T421" s="1162" t="n">
        <v>203550</v>
      </c>
      <c r="U421" s="1174" t="n">
        <v>203550</v>
      </c>
      <c r="V421" s="1166" t="n">
        <v>0.14</v>
      </c>
      <c r="W421" s="1170" t="n">
        <v>0.055</v>
      </c>
      <c r="X421" s="1170" t="n">
        <v>0.12</v>
      </c>
      <c r="Y421" s="1171" t="n"/>
      <c r="Z421" s="1170" t="n">
        <v>0.04</v>
      </c>
      <c r="AA421" s="1168">
        <f>IF(TRIM($B421)="","",IF(N($AU421)&gt;0,$AU421,IF(N($S421)&gt;0,$S421*Lists!$AG$15*(1+N($Z421)),N($U421)*(1+N($V421)+N($W421)+N($X421)+N($Z421))+N($Y421))))</f>
        <v>275810.25</v>
      </c>
      <c r="AB421" s="1238" t="n"/>
      <c r="AC421" s="1238" t="n"/>
      <c r="AD421" s="1238" t="n"/>
      <c r="AE421" s="1238" t="n"/>
      <c r="AF421" s="1238" t="n"/>
      <c r="AG421" s="1238" t="n"/>
      <c r="AH421" s="1238" t="n"/>
      <c r="AJ421" s="865" t="str">
        <f>IF(TRIM($B421)="","",IF(IFERROR(INDEX(Lists!$AO$2:$AO$11,MATCH(ROW(),Lists!$AN$2:$AN$11,0)),"")&lt;&gt;"",IFERROR(INDEX(Lists!$AO$2:$AO$11,MATCH(ROW(),Lists!$AN$2:$AN$11,0)),""),IFERROR(INDEX(Lists!$U:$U,MATCH(TRIM($I421),Lists!$T:$T,0)),TRIM($I421))))</f>
        <v>Commercial Fuels</v>
      </c>
      <c r="AK421" s="865" t="str">
        <f>IF(ISNUMBER(SEARCH("vacant",$B421)),"Vacant","Filled")</f>
        <v>Vacant</v>
      </c>
      <c r="AL421" s="865" t="str">
        <f>IF($M421="NZ","NZ","AU")</f>
        <v>AU</v>
      </c>
      <c r="AM421" s="865">
        <f>COUNTIF($AJ$2:$AJ421,$AJ421)</f>
        <v>34</v>
      </c>
      <c r="AN421" s="865" t="str">
        <f>$AJ421&amp;"|"&amp;$AM421</f>
        <v>Commercial Fuels|34</v>
      </c>
      <c r="AP421" s="1136" t="str">
        <f>IF(TRIM($B421)="","",IF($AQ421=1,"Leadership",IFERROR(INDEX(Lists!$X:$X,MATCH(TRIM($K421),Lists!$W:$W,0)),IF(OR(TRIM($K421)="",LOWER(TRIM($K421))="na"),IF(TRIM($G421)="","Unassigned",TRIM($G421)),TRIM($K421)))))</f>
        <v>Leadership</v>
      </c>
      <c r="AQ421" s="865" t="b">
        <f>IF(TRIM($B421)="","",--OR(TRIM($K421)="Leadership",TRIM($J421)="Leadership"))</f>
        <v>1</v>
      </c>
      <c r="AR421" s="1136" t="str">
        <f>IF(TRIM($B421)="","",IF(IFERROR(INDEX(Lists!$AQ$2:$AQ$11,MATCH(ROW(),Lists!$AN$2:$AN$11,0)),"")&lt;&gt;"",IFERROR(INDEX(Lists!$AQ$2:$AQ$11,MATCH(ROW(),Lists!$AN$2:$AN$11,0)),""),IF(ISNUMBER(SEARCH("head of ",$C421)),"Head of Technology",IF(ISNUMBER(SEARCH("TDD BP",$C421)),"Business Partner",IF(OR(ISNUMBER(SEARCH("domain architect",$C421)),ISNUMBER(SEARCH("enterprise architect",$C421))),"Domain Architect",IF(ISNUMBER(SEARCH("delivery man",$C421)),"Delivery Manager",IF(OR(ISNUMBER(SEARCH("technology manager",$C421)),ISNUMBER(SEARCH("technology manger",$C421)),ISNUMBER(SEARCH("tech manager",$C421))),"Technology Manager","Squad")))))))</f>
        <v>Delivery Manager</v>
      </c>
      <c r="AS421" s="1136" t="str">
        <f>IF(TRIM($B421)="","",IFERROR(INDEX(Lists!$AA:$AA,MATCH($AP421,Lists!$Z:$Z,0)),$AP421))</f>
        <v>Leadership</v>
      </c>
      <c r="AT421" s="1136" t="str">
        <f>IF(TRIM($B421)="","",IF(IFERROR(INDEX(Lists!$AP$2:$AP$11,MATCH(ROW(),Lists!$AN$2:$AN$11,0)),"")&lt;&gt;"",IFERROR(INDEX(Lists!$AP$2:$AP$11,MATCH(ROW(),Lists!$AN$2:$AN$11,0)),""),IF(OR(LEFT($AJ421,3)="COE",$AJ421="EGI"),$AP421,IF($AR421&lt;&gt;"Squad",$AR421,$AP421))))</f>
        <v>Delivery Manager</v>
      </c>
    </row>
    <row r="422" ht="18" customHeight="1" s="866">
      <c r="A422" s="1155" t="inlineStr">
        <is>
          <t>V</t>
        </is>
      </c>
      <c r="B422" s="1156" t="inlineStr">
        <is>
          <t>Vacant</t>
        </is>
      </c>
      <c r="C422" s="1156" t="inlineStr">
        <is>
          <t>Technology Manager, Data</t>
        </is>
      </c>
      <c r="D422" s="1158" t="inlineStr">
        <is>
          <t>Nakul Bharade</t>
        </is>
      </c>
      <c r="E422" s="1156" t="inlineStr">
        <is>
          <t>Head of Technology, Commercial Fuels</t>
        </is>
      </c>
      <c r="F422" s="1157" t="inlineStr">
        <is>
          <t>TDD CFE&amp;I</t>
        </is>
      </c>
      <c r="G422" s="1158" t="inlineStr">
        <is>
          <t>Commercial Fuels</t>
        </is>
      </c>
      <c r="H422" s="1158" t="inlineStr">
        <is>
          <t>Technology, T&amp;S Data</t>
        </is>
      </c>
      <c r="I422" s="1158" t="inlineStr">
        <is>
          <t>Commercial Fuels</t>
        </is>
      </c>
      <c r="J422" s="1158" t="inlineStr">
        <is>
          <t>Leadership</t>
        </is>
      </c>
      <c r="K422" s="1158" t="inlineStr">
        <is>
          <t>Leadership</t>
        </is>
      </c>
      <c r="L422" s="1158" t="n"/>
      <c r="M422" s="1183" t="inlineStr">
        <is>
          <t>Australia</t>
        </is>
      </c>
      <c r="N422" s="1160" t="inlineStr">
        <is>
          <t>CSB</t>
        </is>
      </c>
      <c r="O422" s="1160" t="n">
        <v>1</v>
      </c>
      <c r="P422" s="1160" t="n"/>
      <c r="Q422" s="1160" t="inlineStr">
        <is>
          <t>v</t>
        </is>
      </c>
      <c r="R422" s="1162" t="n"/>
      <c r="S422" s="1162" t="n"/>
      <c r="T422" s="1162" t="n">
        <v>203550</v>
      </c>
      <c r="U422" s="1174" t="n">
        <v>203550</v>
      </c>
      <c r="V422" s="1166" t="n">
        <v>0.14</v>
      </c>
      <c r="W422" s="1170" t="n">
        <v>0.055</v>
      </c>
      <c r="X422" s="1170" t="n">
        <v>0.12</v>
      </c>
      <c r="Y422" s="1171" t="n"/>
      <c r="Z422" s="1170" t="n">
        <v>0.04</v>
      </c>
      <c r="AA422" s="1168">
        <f>IF(TRIM($B422)="","",IF(N($AU422)&gt;0,$AU422,IF(N($S422)&gt;0,$S422*Lists!$AG$15*(1+N($Z422)),N($U422)*(1+N($V422)+N($W422)+N($X422)+N($Z422))+N($Y422))))</f>
        <v>275810.25</v>
      </c>
      <c r="AB422" s="1238" t="n"/>
      <c r="AC422" s="1238" t="n"/>
      <c r="AD422" s="1238" t="n"/>
      <c r="AE422" s="1238" t="n"/>
      <c r="AF422" s="1238" t="n"/>
      <c r="AG422" s="1238" t="n"/>
      <c r="AH422" s="1238" t="n"/>
      <c r="AJ422" s="865" t="str">
        <f>IF(TRIM($B422)="","",IF(IFERROR(INDEX(Lists!$AO$2:$AO$11,MATCH(ROW(),Lists!$AN$2:$AN$11,0)),"")&lt;&gt;"",IFERROR(INDEX(Lists!$AO$2:$AO$11,MATCH(ROW(),Lists!$AN$2:$AN$11,0)),""),IFERROR(INDEX(Lists!$U:$U,MATCH(TRIM($I422),Lists!$T:$T,0)),TRIM($I422))))</f>
        <v>Commercial Fuels</v>
      </c>
      <c r="AK422" s="865" t="str">
        <f>IF(ISNUMBER(SEARCH("vacant",$B422)),"Vacant","Filled")</f>
        <v>Vacant</v>
      </c>
      <c r="AL422" s="865" t="str">
        <f>IF($M422="NZ","NZ","AU")</f>
        <v>AU</v>
      </c>
      <c r="AM422" s="865">
        <f>COUNTIF($AJ$2:$AJ422,$AJ422)</f>
        <v>35</v>
      </c>
      <c r="AN422" s="865" t="str">
        <f>$AJ422&amp;"|"&amp;$AM422</f>
        <v>Commercial Fuels|35</v>
      </c>
      <c r="AP422" s="1136" t="str">
        <f>IF(TRIM($B422)="","",IF($AQ422=1,"Leadership",IFERROR(INDEX(Lists!$X:$X,MATCH(TRIM($K422),Lists!$W:$W,0)),IF(OR(TRIM($K422)="",LOWER(TRIM($K422))="na"),IF(TRIM($G422)="","Unassigned",TRIM($G422)),TRIM($K422)))))</f>
        <v>Leadership</v>
      </c>
      <c r="AQ422" s="865" t="b">
        <f>IF(TRIM($B422)="","",--OR(TRIM($K422)="Leadership",TRIM($J422)="Leadership"))</f>
        <v>1</v>
      </c>
      <c r="AR422" s="1136" t="str">
        <f>IF(TRIM($B422)="","",IF(IFERROR(INDEX(Lists!$AQ$2:$AQ$11,MATCH(ROW(),Lists!$AN$2:$AN$11,0)),"")&lt;&gt;"",IFERROR(INDEX(Lists!$AQ$2:$AQ$11,MATCH(ROW(),Lists!$AN$2:$AN$11,0)),""),IF(ISNUMBER(SEARCH("head of ",$C422)),"Head of Technology",IF(ISNUMBER(SEARCH("TDD BP",$C422)),"Business Partner",IF(OR(ISNUMBER(SEARCH("domain architect",$C422)),ISNUMBER(SEARCH("enterprise architect",$C422))),"Domain Architect",IF(ISNUMBER(SEARCH("delivery man",$C422)),"Delivery Manager",IF(OR(ISNUMBER(SEARCH("technology manager",$C422)),ISNUMBER(SEARCH("technology manger",$C422)),ISNUMBER(SEARCH("tech manager",$C422))),"Technology Manager","Squad")))))))</f>
        <v>Technology Manager</v>
      </c>
      <c r="AS422" s="1136" t="str">
        <f>IF(TRIM($B422)="","",IFERROR(INDEX(Lists!$AA:$AA,MATCH($AP422,Lists!$Z:$Z,0)),$AP422))</f>
        <v>Leadership</v>
      </c>
      <c r="AT422" s="1136" t="str">
        <f>IF(TRIM($B422)="","",IF(IFERROR(INDEX(Lists!$AP$2:$AP$11,MATCH(ROW(),Lists!$AN$2:$AN$11,0)),"")&lt;&gt;"",IFERROR(INDEX(Lists!$AP$2:$AP$11,MATCH(ROW(),Lists!$AN$2:$AN$11,0)),""),IF(OR(LEFT($AJ422,3)="COE",$AJ422="EGI"),$AP422,IF($AR422&lt;&gt;"Squad",$AR422,$AP422))))</f>
        <v>Technology Manager</v>
      </c>
    </row>
    <row r="423" ht="18" customHeight="1" s="866">
      <c r="A423" s="1155" t="inlineStr">
        <is>
          <t>V</t>
        </is>
      </c>
      <c r="B423" s="1156" t="inlineStr">
        <is>
          <t>Vacant</t>
        </is>
      </c>
      <c r="C423" s="1156" t="inlineStr">
        <is>
          <t>Delivery Lead</t>
        </is>
      </c>
      <c r="D423" s="1158" t="inlineStr">
        <is>
          <t>Vacant</t>
        </is>
      </c>
      <c r="E423" s="1156" t="inlineStr">
        <is>
          <t>Delivery Manager</t>
        </is>
      </c>
      <c r="F423" s="1157" t="inlineStr">
        <is>
          <t>TDD CFE&amp;I</t>
        </is>
      </c>
      <c r="G423" s="1158" t="inlineStr">
        <is>
          <t>Commercial Fuels</t>
        </is>
      </c>
      <c r="H423" s="1158" t="inlineStr">
        <is>
          <t>Delivery, Commercial Fuels</t>
        </is>
      </c>
      <c r="I423" s="1158" t="inlineStr">
        <is>
          <t>Commercial Fuels</t>
        </is>
      </c>
      <c r="J423" s="1158" t="inlineStr">
        <is>
          <t>Supply</t>
        </is>
      </c>
      <c r="K423" s="1158" t="inlineStr">
        <is>
          <t>Supply</t>
        </is>
      </c>
      <c r="L423" s="1156" t="n"/>
      <c r="M423" s="1183" t="inlineStr">
        <is>
          <t>Australia</t>
        </is>
      </c>
      <c r="N423" s="1160" t="inlineStr">
        <is>
          <t>CIC</t>
        </is>
      </c>
      <c r="O423" s="1160" t="n">
        <v>1</v>
      </c>
      <c r="P423" s="1160" t="n"/>
      <c r="Q423" s="1160" t="inlineStr">
        <is>
          <t>V</t>
        </is>
      </c>
      <c r="R423" s="1162" t="n"/>
      <c r="S423" s="1162" t="n"/>
      <c r="T423" s="1162" t="n">
        <v>173550</v>
      </c>
      <c r="U423" s="1174" t="n">
        <v>173550</v>
      </c>
      <c r="V423" s="1166" t="n">
        <v>0.12</v>
      </c>
      <c r="W423" s="1170" t="n">
        <v>0.055</v>
      </c>
      <c r="X423" s="1170" t="n">
        <v>0.12</v>
      </c>
      <c r="Y423" s="1171" t="n"/>
      <c r="Z423" s="1170" t="n">
        <v>0.04</v>
      </c>
      <c r="AA423" s="1168">
        <f>IF(TRIM($B423)="","",IF(N($AU423)&gt;0,$AU423,IF(N($S423)&gt;0,$S423*Lists!$AG$15*(1+N($Z423)),N($U423)*(1+N($V423)+N($W423)+N($X423)+N($Z423))+N($Y423))))</f>
        <v>231689.25</v>
      </c>
      <c r="AB423" s="1238" t="n"/>
      <c r="AC423" s="1238" t="n"/>
      <c r="AD423" s="1238" t="n"/>
      <c r="AE423" s="1238" t="n"/>
      <c r="AF423" s="1238" t="n"/>
      <c r="AG423" s="1238" t="n"/>
      <c r="AH423" s="1238" t="n"/>
      <c r="AJ423" s="865" t="str">
        <f>IF(TRIM($B423)="","",IF(IFERROR(INDEX(Lists!$AO$2:$AO$11,MATCH(ROW(),Lists!$AN$2:$AN$11,0)),"")&lt;&gt;"",IFERROR(INDEX(Lists!$AO$2:$AO$11,MATCH(ROW(),Lists!$AN$2:$AN$11,0)),""),IFERROR(INDEX(Lists!$U:$U,MATCH(TRIM($I423),Lists!$T:$T,0)),TRIM($I423))))</f>
        <v>Commercial Fuels</v>
      </c>
      <c r="AK423" s="865" t="str">
        <f>IF(ISNUMBER(SEARCH("vacant",$B423)),"Vacant","Filled")</f>
        <v>Vacant</v>
      </c>
      <c r="AL423" s="865" t="str">
        <f>IF($M423="NZ","NZ","AU")</f>
        <v>AU</v>
      </c>
      <c r="AM423" s="865">
        <f>COUNTIF($AJ$2:$AJ423,$AJ423)</f>
        <v>36</v>
      </c>
      <c r="AN423" s="865" t="str">
        <f>$AJ423&amp;"|"&amp;$AM423</f>
        <v>Commercial Fuels|36</v>
      </c>
      <c r="AP423" s="865" t="str">
        <f>IF(TRIM($B423)="","",IF($AQ423=1,"Leadership",IFERROR(INDEX(Lists!$X:$X,MATCH(TRIM($K423),Lists!$W:$W,0)),IF(OR(TRIM($K423)="",LOWER(TRIM($K423))="na"),IF(TRIM($G423)="","Unassigned",TRIM($G423)),TRIM($K423)))))</f>
        <v>Supply</v>
      </c>
      <c r="AQ423" s="865" t="b">
        <f>IF(TRIM($B423)="","",--OR(TRIM($K423)="Leadership",TRIM($J423)="Leadership"))</f>
        <v>0</v>
      </c>
      <c r="AR423" s="1136" t="str">
        <f>IF(TRIM($B423)="","",IF(IFERROR(INDEX(Lists!$AQ$2:$AQ$11,MATCH(ROW(),Lists!$AN$2:$AN$11,0)),"")&lt;&gt;"",IFERROR(INDEX(Lists!$AQ$2:$AQ$11,MATCH(ROW(),Lists!$AN$2:$AN$11,0)),""),IF(ISNUMBER(SEARCH("head of ",$C423)),"Head of Technology",IF(ISNUMBER(SEARCH("TDD BP",$C423)),"Business Partner",IF(OR(ISNUMBER(SEARCH("domain architect",$C423)),ISNUMBER(SEARCH("enterprise architect",$C423))),"Domain Architect",IF(ISNUMBER(SEARCH("delivery man",$C423)),"Delivery Manager",IF(OR(ISNUMBER(SEARCH("technology manager",$C423)),ISNUMBER(SEARCH("technology manger",$C423)),ISNUMBER(SEARCH("tech manager",$C423))),"Technology Manager","Squad")))))))</f>
        <v>Squad</v>
      </c>
      <c r="AS423" s="1136" t="str">
        <f>IF(TRIM($B423)="","",IFERROR(INDEX(Lists!$AA:$AA,MATCH($AP423,Lists!$Z:$Z,0)),$AP423))</f>
        <v>Supply</v>
      </c>
      <c r="AT423" s="1136" t="str">
        <f>IF(TRIM($B423)="","",IF(IFERROR(INDEX(Lists!$AP$2:$AP$11,MATCH(ROW(),Lists!$AN$2:$AN$11,0)),"")&lt;&gt;"",IFERROR(INDEX(Lists!$AP$2:$AP$11,MATCH(ROW(),Lists!$AN$2:$AN$11,0)),""),IF(OR(LEFT($AJ423,3)="COE",$AJ423="EGI"),$AP423,IF($AR423&lt;&gt;"Squad",$AR423,$AP423))))</f>
        <v>Supply</v>
      </c>
    </row>
    <row r="424" ht="18" customHeight="1" s="866">
      <c r="A424" s="1155" t="inlineStr">
        <is>
          <t>V</t>
        </is>
      </c>
      <c r="B424" s="1156" t="inlineStr">
        <is>
          <t>Vacant</t>
        </is>
      </c>
      <c r="C424" s="1156" t="inlineStr">
        <is>
          <t>Delivery Lead</t>
        </is>
      </c>
      <c r="D424" s="1158" t="inlineStr">
        <is>
          <t>Vacant</t>
        </is>
      </c>
      <c r="E424" s="1156" t="inlineStr">
        <is>
          <t>Delivery Manager</t>
        </is>
      </c>
      <c r="F424" s="1157" t="inlineStr">
        <is>
          <t>TDD CFE&amp;I</t>
        </is>
      </c>
      <c r="G424" s="1158" t="inlineStr">
        <is>
          <t>Commercial Fuels</t>
        </is>
      </c>
      <c r="H424" s="1158" t="inlineStr">
        <is>
          <t>Delivery, Commercial Fuels</t>
        </is>
      </c>
      <c r="I424" s="1158" t="inlineStr">
        <is>
          <t>Commercial Fuels</t>
        </is>
      </c>
      <c r="J424" s="1158" t="inlineStr">
        <is>
          <t>Trading &amp; Shipping</t>
        </is>
      </c>
      <c r="K424" s="1158" t="inlineStr">
        <is>
          <t>Trading &amp; Shipping</t>
        </is>
      </c>
      <c r="L424" s="1156" t="n"/>
      <c r="M424" s="1183" t="inlineStr">
        <is>
          <t>Australia</t>
        </is>
      </c>
      <c r="N424" s="1160" t="inlineStr">
        <is>
          <t>CIC</t>
        </is>
      </c>
      <c r="O424" s="1160" t="n">
        <v>1</v>
      </c>
      <c r="P424" s="1160" t="n"/>
      <c r="Q424" s="1160" t="inlineStr">
        <is>
          <t>V</t>
        </is>
      </c>
      <c r="R424" s="1162" t="n"/>
      <c r="S424" s="1162" t="n"/>
      <c r="T424" s="1162" t="n">
        <v>173550</v>
      </c>
      <c r="U424" s="1174" t="n">
        <v>173550</v>
      </c>
      <c r="V424" s="1166" t="n">
        <v>0.12</v>
      </c>
      <c r="W424" s="1170" t="n">
        <v>0.055</v>
      </c>
      <c r="X424" s="1170" t="n">
        <v>0.12</v>
      </c>
      <c r="Y424" s="1171" t="n"/>
      <c r="Z424" s="1170" t="n">
        <v>0.04</v>
      </c>
      <c r="AA424" s="1168">
        <f>IF(TRIM($B424)="","",IF(N($AU424)&gt;0,$AU424,IF(N($S424)&gt;0,$S424*Lists!$AG$15*(1+N($Z424)),N($U424)*(1+N($V424)+N($W424)+N($X424)+N($Z424))+N($Y424))))</f>
        <v>231689.25</v>
      </c>
      <c r="AB424" s="1238" t="n"/>
      <c r="AC424" s="1238" t="n"/>
      <c r="AD424" s="1238" t="n"/>
      <c r="AE424" s="1238" t="n"/>
      <c r="AF424" s="1238" t="n"/>
      <c r="AG424" s="1238" t="n"/>
      <c r="AH424" s="1238" t="n"/>
      <c r="AJ424" s="865" t="str">
        <f>IF(TRIM($B424)="","",IF(IFERROR(INDEX(Lists!$AO$2:$AO$11,MATCH(ROW(),Lists!$AN$2:$AN$11,0)),"")&lt;&gt;"",IFERROR(INDEX(Lists!$AO$2:$AO$11,MATCH(ROW(),Lists!$AN$2:$AN$11,0)),""),IFERROR(INDEX(Lists!$U:$U,MATCH(TRIM($I424),Lists!$T:$T,0)),TRIM($I424))))</f>
        <v>Commercial Fuels</v>
      </c>
      <c r="AK424" s="865" t="str">
        <f>IF(ISNUMBER(SEARCH("vacant",$B424)),"Vacant","Filled")</f>
        <v>Vacant</v>
      </c>
      <c r="AL424" s="865" t="str">
        <f>IF($M424="NZ","NZ","AU")</f>
        <v>AU</v>
      </c>
      <c r="AM424" s="865">
        <f>COUNTIF($AJ$2:$AJ424,$AJ424)</f>
        <v>37</v>
      </c>
      <c r="AN424" s="865" t="str">
        <f>$AJ424&amp;"|"&amp;$AM424</f>
        <v>Commercial Fuels|37</v>
      </c>
      <c r="AP424" s="865" t="str">
        <f>IF(TRIM($B424)="","",IF($AQ424=1,"Leadership",IFERROR(INDEX(Lists!$X:$X,MATCH(TRIM($K424),Lists!$W:$W,0)),IF(OR(TRIM($K424)="",LOWER(TRIM($K424))="na"),IF(TRIM($G424)="","Unassigned",TRIM($G424)),TRIM($K424)))))</f>
        <v>Trading &amp; Shipping</v>
      </c>
      <c r="AQ424" s="865" t="b">
        <f>IF(TRIM($B424)="","",--OR(TRIM($K424)="Leadership",TRIM($J424)="Leadership"))</f>
        <v>0</v>
      </c>
      <c r="AR424" s="1136" t="str">
        <f>IF(TRIM($B424)="","",IF(IFERROR(INDEX(Lists!$AQ$2:$AQ$11,MATCH(ROW(),Lists!$AN$2:$AN$11,0)),"")&lt;&gt;"",IFERROR(INDEX(Lists!$AQ$2:$AQ$11,MATCH(ROW(),Lists!$AN$2:$AN$11,0)),""),IF(ISNUMBER(SEARCH("head of ",$C424)),"Head of Technology",IF(ISNUMBER(SEARCH("TDD BP",$C424)),"Business Partner",IF(OR(ISNUMBER(SEARCH("domain architect",$C424)),ISNUMBER(SEARCH("enterprise architect",$C424))),"Domain Architect",IF(ISNUMBER(SEARCH("delivery man",$C424)),"Delivery Manager",IF(OR(ISNUMBER(SEARCH("technology manager",$C424)),ISNUMBER(SEARCH("technology manger",$C424)),ISNUMBER(SEARCH("tech manager",$C424))),"Technology Manager","Squad")))))))</f>
        <v>Squad</v>
      </c>
      <c r="AS424" s="1136" t="str">
        <f>IF(TRIM($B424)="","",IFERROR(INDEX(Lists!$AA:$AA,MATCH($AP424,Lists!$Z:$Z,0)),$AP424))</f>
        <v>Trading &amp; Shipping</v>
      </c>
      <c r="AT424" s="1136" t="str">
        <f>IF(TRIM($B424)="","",IF(IFERROR(INDEX(Lists!$AP$2:$AP$11,MATCH(ROW(),Lists!$AN$2:$AN$11,0)),"")&lt;&gt;"",IFERROR(INDEX(Lists!$AP$2:$AP$11,MATCH(ROW(),Lists!$AN$2:$AN$11,0)),""),IF(OR(LEFT($AJ424,3)="COE",$AJ424="EGI"),$AP424,IF($AR424&lt;&gt;"Squad",$AR424,$AP424))))</f>
        <v>Trading &amp; Shipping</v>
      </c>
    </row>
    <row r="425" ht="18" customHeight="1" s="866">
      <c r="A425" s="1155" t="inlineStr">
        <is>
          <t>V</t>
        </is>
      </c>
      <c r="B425" s="1156" t="inlineStr">
        <is>
          <t>Vacant</t>
        </is>
      </c>
      <c r="C425" s="1156" t="inlineStr">
        <is>
          <t>Quality Assurance</t>
        </is>
      </c>
      <c r="D425" s="1158" t="inlineStr">
        <is>
          <t>Vacant</t>
        </is>
      </c>
      <c r="E425" s="1156" t="inlineStr">
        <is>
          <t>Technology Manager, Engineering</t>
        </is>
      </c>
      <c r="F425" s="1157" t="inlineStr">
        <is>
          <t>TDD CFE&amp;I</t>
        </is>
      </c>
      <c r="G425" s="1158" t="inlineStr">
        <is>
          <t>Commercial Fuels</t>
        </is>
      </c>
      <c r="H425" s="1158" t="inlineStr">
        <is>
          <t>Technology, CF Engineering</t>
        </is>
      </c>
      <c r="I425" s="1158" t="inlineStr">
        <is>
          <t>Commercial Fuels</t>
        </is>
      </c>
      <c r="J425" s="1158" t="inlineStr">
        <is>
          <t>Trading &amp; Shipping</t>
        </is>
      </c>
      <c r="K425" s="1156" t="inlineStr">
        <is>
          <t>Trading &amp; Shipping</t>
        </is>
      </c>
      <c r="L425" s="1158" t="n"/>
      <c r="M425" s="1183" t="inlineStr">
        <is>
          <t>Australia</t>
        </is>
      </c>
      <c r="N425" s="1160" t="inlineStr">
        <is>
          <t>CIA</t>
        </is>
      </c>
      <c r="O425" s="1160" t="n">
        <v>1</v>
      </c>
      <c r="P425" s="1160" t="n"/>
      <c r="Q425" s="1160" t="inlineStr">
        <is>
          <t>v</t>
        </is>
      </c>
      <c r="R425" s="1162" t="n"/>
      <c r="S425" s="1162" t="n"/>
      <c r="T425" s="1162" t="n">
        <v>129650</v>
      </c>
      <c r="U425" s="1174" t="n">
        <v>129650</v>
      </c>
      <c r="V425" s="1166" t="n">
        <v>0.1</v>
      </c>
      <c r="W425" s="1170" t="n">
        <v>0.055</v>
      </c>
      <c r="X425" s="1170" t="n">
        <v>0.12</v>
      </c>
      <c r="Y425" s="1171" t="n"/>
      <c r="Z425" s="1170" t="n">
        <v>0.04</v>
      </c>
      <c r="AA425" s="1168">
        <f>IF(TRIM($B425)="","",IF(N($AU425)&gt;0,$AU425,IF(N($S425)&gt;0,$S425*Lists!$AG$15*(1+N($Z425)),N($U425)*(1+N($V425)+N($W425)+N($X425)+N($Z425))+N($Y425))))</f>
        <v>170489.75</v>
      </c>
      <c r="AB425" s="1238" t="n"/>
      <c r="AC425" s="1238" t="n"/>
      <c r="AD425" s="1238" t="n"/>
      <c r="AE425" s="1238" t="n"/>
      <c r="AF425" s="1238" t="n"/>
      <c r="AG425" s="1238" t="n"/>
      <c r="AH425" s="1238" t="n"/>
      <c r="AJ425" s="865" t="str">
        <f>IF(TRIM($B425)="","",IF(IFERROR(INDEX(Lists!$AO$2:$AO$11,MATCH(ROW(),Lists!$AN$2:$AN$11,0)),"")&lt;&gt;"",IFERROR(INDEX(Lists!$AO$2:$AO$11,MATCH(ROW(),Lists!$AN$2:$AN$11,0)),""),IFERROR(INDEX(Lists!$U:$U,MATCH(TRIM($I425),Lists!$T:$T,0)),TRIM($I425))))</f>
        <v>Commercial Fuels</v>
      </c>
      <c r="AK425" s="865" t="str">
        <f>IF(ISNUMBER(SEARCH("vacant",$B425)),"Vacant","Filled")</f>
        <v>Vacant</v>
      </c>
      <c r="AL425" s="865" t="str">
        <f>IF($M425="NZ","NZ","AU")</f>
        <v>AU</v>
      </c>
      <c r="AM425" s="865">
        <f>COUNTIF($AJ$2:$AJ425,$AJ425)</f>
        <v>38</v>
      </c>
      <c r="AN425" s="865" t="str">
        <f>$AJ425&amp;"|"&amp;$AM425</f>
        <v>Commercial Fuels|38</v>
      </c>
      <c r="AP425" s="865" t="str">
        <f>IF(TRIM($B425)="","",IF($AQ425=1,"Leadership",IFERROR(INDEX(Lists!$X:$X,MATCH(TRIM($K425),Lists!$W:$W,0)),IF(OR(TRIM($K425)="",LOWER(TRIM($K425))="na"),IF(TRIM($G425)="","Unassigned",TRIM($G425)),TRIM($K425)))))</f>
        <v>Trading &amp; Shipping</v>
      </c>
      <c r="AQ425" s="865" t="b">
        <f>IF(TRIM($B425)="","",--OR(TRIM($K425)="Leadership",TRIM($J425)="Leadership"))</f>
        <v>0</v>
      </c>
      <c r="AR425" s="1136" t="str">
        <f>IF(TRIM($B425)="","",IF(IFERROR(INDEX(Lists!$AQ$2:$AQ$11,MATCH(ROW(),Lists!$AN$2:$AN$11,0)),"")&lt;&gt;"",IFERROR(INDEX(Lists!$AQ$2:$AQ$11,MATCH(ROW(),Lists!$AN$2:$AN$11,0)),""),IF(ISNUMBER(SEARCH("head of ",$C425)),"Head of Technology",IF(ISNUMBER(SEARCH("TDD BP",$C425)),"Business Partner",IF(OR(ISNUMBER(SEARCH("domain architect",$C425)),ISNUMBER(SEARCH("enterprise architect",$C425))),"Domain Architect",IF(ISNUMBER(SEARCH("delivery man",$C425)),"Delivery Manager",IF(OR(ISNUMBER(SEARCH("technology manager",$C425)),ISNUMBER(SEARCH("technology manger",$C425)),ISNUMBER(SEARCH("tech manager",$C425))),"Technology Manager","Squad")))))))</f>
        <v>Squad</v>
      </c>
      <c r="AS425" s="1136" t="str">
        <f>IF(TRIM($B425)="","",IFERROR(INDEX(Lists!$AA:$AA,MATCH($AP425,Lists!$Z:$Z,0)),$AP425))</f>
        <v>Trading &amp; Shipping</v>
      </c>
      <c r="AT425" s="1136" t="str">
        <f>IF(TRIM($B425)="","",IF(IFERROR(INDEX(Lists!$AP$2:$AP$11,MATCH(ROW(),Lists!$AN$2:$AN$11,0)),"")&lt;&gt;"",IFERROR(INDEX(Lists!$AP$2:$AP$11,MATCH(ROW(),Lists!$AN$2:$AN$11,0)),""),IF(OR(LEFT($AJ425,3)="COE",$AJ425="EGI"),$AP425,IF($AR425&lt;&gt;"Squad",$AR425,$AP425))))</f>
        <v>Trading &amp; Shipping</v>
      </c>
    </row>
    <row r="426" ht="18" customHeight="1" s="866">
      <c r="A426" s="1155" t="inlineStr">
        <is>
          <t>V</t>
        </is>
      </c>
      <c r="B426" s="1156" t="inlineStr">
        <is>
          <t>Vacant</t>
        </is>
      </c>
      <c r="C426" s="1156" t="inlineStr">
        <is>
          <t>Delivery manager</t>
        </is>
      </c>
      <c r="D426" s="1156" t="inlineStr">
        <is>
          <t>Amish Pandit</t>
        </is>
      </c>
      <c r="E426" s="1156" t="inlineStr">
        <is>
          <t>Head of Technology, Fuel Infrastructure</t>
        </is>
      </c>
      <c r="F426" s="1157" t="inlineStr">
        <is>
          <t>TDD CFE&amp;I</t>
        </is>
      </c>
      <c r="G426" s="1158" t="inlineStr">
        <is>
          <t>Fuel Infrastructure</t>
        </is>
      </c>
      <c r="H426" s="1158" t="inlineStr">
        <is>
          <t>Fuel Infrastructure, Delivery</t>
        </is>
      </c>
      <c r="I426" s="1158" t="inlineStr">
        <is>
          <t>Infrastructure</t>
        </is>
      </c>
      <c r="J426" s="1158" t="inlineStr">
        <is>
          <t xml:space="preserve">Leadership </t>
        </is>
      </c>
      <c r="K426" s="1156" t="inlineStr">
        <is>
          <t>Leadership</t>
        </is>
      </c>
      <c r="L426" s="1158" t="n"/>
      <c r="M426" s="1183" t="inlineStr">
        <is>
          <t>Australia</t>
        </is>
      </c>
      <c r="N426" s="1160" t="inlineStr">
        <is>
          <t>CSB</t>
        </is>
      </c>
      <c r="O426" s="1160" t="n">
        <v>1</v>
      </c>
      <c r="P426" s="1160" t="n"/>
      <c r="Q426" s="1160" t="inlineStr">
        <is>
          <t>V</t>
        </is>
      </c>
      <c r="R426" s="1162" t="n"/>
      <c r="S426" s="1162" t="n"/>
      <c r="T426" s="1162" t="n">
        <v>203550</v>
      </c>
      <c r="U426" s="1174" t="n">
        <v>203550</v>
      </c>
      <c r="V426" s="1166" t="n">
        <v>0.14</v>
      </c>
      <c r="W426" s="1170" t="n">
        <v>0.055</v>
      </c>
      <c r="X426" s="1170" t="n">
        <v>0.12</v>
      </c>
      <c r="Y426" s="1171" t="n"/>
      <c r="Z426" s="1170" t="n">
        <v>0.04</v>
      </c>
      <c r="AA426" s="1168">
        <f>IF(TRIM($B426)="","",IF(N($AU426)&gt;0,$AU426,IF(N($S426)&gt;0,$S426*Lists!$AG$15*(1+N($Z426)),N($U426)*(1+N($V426)+N($W426)+N($X426)+N($Z426))+N($Y426))))</f>
        <v>275810.25</v>
      </c>
      <c r="AB426" s="1238" t="n"/>
      <c r="AC426" s="1238" t="n"/>
      <c r="AD426" s="1238" t="n"/>
      <c r="AE426" s="1238" t="n"/>
      <c r="AF426" s="1238" t="n"/>
      <c r="AG426" s="1238" t="n"/>
      <c r="AH426" s="1238" t="n"/>
      <c r="AJ426" s="865" t="str">
        <f>IF(TRIM($B426)="","",IF(IFERROR(INDEX(Lists!$AO$2:$AO$11,MATCH(ROW(),Lists!$AN$2:$AN$11,0)),"")&lt;&gt;"",IFERROR(INDEX(Lists!$AO$2:$AO$11,MATCH(ROW(),Lists!$AN$2:$AN$11,0)),""),IFERROR(INDEX(Lists!$U:$U,MATCH(TRIM($I426),Lists!$T:$T,0)),TRIM($I426))))</f>
        <v>Infrastructure</v>
      </c>
      <c r="AK426" s="865" t="str">
        <f>IF(ISNUMBER(SEARCH("vacant",$B426)),"Vacant","Filled")</f>
        <v>Vacant</v>
      </c>
      <c r="AL426" s="865" t="str">
        <f>IF($M426="NZ","NZ","AU")</f>
        <v>AU</v>
      </c>
      <c r="AM426" s="865">
        <f>COUNTIF($AJ$2:$AJ426,$AJ426)</f>
        <v>24</v>
      </c>
      <c r="AN426" s="865" t="str">
        <f>$AJ426&amp;"|"&amp;$AM426</f>
        <v>Infrastructure|24</v>
      </c>
      <c r="AP426" s="1136" t="str">
        <f>IF(TRIM($B426)="","",IF($AQ426=1,"Leadership",IFERROR(INDEX(Lists!$X:$X,MATCH(TRIM($K426),Lists!$W:$W,0)),IF(OR(TRIM($K426)="",LOWER(TRIM($K426))="na"),IF(TRIM($G426)="","Unassigned",TRIM($G426)),TRIM($K426)))))</f>
        <v>Leadership</v>
      </c>
      <c r="AQ426" s="865" t="b">
        <f>IF(TRIM($B426)="","",--OR(TRIM($K426)="Leadership",TRIM($J426)="Leadership"))</f>
        <v>1</v>
      </c>
      <c r="AR426" s="1136" t="str">
        <f>IF(TRIM($B426)="","",IF(IFERROR(INDEX(Lists!$AQ$2:$AQ$11,MATCH(ROW(),Lists!$AN$2:$AN$11,0)),"")&lt;&gt;"",IFERROR(INDEX(Lists!$AQ$2:$AQ$11,MATCH(ROW(),Lists!$AN$2:$AN$11,0)),""),IF(ISNUMBER(SEARCH("head of ",$C426)),"Head of Technology",IF(ISNUMBER(SEARCH("TDD BP",$C426)),"Business Partner",IF(OR(ISNUMBER(SEARCH("domain architect",$C426)),ISNUMBER(SEARCH("enterprise architect",$C426))),"Domain Architect",IF(ISNUMBER(SEARCH("delivery man",$C426)),"Delivery Manager",IF(OR(ISNUMBER(SEARCH("technology manager",$C426)),ISNUMBER(SEARCH("technology manger",$C426)),ISNUMBER(SEARCH("tech manager",$C426))),"Technology Manager","Squad")))))))</f>
        <v>Delivery Manager</v>
      </c>
      <c r="AS426" s="1136" t="str">
        <f>IF(TRIM($B426)="","",IFERROR(INDEX(Lists!$AA:$AA,MATCH($AP426,Lists!$Z:$Z,0)),$AP426))</f>
        <v>Leadership</v>
      </c>
      <c r="AT426" s="1136" t="str">
        <f>IF(TRIM($B426)="","",IF(IFERROR(INDEX(Lists!$AP$2:$AP$11,MATCH(ROW(),Lists!$AN$2:$AN$11,0)),"")&lt;&gt;"",IFERROR(INDEX(Lists!$AP$2:$AP$11,MATCH(ROW(),Lists!$AN$2:$AN$11,0)),""),IF(OR(LEFT($AJ426,3)="COE",$AJ426="EGI"),$AP426,IF($AR426&lt;&gt;"Squad",$AR426,$AP426))))</f>
        <v>Delivery Manager</v>
      </c>
    </row>
    <row r="427" ht="18" customHeight="1" s="866">
      <c r="A427" s="1155" t="inlineStr">
        <is>
          <t>V</t>
        </is>
      </c>
      <c r="B427" s="1156" t="inlineStr">
        <is>
          <t>Vacant</t>
        </is>
      </c>
      <c r="C427" s="1156" t="inlineStr">
        <is>
          <t>Technology Manager Data</t>
        </is>
      </c>
      <c r="D427" s="1156" t="inlineStr">
        <is>
          <t>Amish Pandit</t>
        </is>
      </c>
      <c r="E427" s="1156" t="inlineStr">
        <is>
          <t>Head of Technology, Fuel Infrastructure</t>
        </is>
      </c>
      <c r="F427" s="1157" t="inlineStr">
        <is>
          <t>TDD CFE&amp;I</t>
        </is>
      </c>
      <c r="G427" s="1158" t="inlineStr">
        <is>
          <t>Fuel Infrastructure</t>
        </is>
      </c>
      <c r="H427" s="1158" t="inlineStr">
        <is>
          <t>Fuel Infrastructure, Data</t>
        </is>
      </c>
      <c r="I427" s="1158" t="inlineStr">
        <is>
          <t>Infrastructure</t>
        </is>
      </c>
      <c r="J427" s="1156" t="inlineStr">
        <is>
          <t>Leadership</t>
        </is>
      </c>
      <c r="K427" s="1156" t="inlineStr">
        <is>
          <t>Leadership</t>
        </is>
      </c>
      <c r="L427" s="1158" t="n"/>
      <c r="M427" s="1183" t="inlineStr">
        <is>
          <t>Australia</t>
        </is>
      </c>
      <c r="N427" s="1160" t="inlineStr">
        <is>
          <t>CSB</t>
        </is>
      </c>
      <c r="O427" s="1160" t="n">
        <v>1</v>
      </c>
      <c r="P427" s="1160" t="n"/>
      <c r="Q427" s="1160" t="inlineStr">
        <is>
          <t>v</t>
        </is>
      </c>
      <c r="R427" s="1162" t="n"/>
      <c r="S427" s="1162" t="n"/>
      <c r="T427" s="1162" t="n">
        <v>203550</v>
      </c>
      <c r="U427" s="1174" t="n">
        <v>203550</v>
      </c>
      <c r="V427" s="1166" t="n">
        <v>0.14</v>
      </c>
      <c r="W427" s="1170" t="n">
        <v>0.055</v>
      </c>
      <c r="X427" s="1170" t="n">
        <v>0.12</v>
      </c>
      <c r="Y427" s="1171" t="n"/>
      <c r="Z427" s="1170" t="n">
        <v>0.04</v>
      </c>
      <c r="AA427" s="1168">
        <f>IF(TRIM($B427)="","",IF(N($AU427)&gt;0,$AU427,IF(N($S427)&gt;0,$S427*Lists!$AG$15*(1+N($Z427)),N($U427)*(1+N($V427)+N($W427)+N($X427)+N($Z427))+N($Y427))))</f>
        <v>275810.25</v>
      </c>
      <c r="AB427" s="1238" t="n"/>
      <c r="AC427" s="1238" t="n"/>
      <c r="AD427" s="1238" t="n"/>
      <c r="AE427" s="1238" t="n"/>
      <c r="AF427" s="1238" t="n"/>
      <c r="AG427" s="1238" t="n"/>
      <c r="AH427" s="1238" t="n"/>
      <c r="AJ427" s="865" t="str">
        <f>IF(TRIM($B427)="","",IF(IFERROR(INDEX(Lists!$AO$2:$AO$11,MATCH(ROW(),Lists!$AN$2:$AN$11,0)),"")&lt;&gt;"",IFERROR(INDEX(Lists!$AO$2:$AO$11,MATCH(ROW(),Lists!$AN$2:$AN$11,0)),""),IFERROR(INDEX(Lists!$U:$U,MATCH(TRIM($I427),Lists!$T:$T,0)),TRIM($I427))))</f>
        <v>Infrastructure</v>
      </c>
      <c r="AK427" s="865" t="str">
        <f>IF(ISNUMBER(SEARCH("vacant",$B427)),"Vacant","Filled")</f>
        <v>Vacant</v>
      </c>
      <c r="AL427" s="865" t="str">
        <f>IF($M427="NZ","NZ","AU")</f>
        <v>AU</v>
      </c>
      <c r="AM427" s="865">
        <f>COUNTIF($AJ$2:$AJ427,$AJ427)</f>
        <v>25</v>
      </c>
      <c r="AN427" s="865" t="str">
        <f>$AJ427&amp;"|"&amp;$AM427</f>
        <v>Infrastructure|25</v>
      </c>
      <c r="AP427" s="1136" t="str">
        <f>IF(TRIM($B427)="","",IF($AQ427=1,"Leadership",IFERROR(INDEX(Lists!$X:$X,MATCH(TRIM($K427),Lists!$W:$W,0)),IF(OR(TRIM($K427)="",LOWER(TRIM($K427))="na"),IF(TRIM($G427)="","Unassigned",TRIM($G427)),TRIM($K427)))))</f>
        <v>Leadership</v>
      </c>
      <c r="AQ427" s="865" t="b">
        <f>IF(TRIM($B427)="","",--OR(TRIM($K427)="Leadership",TRIM($J427)="Leadership"))</f>
        <v>1</v>
      </c>
      <c r="AR427" s="1136" t="str">
        <f>IF(TRIM($B427)="","",IF(IFERROR(INDEX(Lists!$AQ$2:$AQ$11,MATCH(ROW(),Lists!$AN$2:$AN$11,0)),"")&lt;&gt;"",IFERROR(INDEX(Lists!$AQ$2:$AQ$11,MATCH(ROW(),Lists!$AN$2:$AN$11,0)),""),IF(ISNUMBER(SEARCH("head of ",$C427)),"Head of Technology",IF(ISNUMBER(SEARCH("TDD BP",$C427)),"Business Partner",IF(OR(ISNUMBER(SEARCH("domain architect",$C427)),ISNUMBER(SEARCH("enterprise architect",$C427))),"Domain Architect",IF(ISNUMBER(SEARCH("delivery man",$C427)),"Delivery Manager",IF(OR(ISNUMBER(SEARCH("technology manager",$C427)),ISNUMBER(SEARCH("technology manger",$C427)),ISNUMBER(SEARCH("tech manager",$C427))),"Technology Manager","Squad")))))))</f>
        <v>Technology Manager</v>
      </c>
      <c r="AS427" s="1136" t="str">
        <f>IF(TRIM($B427)="","",IFERROR(INDEX(Lists!$AA:$AA,MATCH($AP427,Lists!$Z:$Z,0)),$AP427))</f>
        <v>Leadership</v>
      </c>
      <c r="AT427" s="1136" t="str">
        <f>IF(TRIM($B427)="","",IF(IFERROR(INDEX(Lists!$AP$2:$AP$11,MATCH(ROW(),Lists!$AN$2:$AN$11,0)),"")&lt;&gt;"",IFERROR(INDEX(Lists!$AP$2:$AP$11,MATCH(ROW(),Lists!$AN$2:$AN$11,0)),""),IF(OR(LEFT($AJ427,3)="COE",$AJ427="EGI"),$AP427,IF($AR427&lt;&gt;"Squad",$AR427,$AP427))))</f>
        <v>Technology Manager</v>
      </c>
    </row>
    <row r="428" ht="18" customHeight="1" s="866">
      <c r="A428" s="1155" t="inlineStr">
        <is>
          <t>V</t>
        </is>
      </c>
      <c r="B428" s="1156" t="inlineStr">
        <is>
          <t>Vacant</t>
        </is>
      </c>
      <c r="C428" s="1156" t="inlineStr">
        <is>
          <t xml:space="preserve">Technology Manager, Future Infrastructure </t>
        </is>
      </c>
      <c r="D428" s="1156" t="inlineStr">
        <is>
          <t>Amish Pandit</t>
        </is>
      </c>
      <c r="E428" s="1156" t="inlineStr">
        <is>
          <t>Head of Technology, Fuel Infrastructure</t>
        </is>
      </c>
      <c r="F428" s="1157" t="inlineStr">
        <is>
          <t>TDD CFE&amp;I</t>
        </is>
      </c>
      <c r="G428" s="1158" t="inlineStr">
        <is>
          <t>Fuel Infrastructure</t>
        </is>
      </c>
      <c r="H428" s="1158" t="inlineStr">
        <is>
          <t>Technology - Distribution</t>
        </is>
      </c>
      <c r="I428" s="1158" t="inlineStr">
        <is>
          <t>Infrastructure</t>
        </is>
      </c>
      <c r="J428" s="1158" t="inlineStr">
        <is>
          <t>Distribution</t>
        </is>
      </c>
      <c r="K428" s="1156" t="inlineStr">
        <is>
          <t>Leadership</t>
        </is>
      </c>
      <c r="L428" s="1158" t="n"/>
      <c r="M428" s="1183" t="inlineStr">
        <is>
          <t>Australia</t>
        </is>
      </c>
      <c r="N428" s="1160" t="inlineStr">
        <is>
          <t>CSB</t>
        </is>
      </c>
      <c r="O428" s="1160" t="n">
        <v>1</v>
      </c>
      <c r="P428" s="1160" t="n"/>
      <c r="Q428" s="1160" t="inlineStr">
        <is>
          <t>v</t>
        </is>
      </c>
      <c r="R428" s="1162" t="n"/>
      <c r="S428" s="1162" t="n"/>
      <c r="T428" s="1162" t="n">
        <v>203550</v>
      </c>
      <c r="U428" s="1174" t="n">
        <v>203550</v>
      </c>
      <c r="V428" s="1166" t="n">
        <v>0.14</v>
      </c>
      <c r="W428" s="1170" t="n">
        <v>0.055</v>
      </c>
      <c r="X428" s="1170" t="n">
        <v>0.12</v>
      </c>
      <c r="Y428" s="1171" t="n"/>
      <c r="Z428" s="1170" t="n">
        <v>0.04</v>
      </c>
      <c r="AA428" s="1168">
        <f>IF(TRIM($B428)="","",IF(N($AU428)&gt;0,$AU428,IF(N($S428)&gt;0,$S428*Lists!$AG$15*(1+N($Z428)),N($U428)*(1+N($V428)+N($W428)+N($X428)+N($Z428))+N($Y428))))</f>
        <v>275810.25</v>
      </c>
      <c r="AB428" s="1238" t="n"/>
      <c r="AC428" s="1238" t="n"/>
      <c r="AD428" s="1238" t="n"/>
      <c r="AE428" s="1238" t="n"/>
      <c r="AF428" s="1238" t="n"/>
      <c r="AG428" s="1238" t="n"/>
      <c r="AH428" s="1238" t="n"/>
      <c r="AJ428" s="865" t="str">
        <f>IF(TRIM($B428)="","",IF(IFERROR(INDEX(Lists!$AO$2:$AO$11,MATCH(ROW(),Lists!$AN$2:$AN$11,0)),"")&lt;&gt;"",IFERROR(INDEX(Lists!$AO$2:$AO$11,MATCH(ROW(),Lists!$AN$2:$AN$11,0)),""),IFERROR(INDEX(Lists!$U:$U,MATCH(TRIM($I428),Lists!$T:$T,0)),TRIM($I428))))</f>
        <v>Infrastructure</v>
      </c>
      <c r="AK428" s="865" t="str">
        <f>IF(ISNUMBER(SEARCH("vacant",$B428)),"Vacant","Filled")</f>
        <v>Vacant</v>
      </c>
      <c r="AL428" s="865" t="str">
        <f>IF($M428="NZ","NZ","AU")</f>
        <v>AU</v>
      </c>
      <c r="AM428" s="865">
        <f>COUNTIF($AJ$2:$AJ428,$AJ428)</f>
        <v>26</v>
      </c>
      <c r="AN428" s="865" t="str">
        <f>$AJ428&amp;"|"&amp;$AM428</f>
        <v>Infrastructure|26</v>
      </c>
      <c r="AP428" s="1136" t="str">
        <f>IF(TRIM($B428)="","",IF($AQ428=1,"Leadership",IFERROR(INDEX(Lists!$X:$X,MATCH(TRIM($K428),Lists!$W:$W,0)),IF(OR(TRIM($K428)="",LOWER(TRIM($K428))="na"),IF(TRIM($G428)="","Unassigned",TRIM($G428)),TRIM($K428)))))</f>
        <v>Leadership</v>
      </c>
      <c r="AQ428" s="865" t="b">
        <f>IF(TRIM($B428)="","",--OR(TRIM($K428)="Leadership",TRIM($J428)="Leadership"))</f>
        <v>1</v>
      </c>
      <c r="AR428" s="1136" t="str">
        <f>IF(TRIM($B428)="","",IF(IFERROR(INDEX(Lists!$AQ$2:$AQ$11,MATCH(ROW(),Lists!$AN$2:$AN$11,0)),"")&lt;&gt;"",IFERROR(INDEX(Lists!$AQ$2:$AQ$11,MATCH(ROW(),Lists!$AN$2:$AN$11,0)),""),IF(ISNUMBER(SEARCH("head of ",$C428)),"Head of Technology",IF(ISNUMBER(SEARCH("TDD BP",$C428)),"Business Partner",IF(OR(ISNUMBER(SEARCH("domain architect",$C428)),ISNUMBER(SEARCH("enterprise architect",$C428))),"Domain Architect",IF(ISNUMBER(SEARCH("delivery man",$C428)),"Delivery Manager",IF(OR(ISNUMBER(SEARCH("technology manager",$C428)),ISNUMBER(SEARCH("technology manger",$C428)),ISNUMBER(SEARCH("tech manager",$C428))),"Technology Manager","Squad")))))))</f>
        <v>Technology Manager</v>
      </c>
      <c r="AS428" s="1136" t="str">
        <f>IF(TRIM($B428)="","",IFERROR(INDEX(Lists!$AA:$AA,MATCH($AP428,Lists!$Z:$Z,0)),$AP428))</f>
        <v>Leadership</v>
      </c>
      <c r="AT428" s="1136" t="str">
        <f>IF(TRIM($B428)="","",IF(IFERROR(INDEX(Lists!$AP$2:$AP$11,MATCH(ROW(),Lists!$AN$2:$AN$11,0)),"")&lt;&gt;"",IFERROR(INDEX(Lists!$AP$2:$AP$11,MATCH(ROW(),Lists!$AN$2:$AN$11,0)),""),IF(OR(LEFT($AJ428,3)="COE",$AJ428="EGI"),$AP428,IF($AR428&lt;&gt;"Squad",$AR428,$AP428))))</f>
        <v>Technology Manager</v>
      </c>
    </row>
    <row r="429" ht="18" customHeight="1" s="866">
      <c r="A429" s="1155" t="inlineStr">
        <is>
          <t>V</t>
        </is>
      </c>
      <c r="B429" s="1156" t="inlineStr">
        <is>
          <t>Vacant</t>
        </is>
      </c>
      <c r="C429" s="1156" t="inlineStr">
        <is>
          <t>Quality Assurance</t>
        </is>
      </c>
      <c r="D429" s="1156" t="inlineStr">
        <is>
          <t>Jaya Ganasan</t>
        </is>
      </c>
      <c r="E429" s="1156" t="inlineStr">
        <is>
          <t>Technology Manager, TDD Refinery</t>
        </is>
      </c>
      <c r="F429" s="1157" t="inlineStr">
        <is>
          <t>TDD CFE&amp;I</t>
        </is>
      </c>
      <c r="G429" s="1158" t="inlineStr">
        <is>
          <t>Fuel Infrastructure</t>
        </is>
      </c>
      <c r="H429" s="1158" t="inlineStr">
        <is>
          <t>Refinery Applications</t>
        </is>
      </c>
      <c r="I429" s="1158" t="inlineStr">
        <is>
          <t>Infrastructure</t>
        </is>
      </c>
      <c r="J429" s="1158" t="inlineStr">
        <is>
          <t>Manufacturing</t>
        </is>
      </c>
      <c r="K429" s="1156" t="inlineStr">
        <is>
          <t>Manufacturing Group Projects</t>
        </is>
      </c>
      <c r="L429" s="1158" t="n"/>
      <c r="M429" s="1183" t="inlineStr">
        <is>
          <t>Australia</t>
        </is>
      </c>
      <c r="N429" s="1160" t="inlineStr">
        <is>
          <t>CIA</t>
        </is>
      </c>
      <c r="O429" s="1160" t="n">
        <v>1</v>
      </c>
      <c r="P429" s="1160" t="n"/>
      <c r="Q429" s="1160" t="inlineStr">
        <is>
          <t>v</t>
        </is>
      </c>
      <c r="R429" s="1162" t="n"/>
      <c r="S429" s="1162" t="n"/>
      <c r="T429" s="1162" t="n">
        <v>129650</v>
      </c>
      <c r="U429" s="1174" t="n">
        <v>129650</v>
      </c>
      <c r="V429" s="1166" t="n">
        <v>0.1</v>
      </c>
      <c r="W429" s="1170" t="n">
        <v>0.055</v>
      </c>
      <c r="X429" s="1170" t="n">
        <v>0.12</v>
      </c>
      <c r="Y429" s="1171" t="n"/>
      <c r="Z429" s="1170" t="n">
        <v>0.04</v>
      </c>
      <c r="AA429" s="1168">
        <f>IF(TRIM($B429)="","",IF(N($AU429)&gt;0,$AU429,IF(N($S429)&gt;0,$S429*Lists!$AG$15*(1+N($Z429)),N($U429)*(1+N($V429)+N($W429)+N($X429)+N($Z429))+N($Y429))))</f>
        <v>170489.75</v>
      </c>
      <c r="AB429" s="1238" t="n"/>
      <c r="AC429" s="1238" t="n"/>
      <c r="AD429" s="1238" t="n"/>
      <c r="AE429" s="1238" t="n"/>
      <c r="AF429" s="1238" t="n"/>
      <c r="AG429" s="1238" t="n"/>
      <c r="AH429" s="1238" t="n"/>
      <c r="AJ429" s="865" t="str">
        <f>IF(TRIM($B429)="","",IF(IFERROR(INDEX(Lists!$AO$2:$AO$11,MATCH(ROW(),Lists!$AN$2:$AN$11,0)),"")&lt;&gt;"",IFERROR(INDEX(Lists!$AO$2:$AO$11,MATCH(ROW(),Lists!$AN$2:$AN$11,0)),""),IFERROR(INDEX(Lists!$U:$U,MATCH(TRIM($I429),Lists!$T:$T,0)),TRIM($I429))))</f>
        <v>Infrastructure</v>
      </c>
      <c r="AK429" s="865" t="str">
        <f>IF(ISNUMBER(SEARCH("vacant",$B429)),"Vacant","Filled")</f>
        <v>Vacant</v>
      </c>
      <c r="AL429" s="865" t="str">
        <f>IF($M429="NZ","NZ","AU")</f>
        <v>AU</v>
      </c>
      <c r="AM429" s="865">
        <f>COUNTIF($AJ$2:$AJ429,$AJ429)</f>
        <v>27</v>
      </c>
      <c r="AN429" s="865" t="str">
        <f>$AJ429&amp;"|"&amp;$AM429</f>
        <v>Infrastructure|27</v>
      </c>
      <c r="AP429" s="865" t="str">
        <f>IF(TRIM($B429)="","",IF($AQ429=1,"Leadership",IFERROR(INDEX(Lists!$X:$X,MATCH(TRIM($K429),Lists!$W:$W,0)),IF(OR(TRIM($K429)="",LOWER(TRIM($K429))="na"),IF(TRIM($G429)="","Unassigned",TRIM($G429)),TRIM($K429)))))</f>
        <v>Manufacturing Group Projects</v>
      </c>
      <c r="AQ429" s="865" t="b">
        <f>IF(TRIM($B429)="","",--OR(TRIM($K429)="Leadership",TRIM($J429)="Leadership"))</f>
        <v>0</v>
      </c>
      <c r="AR429" s="1136" t="str">
        <f>IF(TRIM($B429)="","",IF(IFERROR(INDEX(Lists!$AQ$2:$AQ$11,MATCH(ROW(),Lists!$AN$2:$AN$11,0)),"")&lt;&gt;"",IFERROR(INDEX(Lists!$AQ$2:$AQ$11,MATCH(ROW(),Lists!$AN$2:$AN$11,0)),""),IF(ISNUMBER(SEARCH("head of ",$C429)),"Head of Technology",IF(ISNUMBER(SEARCH("TDD BP",$C429)),"Business Partner",IF(OR(ISNUMBER(SEARCH("domain architect",$C429)),ISNUMBER(SEARCH("enterprise architect",$C429))),"Domain Architect",IF(ISNUMBER(SEARCH("delivery man",$C429)),"Delivery Manager",IF(OR(ISNUMBER(SEARCH("technology manager",$C429)),ISNUMBER(SEARCH("technology manger",$C429)),ISNUMBER(SEARCH("tech manager",$C429))),"Technology Manager","Squad")))))))</f>
        <v>Squad</v>
      </c>
      <c r="AS429" s="1136" t="str">
        <f>IF(TRIM($B429)="","",IFERROR(INDEX(Lists!$AA:$AA,MATCH($AP429,Lists!$Z:$Z,0)),$AP429))</f>
        <v>Manufacturing Group Projects</v>
      </c>
      <c r="AT429" s="1136" t="str">
        <f>IF(TRIM($B429)="","",IF(IFERROR(INDEX(Lists!$AP$2:$AP$11,MATCH(ROW(),Lists!$AN$2:$AN$11,0)),"")&lt;&gt;"",IFERROR(INDEX(Lists!$AP$2:$AP$11,MATCH(ROW(),Lists!$AN$2:$AN$11,0)),""),IF(OR(LEFT($AJ429,3)="COE",$AJ429="EGI"),$AP429,IF($AR429&lt;&gt;"Squad",$AR429,$AP429))))</f>
        <v>Manufacturing Group Projects</v>
      </c>
    </row>
    <row r="430" ht="18" customHeight="1" s="866">
      <c r="A430" s="1155" t="inlineStr">
        <is>
          <t>V</t>
        </is>
      </c>
      <c r="B430" s="1156" t="inlineStr">
        <is>
          <t>Vacant</t>
        </is>
      </c>
      <c r="C430" s="1156" t="inlineStr">
        <is>
          <t>Solution Architect</t>
        </is>
      </c>
      <c r="D430" s="1156" t="inlineStr">
        <is>
          <t>Jaya Ganasan</t>
        </is>
      </c>
      <c r="E430" s="1156" t="inlineStr">
        <is>
          <t>Technology Manager, TDD Refinery</t>
        </is>
      </c>
      <c r="F430" s="1157" t="inlineStr">
        <is>
          <t>TDD CFE&amp;I</t>
        </is>
      </c>
      <c r="G430" s="1158" t="inlineStr">
        <is>
          <t>Fuel Infrastructure</t>
        </is>
      </c>
      <c r="H430" s="1158" t="inlineStr">
        <is>
          <t>Refinery Applications</t>
        </is>
      </c>
      <c r="I430" s="1158" t="inlineStr">
        <is>
          <t>Infrastructure</t>
        </is>
      </c>
      <c r="J430" s="1158" t="inlineStr">
        <is>
          <t>Manufacturing</t>
        </is>
      </c>
      <c r="K430" s="1156" t="inlineStr">
        <is>
          <t>Manufacturing Group Projects</t>
        </is>
      </c>
      <c r="L430" s="1158" t="n"/>
      <c r="M430" s="1183" t="inlineStr">
        <is>
          <t>australia</t>
        </is>
      </c>
      <c r="N430" s="1160" t="inlineStr">
        <is>
          <t>CIC</t>
        </is>
      </c>
      <c r="O430" s="1160" t="n">
        <v>1</v>
      </c>
      <c r="P430" s="1160" t="n"/>
      <c r="Q430" s="1160" t="inlineStr">
        <is>
          <t>v</t>
        </is>
      </c>
      <c r="R430" s="1162" t="n"/>
      <c r="S430" s="1162" t="n"/>
      <c r="T430" s="1162" t="n">
        <v>173550</v>
      </c>
      <c r="U430" s="1174" t="n">
        <v>173550</v>
      </c>
      <c r="V430" s="1166" t="n">
        <v>0.12</v>
      </c>
      <c r="W430" s="1170" t="n">
        <v>0.055</v>
      </c>
      <c r="X430" s="1170" t="n">
        <v>0.12</v>
      </c>
      <c r="Y430" s="1171" t="n"/>
      <c r="Z430" s="1170" t="n">
        <v>0.04</v>
      </c>
      <c r="AA430" s="1168">
        <f>IF(TRIM($B430)="","",IF(N($AU430)&gt;0,$AU430,IF(N($S430)&gt;0,$S430*Lists!$AG$15*(1+N($Z430)),N($U430)*(1+N($V430)+N($W430)+N($X430)+N($Z430))+N($Y430))))</f>
        <v>231689.25</v>
      </c>
      <c r="AB430" s="1238" t="n"/>
      <c r="AC430" s="1238" t="n"/>
      <c r="AD430" s="1238" t="n"/>
      <c r="AE430" s="1238" t="n"/>
      <c r="AF430" s="1238" t="n"/>
      <c r="AG430" s="1238" t="n"/>
      <c r="AH430" s="1238" t="n"/>
      <c r="AJ430" s="865" t="str">
        <f>IF(TRIM($B430)="","",IF(IFERROR(INDEX(Lists!$AO$2:$AO$11,MATCH(ROW(),Lists!$AN$2:$AN$11,0)),"")&lt;&gt;"",IFERROR(INDEX(Lists!$AO$2:$AO$11,MATCH(ROW(),Lists!$AN$2:$AN$11,0)),""),IFERROR(INDEX(Lists!$U:$U,MATCH(TRIM($I430),Lists!$T:$T,0)),TRIM($I430))))</f>
        <v>Infrastructure</v>
      </c>
      <c r="AK430" s="865" t="str">
        <f>IF(ISNUMBER(SEARCH("vacant",$B430)),"Vacant","Filled")</f>
        <v>Vacant</v>
      </c>
      <c r="AL430" s="865" t="str">
        <f>IF($M430="NZ","NZ","AU")</f>
        <v>AU</v>
      </c>
      <c r="AM430" s="865">
        <f>COUNTIF($AJ$2:$AJ430,$AJ430)</f>
        <v>28</v>
      </c>
      <c r="AN430" s="865" t="str">
        <f>$AJ430&amp;"|"&amp;$AM430</f>
        <v>Infrastructure|28</v>
      </c>
      <c r="AP430" s="865" t="str">
        <f>IF(TRIM($B430)="","",IF($AQ430=1,"Leadership",IFERROR(INDEX(Lists!$X:$X,MATCH(TRIM($K430),Lists!$W:$W,0)),IF(OR(TRIM($K430)="",LOWER(TRIM($K430))="na"),IF(TRIM($G430)="","Unassigned",TRIM($G430)),TRIM($K430)))))</f>
        <v>Manufacturing Group Projects</v>
      </c>
      <c r="AQ430" s="865" t="b">
        <f>IF(TRIM($B430)="","",--OR(TRIM($K430)="Leadership",TRIM($J430)="Leadership"))</f>
        <v>0</v>
      </c>
      <c r="AR430" s="1136" t="str">
        <f>IF(TRIM($B430)="","",IF(IFERROR(INDEX(Lists!$AQ$2:$AQ$11,MATCH(ROW(),Lists!$AN$2:$AN$11,0)),"")&lt;&gt;"",IFERROR(INDEX(Lists!$AQ$2:$AQ$11,MATCH(ROW(),Lists!$AN$2:$AN$11,0)),""),IF(ISNUMBER(SEARCH("head of ",$C430)),"Head of Technology",IF(ISNUMBER(SEARCH("TDD BP",$C430)),"Business Partner",IF(OR(ISNUMBER(SEARCH("domain architect",$C430)),ISNUMBER(SEARCH("enterprise architect",$C430))),"Domain Architect",IF(ISNUMBER(SEARCH("delivery man",$C430)),"Delivery Manager",IF(OR(ISNUMBER(SEARCH("technology manager",$C430)),ISNUMBER(SEARCH("technology manger",$C430)),ISNUMBER(SEARCH("tech manager",$C430))),"Technology Manager","Squad")))))))</f>
        <v>Squad</v>
      </c>
      <c r="AS430" s="1136" t="str">
        <f>IF(TRIM($B430)="","",IFERROR(INDEX(Lists!$AA:$AA,MATCH($AP430,Lists!$Z:$Z,0)),$AP430))</f>
        <v>Manufacturing Group Projects</v>
      </c>
      <c r="AT430" s="1136" t="str">
        <f>IF(TRIM($B430)="","",IF(IFERROR(INDEX(Lists!$AP$2:$AP$11,MATCH(ROW(),Lists!$AN$2:$AN$11,0)),"")&lt;&gt;"",IFERROR(INDEX(Lists!$AP$2:$AP$11,MATCH(ROW(),Lists!$AN$2:$AN$11,0)),""),IF(OR(LEFT($AJ430,3)="COE",$AJ430="EGI"),$AP430,IF($AR430&lt;&gt;"Squad",$AR430,$AP430))))</f>
        <v>Manufacturing Group Projects</v>
      </c>
    </row>
    <row r="431" ht="18" customHeight="1" s="866">
      <c r="A431" s="1155" t="inlineStr">
        <is>
          <t>V</t>
        </is>
      </c>
      <c r="B431" s="1156" t="inlineStr">
        <is>
          <t>Vacant</t>
        </is>
      </c>
      <c r="C431" s="1156" t="inlineStr">
        <is>
          <t>Quality Assurance</t>
        </is>
      </c>
      <c r="D431" s="1156" t="inlineStr">
        <is>
          <t>Karla Orozco Loza</t>
        </is>
      </c>
      <c r="E431" s="1156" t="inlineStr">
        <is>
          <t>Technology Manager, Future Infrastructure</t>
        </is>
      </c>
      <c r="F431" s="1157" t="inlineStr">
        <is>
          <t>TDD CFE&amp;I</t>
        </is>
      </c>
      <c r="G431" s="1158" t="inlineStr">
        <is>
          <t>Fuel Infrastructure</t>
        </is>
      </c>
      <c r="H431" s="1158" t="inlineStr">
        <is>
          <t>Technology - Distribution</t>
        </is>
      </c>
      <c r="I431" s="1158" t="inlineStr">
        <is>
          <t>Infrastructure</t>
        </is>
      </c>
      <c r="J431" s="1158" t="inlineStr">
        <is>
          <t>Distribution</t>
        </is>
      </c>
      <c r="K431" s="1156" t="inlineStr">
        <is>
          <t>Distribution, Sales &amp; Services</t>
        </is>
      </c>
      <c r="L431" s="1158" t="n"/>
      <c r="M431" s="1183" t="inlineStr">
        <is>
          <t>Australia</t>
        </is>
      </c>
      <c r="N431" s="1160" t="inlineStr">
        <is>
          <t>CIA</t>
        </is>
      </c>
      <c r="O431" s="1160" t="n">
        <v>1</v>
      </c>
      <c r="P431" s="1160" t="n"/>
      <c r="Q431" s="1160" t="inlineStr">
        <is>
          <t>v</t>
        </is>
      </c>
      <c r="R431" s="1162" t="n"/>
      <c r="S431" s="1162" t="n"/>
      <c r="T431" s="1162" t="n">
        <v>129650</v>
      </c>
      <c r="U431" s="1174" t="n">
        <v>129650</v>
      </c>
      <c r="V431" s="1166" t="n">
        <v>0.1</v>
      </c>
      <c r="W431" s="1170" t="n">
        <v>0.055</v>
      </c>
      <c r="X431" s="1170" t="n">
        <v>0.12</v>
      </c>
      <c r="Y431" s="1171" t="n"/>
      <c r="Z431" s="1170" t="n">
        <v>0.04</v>
      </c>
      <c r="AA431" s="1168">
        <f>IF(TRIM($B431)="","",IF(N($AU431)&gt;0,$AU431,IF(N($S431)&gt;0,$S431*Lists!$AG$15*(1+N($Z431)),N($U431)*(1+N($V431)+N($W431)+N($X431)+N($Z431))+N($Y431))))</f>
        <v>170489.75</v>
      </c>
      <c r="AB431" s="1238" t="n"/>
      <c r="AC431" s="1238" t="n"/>
      <c r="AD431" s="1238" t="n"/>
      <c r="AE431" s="1238" t="n"/>
      <c r="AF431" s="1238" t="n"/>
      <c r="AG431" s="1238" t="n"/>
      <c r="AH431" s="1238" t="n"/>
      <c r="AJ431" s="865" t="str">
        <f>IF(TRIM($B431)="","",IF(IFERROR(INDEX(Lists!$AO$2:$AO$11,MATCH(ROW(),Lists!$AN$2:$AN$11,0)),"")&lt;&gt;"",IFERROR(INDEX(Lists!$AO$2:$AO$11,MATCH(ROW(),Lists!$AN$2:$AN$11,0)),""),IFERROR(INDEX(Lists!$U:$U,MATCH(TRIM($I431),Lists!$T:$T,0)),TRIM($I431))))</f>
        <v>Infrastructure</v>
      </c>
      <c r="AK431" s="865" t="str">
        <f>IF(ISNUMBER(SEARCH("vacant",$B431)),"Vacant","Filled")</f>
        <v>Vacant</v>
      </c>
      <c r="AL431" s="865" t="str">
        <f>IF($M431="NZ","NZ","AU")</f>
        <v>AU</v>
      </c>
      <c r="AM431" s="865">
        <f>COUNTIF($AJ$2:$AJ431,$AJ431)</f>
        <v>29</v>
      </c>
      <c r="AN431" s="865" t="str">
        <f>$AJ431&amp;"|"&amp;$AM431</f>
        <v>Infrastructure|29</v>
      </c>
      <c r="AP431" s="865" t="str">
        <f>IF(TRIM($B431)="","",IF($AQ431=1,"Leadership",IFERROR(INDEX(Lists!$X:$X,MATCH(TRIM($K431),Lists!$W:$W,0)),IF(OR(TRIM($K431)="",LOWER(TRIM($K431))="na"),IF(TRIM($G431)="","Unassigned",TRIM($G431)),TRIM($K431)))))</f>
        <v>Distribution, Sales &amp; Services</v>
      </c>
      <c r="AQ431" s="865" t="b">
        <f>IF(TRIM($B431)="","",--OR(TRIM($K431)="Leadership",TRIM($J431)="Leadership"))</f>
        <v>0</v>
      </c>
      <c r="AR431" s="1136" t="str">
        <f>IF(TRIM($B431)="","",IF(IFERROR(INDEX(Lists!$AQ$2:$AQ$11,MATCH(ROW(),Lists!$AN$2:$AN$11,0)),"")&lt;&gt;"",IFERROR(INDEX(Lists!$AQ$2:$AQ$11,MATCH(ROW(),Lists!$AN$2:$AN$11,0)),""),IF(ISNUMBER(SEARCH("head of ",$C431)),"Head of Technology",IF(ISNUMBER(SEARCH("TDD BP",$C431)),"Business Partner",IF(OR(ISNUMBER(SEARCH("domain architect",$C431)),ISNUMBER(SEARCH("enterprise architect",$C431))),"Domain Architect",IF(ISNUMBER(SEARCH("delivery man",$C431)),"Delivery Manager",IF(OR(ISNUMBER(SEARCH("technology manager",$C431)),ISNUMBER(SEARCH("technology manger",$C431)),ISNUMBER(SEARCH("tech manager",$C431))),"Technology Manager","Squad")))))))</f>
        <v>Squad</v>
      </c>
      <c r="AS431" s="1136" t="str">
        <f>IF(TRIM($B431)="","",IFERROR(INDEX(Lists!$AA:$AA,MATCH($AP431,Lists!$Z:$Z,0)),$AP431))</f>
        <v>Distribution, Sales &amp; Services</v>
      </c>
      <c r="AT431" s="1136" t="str">
        <f>IF(TRIM($B431)="","",IF(IFERROR(INDEX(Lists!$AP$2:$AP$11,MATCH(ROW(),Lists!$AN$2:$AN$11,0)),"")&lt;&gt;"",IFERROR(INDEX(Lists!$AP$2:$AP$11,MATCH(ROW(),Lists!$AN$2:$AN$11,0)),""),IF(OR(LEFT($AJ431,3)="COE",$AJ431="EGI"),$AP431,IF($AR431&lt;&gt;"Squad",$AR431,$AP431))))</f>
        <v>Distribution, Sales &amp; Services</v>
      </c>
    </row>
    <row r="432" ht="18" customHeight="1" s="866">
      <c r="A432" s="1155" t="inlineStr">
        <is>
          <t>V</t>
        </is>
      </c>
      <c r="B432" s="1156" t="inlineStr">
        <is>
          <t>Vacant</t>
        </is>
      </c>
      <c r="C432" s="1156" t="inlineStr">
        <is>
          <t>Business Analyst</t>
        </is>
      </c>
      <c r="D432" s="1158" t="inlineStr">
        <is>
          <t>Vacant</t>
        </is>
      </c>
      <c r="E432" s="1156" t="inlineStr">
        <is>
          <t>Delivery Manager</t>
        </is>
      </c>
      <c r="F432" s="1157" t="inlineStr">
        <is>
          <t>TDD CFE&amp;I</t>
        </is>
      </c>
      <c r="G432" s="1158" t="inlineStr">
        <is>
          <t>Fuel Infrastructure</t>
        </is>
      </c>
      <c r="H432" s="1158" t="inlineStr">
        <is>
          <t>Fuel Infrastructure, Delivery</t>
        </is>
      </c>
      <c r="I432" s="1158" t="inlineStr">
        <is>
          <t>Infrastructure</t>
        </is>
      </c>
      <c r="J432" s="1158" t="inlineStr">
        <is>
          <t>Distribution</t>
        </is>
      </c>
      <c r="K432" s="1156" t="inlineStr">
        <is>
          <t>Distribution, Sales &amp; Services</t>
        </is>
      </c>
      <c r="L432" s="1158" t="n"/>
      <c r="M432" s="1183" t="inlineStr">
        <is>
          <t>Australia</t>
        </is>
      </c>
      <c r="N432" s="1160" t="inlineStr">
        <is>
          <t>CIB</t>
        </is>
      </c>
      <c r="O432" s="1160" t="n">
        <v>1</v>
      </c>
      <c r="P432" s="1160" t="n"/>
      <c r="Q432" s="1160" t="inlineStr">
        <is>
          <t>V</t>
        </is>
      </c>
      <c r="R432" s="1162" t="n"/>
      <c r="S432" s="1162" t="n"/>
      <c r="T432" s="1162" t="n">
        <v>151950</v>
      </c>
      <c r="U432" s="1174" t="n">
        <v>151950</v>
      </c>
      <c r="V432" s="1166" t="n">
        <v>0.12</v>
      </c>
      <c r="W432" s="1170" t="n">
        <v>0.055</v>
      </c>
      <c r="X432" s="1170" t="n">
        <v>0.12</v>
      </c>
      <c r="Y432" s="1171" t="n"/>
      <c r="Z432" s="1170" t="n">
        <v>0.04</v>
      </c>
      <c r="AA432" s="1168">
        <f>IF(TRIM($B432)="","",IF(N($AU432)&gt;0,$AU432,IF(N($S432)&gt;0,$S432*Lists!$AG$15*(1+N($Z432)),N($U432)*(1+N($V432)+N($W432)+N($X432)+N($Z432))+N($Y432))))</f>
        <v>202853.25</v>
      </c>
      <c r="AB432" s="1238" t="n"/>
      <c r="AC432" s="1238" t="n"/>
      <c r="AD432" s="1238" t="n"/>
      <c r="AE432" s="1238" t="n"/>
      <c r="AF432" s="1238" t="n"/>
      <c r="AG432" s="1238" t="n"/>
      <c r="AH432" s="1238" t="n"/>
      <c r="AJ432" s="865" t="str">
        <f>IF(TRIM($B432)="","",IF(IFERROR(INDEX(Lists!$AO$2:$AO$11,MATCH(ROW(),Lists!$AN$2:$AN$11,0)),"")&lt;&gt;"",IFERROR(INDEX(Lists!$AO$2:$AO$11,MATCH(ROW(),Lists!$AN$2:$AN$11,0)),""),IFERROR(INDEX(Lists!$U:$U,MATCH(TRIM($I432),Lists!$T:$T,0)),TRIM($I432))))</f>
        <v>Infrastructure</v>
      </c>
      <c r="AK432" s="865" t="str">
        <f>IF(ISNUMBER(SEARCH("vacant",$B432)),"Vacant","Filled")</f>
        <v>Vacant</v>
      </c>
      <c r="AL432" s="865" t="str">
        <f>IF($M432="NZ","NZ","AU")</f>
        <v>AU</v>
      </c>
      <c r="AM432" s="865">
        <f>COUNTIF($AJ$2:$AJ432,$AJ432)</f>
        <v>30</v>
      </c>
      <c r="AN432" s="865" t="str">
        <f>$AJ432&amp;"|"&amp;$AM432</f>
        <v>Infrastructure|30</v>
      </c>
      <c r="AP432" s="865" t="str">
        <f>IF(TRIM($B432)="","",IF($AQ432=1,"Leadership",IFERROR(INDEX(Lists!$X:$X,MATCH(TRIM($K432),Lists!$W:$W,0)),IF(OR(TRIM($K432)="",LOWER(TRIM($K432))="na"),IF(TRIM($G432)="","Unassigned",TRIM($G432)),TRIM($K432)))))</f>
        <v>Distribution, Sales &amp; Services</v>
      </c>
      <c r="AQ432" s="865" t="b">
        <f>IF(TRIM($B432)="","",--OR(TRIM($K432)="Leadership",TRIM($J432)="Leadership"))</f>
        <v>0</v>
      </c>
      <c r="AR432" s="1136" t="str">
        <f>IF(TRIM($B432)="","",IF(IFERROR(INDEX(Lists!$AQ$2:$AQ$11,MATCH(ROW(),Lists!$AN$2:$AN$11,0)),"")&lt;&gt;"",IFERROR(INDEX(Lists!$AQ$2:$AQ$11,MATCH(ROW(),Lists!$AN$2:$AN$11,0)),""),IF(ISNUMBER(SEARCH("head of ",$C432)),"Head of Technology",IF(ISNUMBER(SEARCH("TDD BP",$C432)),"Business Partner",IF(OR(ISNUMBER(SEARCH("domain architect",$C432)),ISNUMBER(SEARCH("enterprise architect",$C432))),"Domain Architect",IF(ISNUMBER(SEARCH("delivery man",$C432)),"Delivery Manager",IF(OR(ISNUMBER(SEARCH("technology manager",$C432)),ISNUMBER(SEARCH("technology manger",$C432)),ISNUMBER(SEARCH("tech manager",$C432))),"Technology Manager","Squad")))))))</f>
        <v>Squad</v>
      </c>
      <c r="AS432" s="1136" t="str">
        <f>IF(TRIM($B432)="","",IFERROR(INDEX(Lists!$AA:$AA,MATCH($AP432,Lists!$Z:$Z,0)),$AP432))</f>
        <v>Distribution, Sales &amp; Services</v>
      </c>
      <c r="AT432" s="1136" t="str">
        <f>IF(TRIM($B432)="","",IF(IFERROR(INDEX(Lists!$AP$2:$AP$11,MATCH(ROW(),Lists!$AN$2:$AN$11,0)),"")&lt;&gt;"",IFERROR(INDEX(Lists!$AP$2:$AP$11,MATCH(ROW(),Lists!$AN$2:$AN$11,0)),""),IF(OR(LEFT($AJ432,3)="COE",$AJ432="EGI"),$AP432,IF($AR432&lt;&gt;"Squad",$AR432,$AP432))))</f>
        <v>Distribution, Sales &amp; Services</v>
      </c>
    </row>
    <row r="433" ht="18" customHeight="1" s="866">
      <c r="A433" s="1155" t="inlineStr">
        <is>
          <t>V</t>
        </is>
      </c>
      <c r="B433" s="1156" t="inlineStr">
        <is>
          <t>Vacant</t>
        </is>
      </c>
      <c r="C433" s="1156" t="inlineStr">
        <is>
          <t>Data Analyst</t>
        </is>
      </c>
      <c r="D433" s="1156" t="inlineStr">
        <is>
          <t>Vacant</t>
        </is>
      </c>
      <c r="E433" s="1156" t="inlineStr">
        <is>
          <t>Technology Manger, Data</t>
        </is>
      </c>
      <c r="F433" s="1157" t="inlineStr">
        <is>
          <t>TDD CFE&amp;I</t>
        </is>
      </c>
      <c r="G433" s="1158" t="inlineStr">
        <is>
          <t>Fuel Infrastructure</t>
        </is>
      </c>
      <c r="H433" s="1158" t="inlineStr">
        <is>
          <t>Fuel Infrastructure, Data</t>
        </is>
      </c>
      <c r="I433" s="1158" t="inlineStr">
        <is>
          <t>Infrastructure</t>
        </is>
      </c>
      <c r="J433" s="1156" t="inlineStr">
        <is>
          <t xml:space="preserve">Data &amp; Insights </t>
        </is>
      </c>
      <c r="K433" s="1156" t="inlineStr">
        <is>
          <t xml:space="preserve">Data &amp; Insights </t>
        </is>
      </c>
      <c r="L433" s="1158" t="n"/>
      <c r="M433" s="1183" t="inlineStr">
        <is>
          <t>Australia</t>
        </is>
      </c>
      <c r="N433" s="1160" t="inlineStr">
        <is>
          <t>CIB</t>
        </is>
      </c>
      <c r="O433" s="1160" t="n">
        <v>1</v>
      </c>
      <c r="P433" s="1160" t="n"/>
      <c r="Q433" s="1160" t="inlineStr">
        <is>
          <t>V</t>
        </is>
      </c>
      <c r="R433" s="1162" t="n"/>
      <c r="S433" s="1162" t="n"/>
      <c r="T433" s="1162" t="n">
        <v>151000</v>
      </c>
      <c r="U433" s="1174" t="n">
        <v>151000</v>
      </c>
      <c r="V433" s="1166" t="n">
        <v>0.12</v>
      </c>
      <c r="W433" s="1170" t="n">
        <v>0.055</v>
      </c>
      <c r="X433" s="1170" t="n">
        <v>0.12</v>
      </c>
      <c r="Y433" s="1171" t="n"/>
      <c r="Z433" s="1170" t="n">
        <v>0.04</v>
      </c>
      <c r="AA433" s="1168">
        <f>IF(TRIM($B433)="","",IF(N($AU433)&gt;0,$AU433,IF(N($S433)&gt;0,$S433*Lists!$AG$15*(1+N($Z433)),N($U433)*(1+N($V433)+N($W433)+N($X433)+N($Z433))+N($Y433))))</f>
        <v>201585</v>
      </c>
      <c r="AB433" s="1238" t="n"/>
      <c r="AC433" s="1238" t="n"/>
      <c r="AD433" s="1238" t="n"/>
      <c r="AE433" s="1238" t="n"/>
      <c r="AF433" s="1238" t="n"/>
      <c r="AG433" s="1238" t="n"/>
      <c r="AH433" s="1238" t="n"/>
      <c r="AJ433" s="865" t="str">
        <f>IF(TRIM($B433)="","",IF(IFERROR(INDEX(Lists!$AO$2:$AO$11,MATCH(ROW(),Lists!$AN$2:$AN$11,0)),"")&lt;&gt;"",IFERROR(INDEX(Lists!$AO$2:$AO$11,MATCH(ROW(),Lists!$AN$2:$AN$11,0)),""),IFERROR(INDEX(Lists!$U:$U,MATCH(TRIM($I433),Lists!$T:$T,0)),TRIM($I433))))</f>
        <v>Infrastructure</v>
      </c>
      <c r="AK433" s="865" t="str">
        <f>IF(ISNUMBER(SEARCH("vacant",$B433)),"Vacant","Filled")</f>
        <v>Vacant</v>
      </c>
      <c r="AL433" s="865" t="str">
        <f>IF($M433="NZ","NZ","AU")</f>
        <v>AU</v>
      </c>
      <c r="AM433" s="865">
        <f>COUNTIF($AJ$2:$AJ433,$AJ433)</f>
        <v>31</v>
      </c>
      <c r="AN433" s="865" t="str">
        <f>$AJ433&amp;"|"&amp;$AM433</f>
        <v>Infrastructure|31</v>
      </c>
      <c r="AP433" s="865" t="str">
        <f>IF(TRIM($B433)="","",IF($AQ433=1,"Leadership",IFERROR(INDEX(Lists!$X:$X,MATCH(TRIM($K433),Lists!$W:$W,0)),IF(OR(TRIM($K433)="",LOWER(TRIM($K433))="na"),IF(TRIM($G433)="","Unassigned",TRIM($G433)),TRIM($K433)))))</f>
        <v>Data &amp; Insights</v>
      </c>
      <c r="AQ433" s="865" t="b">
        <f>IF(TRIM($B433)="","",--OR(TRIM($K433)="Leadership",TRIM($J433)="Leadership"))</f>
        <v>0</v>
      </c>
      <c r="AR433" s="1136" t="str">
        <f>IF(TRIM($B433)="","",IF(IFERROR(INDEX(Lists!$AQ$2:$AQ$11,MATCH(ROW(),Lists!$AN$2:$AN$11,0)),"")&lt;&gt;"",IFERROR(INDEX(Lists!$AQ$2:$AQ$11,MATCH(ROW(),Lists!$AN$2:$AN$11,0)),""),IF(ISNUMBER(SEARCH("head of ",$C433)),"Head of Technology",IF(ISNUMBER(SEARCH("TDD BP",$C433)),"Business Partner",IF(OR(ISNUMBER(SEARCH("domain architect",$C433)),ISNUMBER(SEARCH("enterprise architect",$C433))),"Domain Architect",IF(ISNUMBER(SEARCH("delivery man",$C433)),"Delivery Manager",IF(OR(ISNUMBER(SEARCH("technology manager",$C433)),ISNUMBER(SEARCH("technology manger",$C433)),ISNUMBER(SEARCH("tech manager",$C433))),"Technology Manager","Squad")))))))</f>
        <v>Squad</v>
      </c>
      <c r="AS433" s="1136" t="str">
        <f>IF(TRIM($B433)="","",IFERROR(INDEX(Lists!$AA:$AA,MATCH($AP433,Lists!$Z:$Z,0)),$AP433))</f>
        <v>Data &amp; Insights</v>
      </c>
      <c r="AT433" s="1136" t="str">
        <f>IF(TRIM($B433)="","",IF(IFERROR(INDEX(Lists!$AP$2:$AP$11,MATCH(ROW(),Lists!$AN$2:$AN$11,0)),"")&lt;&gt;"",IFERROR(INDEX(Lists!$AP$2:$AP$11,MATCH(ROW(),Lists!$AN$2:$AN$11,0)),""),IF(OR(LEFT($AJ433,3)="COE",$AJ433="EGI"),$AP433,IF($AR433&lt;&gt;"Squad",$AR433,$AP433))))</f>
        <v>Data &amp; Insights</v>
      </c>
    </row>
    <row r="434" ht="18" customHeight="1" s="866">
      <c r="A434" s="1155" t="inlineStr">
        <is>
          <t>V</t>
        </is>
      </c>
      <c r="B434" s="1156" t="inlineStr">
        <is>
          <t>Vacant</t>
        </is>
      </c>
      <c r="C434" s="1156" t="inlineStr">
        <is>
          <t>Engineer Data</t>
        </is>
      </c>
      <c r="D434" s="1156" t="inlineStr">
        <is>
          <t>Vacant</t>
        </is>
      </c>
      <c r="E434" s="1156" t="inlineStr">
        <is>
          <t>Technology Manger, Data</t>
        </is>
      </c>
      <c r="F434" s="1157" t="inlineStr">
        <is>
          <t>TDD CFE&amp;I</t>
        </is>
      </c>
      <c r="G434" s="1158" t="inlineStr">
        <is>
          <t>Fuel Infrastructure</t>
        </is>
      </c>
      <c r="H434" s="1158" t="inlineStr">
        <is>
          <t>Fuel Infrastructure, Data</t>
        </is>
      </c>
      <c r="I434" s="1158" t="inlineStr">
        <is>
          <t>Infrastructure</t>
        </is>
      </c>
      <c r="J434" s="1156" t="inlineStr">
        <is>
          <t xml:space="preserve">Data &amp; Insights </t>
        </is>
      </c>
      <c r="K434" s="1156" t="inlineStr">
        <is>
          <t xml:space="preserve">Data &amp; Insights </t>
        </is>
      </c>
      <c r="L434" s="1158" t="n"/>
      <c r="M434" s="1183" t="inlineStr">
        <is>
          <t>Australia</t>
        </is>
      </c>
      <c r="N434" s="1160" t="inlineStr">
        <is>
          <t>CIB</t>
        </is>
      </c>
      <c r="O434" s="1160" t="n">
        <v>1</v>
      </c>
      <c r="P434" s="1160" t="n"/>
      <c r="Q434" s="1160" t="inlineStr">
        <is>
          <t>V</t>
        </is>
      </c>
      <c r="R434" s="1162" t="n"/>
      <c r="S434" s="1162" t="n"/>
      <c r="T434" s="1162" t="n">
        <v>151950</v>
      </c>
      <c r="U434" s="1174" t="n">
        <v>151950</v>
      </c>
      <c r="V434" s="1166" t="n">
        <v>0.12</v>
      </c>
      <c r="W434" s="1170" t="n">
        <v>0.055</v>
      </c>
      <c r="X434" s="1170" t="n">
        <v>0.12</v>
      </c>
      <c r="Y434" s="1171" t="n"/>
      <c r="Z434" s="1170" t="n">
        <v>0.04</v>
      </c>
      <c r="AA434" s="1168">
        <f>IF(TRIM($B434)="","",IF(N($AU434)&gt;0,$AU434,IF(N($S434)&gt;0,$S434*Lists!$AG$15*(1+N($Z434)),N($U434)*(1+N($V434)+N($W434)+N($X434)+N($Z434))+N($Y434))))</f>
        <v>202853.25</v>
      </c>
      <c r="AB434" s="1238" t="n"/>
      <c r="AC434" s="1238" t="n"/>
      <c r="AD434" s="1238" t="n"/>
      <c r="AE434" s="1238" t="n"/>
      <c r="AF434" s="1238" t="n"/>
      <c r="AG434" s="1238" t="n"/>
      <c r="AH434" s="1238" t="n"/>
      <c r="AJ434" s="865" t="str">
        <f>IF(TRIM($B434)="","",IF(IFERROR(INDEX(Lists!$AO$2:$AO$11,MATCH(ROW(),Lists!$AN$2:$AN$11,0)),"")&lt;&gt;"",IFERROR(INDEX(Lists!$AO$2:$AO$11,MATCH(ROW(),Lists!$AN$2:$AN$11,0)),""),IFERROR(INDEX(Lists!$U:$U,MATCH(TRIM($I434),Lists!$T:$T,0)),TRIM($I434))))</f>
        <v>Infrastructure</v>
      </c>
      <c r="AK434" s="865" t="str">
        <f>IF(ISNUMBER(SEARCH("vacant",$B434)),"Vacant","Filled")</f>
        <v>Vacant</v>
      </c>
      <c r="AL434" s="865" t="str">
        <f>IF($M434="NZ","NZ","AU")</f>
        <v>AU</v>
      </c>
      <c r="AM434" s="865">
        <f>COUNTIF($AJ$2:$AJ434,$AJ434)</f>
        <v>32</v>
      </c>
      <c r="AN434" s="865" t="str">
        <f>$AJ434&amp;"|"&amp;$AM434</f>
        <v>Infrastructure|32</v>
      </c>
      <c r="AP434" s="865" t="str">
        <f>IF(TRIM($B434)="","",IF($AQ434=1,"Leadership",IFERROR(INDEX(Lists!$X:$X,MATCH(TRIM($K434),Lists!$W:$W,0)),IF(OR(TRIM($K434)="",LOWER(TRIM($K434))="na"),IF(TRIM($G434)="","Unassigned",TRIM($G434)),TRIM($K434)))))</f>
        <v>Data &amp; Insights</v>
      </c>
      <c r="AQ434" s="865" t="b">
        <f>IF(TRIM($B434)="","",--OR(TRIM($K434)="Leadership",TRIM($J434)="Leadership"))</f>
        <v>0</v>
      </c>
      <c r="AR434" s="1136" t="str">
        <f>IF(TRIM($B434)="","",IF(IFERROR(INDEX(Lists!$AQ$2:$AQ$11,MATCH(ROW(),Lists!$AN$2:$AN$11,0)),"")&lt;&gt;"",IFERROR(INDEX(Lists!$AQ$2:$AQ$11,MATCH(ROW(),Lists!$AN$2:$AN$11,0)),""),IF(ISNUMBER(SEARCH("head of ",$C434)),"Head of Technology",IF(ISNUMBER(SEARCH("TDD BP",$C434)),"Business Partner",IF(OR(ISNUMBER(SEARCH("domain architect",$C434)),ISNUMBER(SEARCH("enterprise architect",$C434))),"Domain Architect",IF(ISNUMBER(SEARCH("delivery man",$C434)),"Delivery Manager",IF(OR(ISNUMBER(SEARCH("technology manager",$C434)),ISNUMBER(SEARCH("technology manger",$C434)),ISNUMBER(SEARCH("tech manager",$C434))),"Technology Manager","Squad")))))))</f>
        <v>Squad</v>
      </c>
      <c r="AS434" s="1136" t="str">
        <f>IF(TRIM($B434)="","",IFERROR(INDEX(Lists!$AA:$AA,MATCH($AP434,Lists!$Z:$Z,0)),$AP434))</f>
        <v>Data &amp; Insights</v>
      </c>
      <c r="AT434" s="1136" t="str">
        <f>IF(TRIM($B434)="","",IF(IFERROR(INDEX(Lists!$AP$2:$AP$11,MATCH(ROW(),Lists!$AN$2:$AN$11,0)),"")&lt;&gt;"",IFERROR(INDEX(Lists!$AP$2:$AP$11,MATCH(ROW(),Lists!$AN$2:$AN$11,0)),""),IF(OR(LEFT($AJ434,3)="COE",$AJ434="EGI"),$AP434,IF($AR434&lt;&gt;"Squad",$AR434,$AP434))))</f>
        <v>Data &amp; Insights</v>
      </c>
    </row>
    <row r="435" ht="18" customHeight="1" s="866">
      <c r="A435" s="1155" t="inlineStr">
        <is>
          <t>V</t>
        </is>
      </c>
      <c r="B435" s="1156" t="inlineStr">
        <is>
          <t>Vacant</t>
        </is>
      </c>
      <c r="C435" s="1156" t="inlineStr">
        <is>
          <t>Lead Data Analyst</t>
        </is>
      </c>
      <c r="D435" s="1156" t="inlineStr">
        <is>
          <t>Vacant</t>
        </is>
      </c>
      <c r="E435" s="1156" t="inlineStr">
        <is>
          <t>Technology Manger, Data</t>
        </is>
      </c>
      <c r="F435" s="1157" t="inlineStr">
        <is>
          <t>TDD CFE&amp;I</t>
        </is>
      </c>
      <c r="G435" s="1158" t="inlineStr">
        <is>
          <t>Fuel Infrastructure</t>
        </is>
      </c>
      <c r="H435" s="1158" t="inlineStr">
        <is>
          <t>Fuel Infrastructure, Data</t>
        </is>
      </c>
      <c r="I435" s="1158" t="inlineStr">
        <is>
          <t>Infrastructure</t>
        </is>
      </c>
      <c r="J435" s="1156" t="inlineStr">
        <is>
          <t xml:space="preserve">Data &amp; Insights </t>
        </is>
      </c>
      <c r="K435" s="1156" t="inlineStr">
        <is>
          <t xml:space="preserve">Data &amp; Insights </t>
        </is>
      </c>
      <c r="L435" s="1158" t="n"/>
      <c r="M435" s="1183" t="inlineStr">
        <is>
          <t>Australia</t>
        </is>
      </c>
      <c r="N435" s="1160" t="inlineStr">
        <is>
          <t>CIC</t>
        </is>
      </c>
      <c r="O435" s="1160" t="n">
        <v>1</v>
      </c>
      <c r="P435" s="1160" t="n"/>
      <c r="Q435" s="1160" t="inlineStr">
        <is>
          <t>v</t>
        </is>
      </c>
      <c r="R435" s="1162" t="n"/>
      <c r="S435" s="1162" t="n"/>
      <c r="T435" s="1162" t="n">
        <v>173550</v>
      </c>
      <c r="U435" s="1174" t="n">
        <v>173550</v>
      </c>
      <c r="V435" s="1166" t="n">
        <v>0.12</v>
      </c>
      <c r="W435" s="1170" t="n">
        <v>0.055</v>
      </c>
      <c r="X435" s="1170" t="n">
        <v>0.12</v>
      </c>
      <c r="Y435" s="1171" t="n"/>
      <c r="Z435" s="1170" t="n">
        <v>0.04</v>
      </c>
      <c r="AA435" s="1168">
        <f>IF(TRIM($B435)="","",IF(N($AU435)&gt;0,$AU435,IF(N($S435)&gt;0,$S435*Lists!$AG$15*(1+N($Z435)),N($U435)*(1+N($V435)+N($W435)+N($X435)+N($Z435))+N($Y435))))</f>
        <v>231689.25</v>
      </c>
      <c r="AB435" s="1238" t="n"/>
      <c r="AC435" s="1238" t="n"/>
      <c r="AD435" s="1238" t="n"/>
      <c r="AE435" s="1238" t="n"/>
      <c r="AF435" s="1238" t="n"/>
      <c r="AG435" s="1238" t="n"/>
      <c r="AH435" s="1238" t="n"/>
      <c r="AJ435" s="865" t="str">
        <f>IF(TRIM($B435)="","",IF(IFERROR(INDEX(Lists!$AO$2:$AO$11,MATCH(ROW(),Lists!$AN$2:$AN$11,0)),"")&lt;&gt;"",IFERROR(INDEX(Lists!$AO$2:$AO$11,MATCH(ROW(),Lists!$AN$2:$AN$11,0)),""),IFERROR(INDEX(Lists!$U:$U,MATCH(TRIM($I435),Lists!$T:$T,0)),TRIM($I435))))</f>
        <v>Infrastructure</v>
      </c>
      <c r="AK435" s="865" t="str">
        <f>IF(ISNUMBER(SEARCH("vacant",$B435)),"Vacant","Filled")</f>
        <v>Vacant</v>
      </c>
      <c r="AL435" s="865" t="str">
        <f>IF($M435="NZ","NZ","AU")</f>
        <v>AU</v>
      </c>
      <c r="AM435" s="865">
        <f>COUNTIF($AJ$2:$AJ435,$AJ435)</f>
        <v>33</v>
      </c>
      <c r="AN435" s="865" t="str">
        <f>$AJ435&amp;"|"&amp;$AM435</f>
        <v>Infrastructure|33</v>
      </c>
      <c r="AP435" s="865" t="str">
        <f>IF(TRIM($B435)="","",IF($AQ435=1,"Leadership",IFERROR(INDEX(Lists!$X:$X,MATCH(TRIM($K435),Lists!$W:$W,0)),IF(OR(TRIM($K435)="",LOWER(TRIM($K435))="na"),IF(TRIM($G435)="","Unassigned",TRIM($G435)),TRIM($K435)))))</f>
        <v>Data &amp; Insights</v>
      </c>
      <c r="AQ435" s="865" t="b">
        <f>IF(TRIM($B435)="","",--OR(TRIM($K435)="Leadership",TRIM($J435)="Leadership"))</f>
        <v>0</v>
      </c>
      <c r="AR435" s="1136" t="str">
        <f>IF(TRIM($B435)="","",IF(IFERROR(INDEX(Lists!$AQ$2:$AQ$11,MATCH(ROW(),Lists!$AN$2:$AN$11,0)),"")&lt;&gt;"",IFERROR(INDEX(Lists!$AQ$2:$AQ$11,MATCH(ROW(),Lists!$AN$2:$AN$11,0)),""),IF(ISNUMBER(SEARCH("head of ",$C435)),"Head of Technology",IF(ISNUMBER(SEARCH("TDD BP",$C435)),"Business Partner",IF(OR(ISNUMBER(SEARCH("domain architect",$C435)),ISNUMBER(SEARCH("enterprise architect",$C435))),"Domain Architect",IF(ISNUMBER(SEARCH("delivery man",$C435)),"Delivery Manager",IF(OR(ISNUMBER(SEARCH("technology manager",$C435)),ISNUMBER(SEARCH("technology manger",$C435)),ISNUMBER(SEARCH("tech manager",$C435))),"Technology Manager","Squad")))))))</f>
        <v>Squad</v>
      </c>
      <c r="AS435" s="1136" t="str">
        <f>IF(TRIM($B435)="","",IFERROR(INDEX(Lists!$AA:$AA,MATCH($AP435,Lists!$Z:$Z,0)),$AP435))</f>
        <v>Data &amp; Insights</v>
      </c>
      <c r="AT435" s="1136" t="str">
        <f>IF(TRIM($B435)="","",IF(IFERROR(INDEX(Lists!$AP$2:$AP$11,MATCH(ROW(),Lists!$AN$2:$AN$11,0)),"")&lt;&gt;"",IFERROR(INDEX(Lists!$AP$2:$AP$11,MATCH(ROW(),Lists!$AN$2:$AN$11,0)),""),IF(OR(LEFT($AJ435,3)="COE",$AJ435="EGI"),$AP435,IF($AR435&lt;&gt;"Squad",$AR435,$AP435))))</f>
        <v>Data &amp; Insights</v>
      </c>
    </row>
    <row r="436" ht="18" customHeight="1" s="866">
      <c r="A436" s="1155" t="inlineStr">
        <is>
          <t>V</t>
        </is>
      </c>
      <c r="B436" s="1156" t="inlineStr">
        <is>
          <t>Vacant</t>
        </is>
      </c>
      <c r="C436" s="1156" t="inlineStr">
        <is>
          <t>Reporting Analyst</t>
        </is>
      </c>
      <c r="D436" s="1156" t="inlineStr">
        <is>
          <t>Vacant</t>
        </is>
      </c>
      <c r="E436" s="1156" t="inlineStr">
        <is>
          <t>Technology Manger, Data</t>
        </is>
      </c>
      <c r="F436" s="1157" t="inlineStr">
        <is>
          <t>TDD CFE&amp;I</t>
        </is>
      </c>
      <c r="G436" s="1158" t="inlineStr">
        <is>
          <t>Fuel Infrastructure</t>
        </is>
      </c>
      <c r="H436" s="1158" t="inlineStr">
        <is>
          <t>Fuel Infrastructure, Data</t>
        </is>
      </c>
      <c r="I436" s="1158" t="inlineStr">
        <is>
          <t>Infrastructure</t>
        </is>
      </c>
      <c r="J436" s="1156" t="inlineStr">
        <is>
          <t xml:space="preserve">Data &amp; Insights </t>
        </is>
      </c>
      <c r="K436" s="1156" t="inlineStr">
        <is>
          <t xml:space="preserve">Data &amp; Insights </t>
        </is>
      </c>
      <c r="L436" s="1158" t="n"/>
      <c r="M436" s="1183" t="inlineStr">
        <is>
          <t>Australia</t>
        </is>
      </c>
      <c r="N436" s="1160" t="inlineStr">
        <is>
          <t>CIB</t>
        </is>
      </c>
      <c r="O436" s="1160" t="n">
        <v>1</v>
      </c>
      <c r="P436" s="1160" t="n"/>
      <c r="Q436" s="1160" t="inlineStr">
        <is>
          <t>v</t>
        </is>
      </c>
      <c r="R436" s="1162" t="n"/>
      <c r="S436" s="1162" t="n"/>
      <c r="T436" s="1162" t="n">
        <v>151950</v>
      </c>
      <c r="U436" s="1174" t="n">
        <v>151950</v>
      </c>
      <c r="V436" s="1166" t="n">
        <v>0.12</v>
      </c>
      <c r="W436" s="1170" t="n">
        <v>0.055</v>
      </c>
      <c r="X436" s="1170" t="n">
        <v>0.12</v>
      </c>
      <c r="Y436" s="1171" t="n"/>
      <c r="Z436" s="1170" t="n">
        <v>0.04</v>
      </c>
      <c r="AA436" s="1168">
        <f>IF(TRIM($B436)="","",IF(N($AU436)&gt;0,$AU436,IF(N($S436)&gt;0,$S436*Lists!$AG$15*(1+N($Z436)),N($U436)*(1+N($V436)+N($W436)+N($X436)+N($Z436))+N($Y436))))</f>
        <v>202853.25</v>
      </c>
      <c r="AB436" s="1238" t="n"/>
      <c r="AC436" s="1238" t="n"/>
      <c r="AD436" s="1238" t="n"/>
      <c r="AE436" s="1238" t="n"/>
      <c r="AF436" s="1238" t="n"/>
      <c r="AG436" s="1238" t="n"/>
      <c r="AH436" s="1238" t="n"/>
      <c r="AJ436" s="865" t="str">
        <f>IF(TRIM($B436)="","",IF(IFERROR(INDEX(Lists!$AO$2:$AO$11,MATCH(ROW(),Lists!$AN$2:$AN$11,0)),"")&lt;&gt;"",IFERROR(INDEX(Lists!$AO$2:$AO$11,MATCH(ROW(),Lists!$AN$2:$AN$11,0)),""),IFERROR(INDEX(Lists!$U:$U,MATCH(TRIM($I436),Lists!$T:$T,0)),TRIM($I436))))</f>
        <v>Infrastructure</v>
      </c>
      <c r="AK436" s="865" t="str">
        <f>IF(ISNUMBER(SEARCH("vacant",$B436)),"Vacant","Filled")</f>
        <v>Vacant</v>
      </c>
      <c r="AL436" s="865" t="str">
        <f>IF($M436="NZ","NZ","AU")</f>
        <v>AU</v>
      </c>
      <c r="AM436" s="865">
        <f>COUNTIF($AJ$2:$AJ436,$AJ436)</f>
        <v>34</v>
      </c>
      <c r="AN436" s="865" t="str">
        <f>$AJ436&amp;"|"&amp;$AM436</f>
        <v>Infrastructure|34</v>
      </c>
      <c r="AP436" s="865" t="str">
        <f>IF(TRIM($B436)="","",IF($AQ436=1,"Leadership",IFERROR(INDEX(Lists!$X:$X,MATCH(TRIM($K436),Lists!$W:$W,0)),IF(OR(TRIM($K436)="",LOWER(TRIM($K436))="na"),IF(TRIM($G436)="","Unassigned",TRIM($G436)),TRIM($K436)))))</f>
        <v>Data &amp; Insights</v>
      </c>
      <c r="AQ436" s="865" t="b">
        <f>IF(TRIM($B436)="","",--OR(TRIM($K436)="Leadership",TRIM($J436)="Leadership"))</f>
        <v>0</v>
      </c>
      <c r="AR436" s="1136" t="str">
        <f>IF(TRIM($B436)="","",IF(IFERROR(INDEX(Lists!$AQ$2:$AQ$11,MATCH(ROW(),Lists!$AN$2:$AN$11,0)),"")&lt;&gt;"",IFERROR(INDEX(Lists!$AQ$2:$AQ$11,MATCH(ROW(),Lists!$AN$2:$AN$11,0)),""),IF(ISNUMBER(SEARCH("head of ",$C436)),"Head of Technology",IF(ISNUMBER(SEARCH("TDD BP",$C436)),"Business Partner",IF(OR(ISNUMBER(SEARCH("domain architect",$C436)),ISNUMBER(SEARCH("enterprise architect",$C436))),"Domain Architect",IF(ISNUMBER(SEARCH("delivery man",$C436)),"Delivery Manager",IF(OR(ISNUMBER(SEARCH("technology manager",$C436)),ISNUMBER(SEARCH("technology manger",$C436)),ISNUMBER(SEARCH("tech manager",$C436))),"Technology Manager","Squad")))))))</f>
        <v>Squad</v>
      </c>
      <c r="AS436" s="1136" t="str">
        <f>IF(TRIM($B436)="","",IFERROR(INDEX(Lists!$AA:$AA,MATCH($AP436,Lists!$Z:$Z,0)),$AP436))</f>
        <v>Data &amp; Insights</v>
      </c>
      <c r="AT436" s="1136" t="str">
        <f>IF(TRIM($B436)="","",IF(IFERROR(INDEX(Lists!$AP$2:$AP$11,MATCH(ROW(),Lists!$AN$2:$AN$11,0)),"")&lt;&gt;"",IFERROR(INDEX(Lists!$AP$2:$AP$11,MATCH(ROW(),Lists!$AN$2:$AN$11,0)),""),IF(OR(LEFT($AJ436,3)="COE",$AJ436="EGI"),$AP436,IF($AR436&lt;&gt;"Squad",$AR436,$AP436))))</f>
        <v>Data &amp; Insights</v>
      </c>
    </row>
    <row r="437" ht="18" customHeight="1" s="866">
      <c r="A437" s="1155" t="inlineStr">
        <is>
          <t>V</t>
        </is>
      </c>
      <c r="B437" s="1156" t="inlineStr">
        <is>
          <t>Vacant</t>
        </is>
      </c>
      <c r="C437" s="1156" t="inlineStr">
        <is>
          <t>Senior Engineer Data</t>
        </is>
      </c>
      <c r="D437" s="1156" t="inlineStr">
        <is>
          <t>Vacant</t>
        </is>
      </c>
      <c r="E437" s="1156" t="inlineStr">
        <is>
          <t>Technology Manger, Data</t>
        </is>
      </c>
      <c r="F437" s="1157" t="inlineStr">
        <is>
          <t>TDD CFE&amp;I</t>
        </is>
      </c>
      <c r="G437" s="1158" t="inlineStr">
        <is>
          <t>Fuel Infrastructure</t>
        </is>
      </c>
      <c r="H437" s="1158" t="inlineStr">
        <is>
          <t>Fuel Infrastructure, Data</t>
        </is>
      </c>
      <c r="I437" s="1158" t="inlineStr">
        <is>
          <t>Infrastructure</t>
        </is>
      </c>
      <c r="J437" s="1156" t="inlineStr">
        <is>
          <t xml:space="preserve">Data &amp; Insights </t>
        </is>
      </c>
      <c r="K437" s="1156" t="inlineStr">
        <is>
          <t xml:space="preserve">Data &amp; Insights </t>
        </is>
      </c>
      <c r="L437" s="1158" t="n"/>
      <c r="M437" s="1183" t="inlineStr">
        <is>
          <t>Australia</t>
        </is>
      </c>
      <c r="N437" s="1160" t="inlineStr">
        <is>
          <t>CIB</t>
        </is>
      </c>
      <c r="O437" s="1160" t="n">
        <v>1</v>
      </c>
      <c r="P437" s="1160" t="n"/>
      <c r="Q437" s="1160" t="inlineStr">
        <is>
          <t>v</t>
        </is>
      </c>
      <c r="R437" s="1162" t="n"/>
      <c r="S437" s="1162" t="n"/>
      <c r="T437" s="1162" t="n">
        <v>151950</v>
      </c>
      <c r="U437" s="1174" t="n">
        <v>151950</v>
      </c>
      <c r="V437" s="1166" t="n">
        <v>0.12</v>
      </c>
      <c r="W437" s="1170" t="n">
        <v>0.055</v>
      </c>
      <c r="X437" s="1170" t="n">
        <v>0.12</v>
      </c>
      <c r="Y437" s="1171" t="n"/>
      <c r="Z437" s="1170" t="n">
        <v>0.04</v>
      </c>
      <c r="AA437" s="1168">
        <f>IF(TRIM($B437)="","",IF(N($AU437)&gt;0,$AU437,IF(N($S437)&gt;0,$S437*Lists!$AG$15*(1+N($Z437)),N($U437)*(1+N($V437)+N($W437)+N($X437)+N($Z437))+N($Y437))))</f>
        <v>202853.25</v>
      </c>
      <c r="AB437" s="1238" t="n"/>
      <c r="AC437" s="1238" t="n"/>
      <c r="AD437" s="1238" t="n"/>
      <c r="AE437" s="1238" t="n"/>
      <c r="AF437" s="1238" t="n"/>
      <c r="AG437" s="1238" t="n"/>
      <c r="AH437" s="1238" t="n"/>
      <c r="AJ437" s="865" t="str">
        <f>IF(TRIM($B437)="","",IF(IFERROR(INDEX(Lists!$AO$2:$AO$11,MATCH(ROW(),Lists!$AN$2:$AN$11,0)),"")&lt;&gt;"",IFERROR(INDEX(Lists!$AO$2:$AO$11,MATCH(ROW(),Lists!$AN$2:$AN$11,0)),""),IFERROR(INDEX(Lists!$U:$U,MATCH(TRIM($I437),Lists!$T:$T,0)),TRIM($I437))))</f>
        <v>Infrastructure</v>
      </c>
      <c r="AK437" s="865" t="str">
        <f>IF(ISNUMBER(SEARCH("vacant",$B437)),"Vacant","Filled")</f>
        <v>Vacant</v>
      </c>
      <c r="AL437" s="865" t="str">
        <f>IF($M437="NZ","NZ","AU")</f>
        <v>AU</v>
      </c>
      <c r="AM437" s="865">
        <f>COUNTIF($AJ$2:$AJ437,$AJ437)</f>
        <v>35</v>
      </c>
      <c r="AN437" s="865" t="str">
        <f>$AJ437&amp;"|"&amp;$AM437</f>
        <v>Infrastructure|35</v>
      </c>
      <c r="AP437" s="865" t="str">
        <f>IF(TRIM($B437)="","",IF($AQ437=1,"Leadership",IFERROR(INDEX(Lists!$X:$X,MATCH(TRIM($K437),Lists!$W:$W,0)),IF(OR(TRIM($K437)="",LOWER(TRIM($K437))="na"),IF(TRIM($G437)="","Unassigned",TRIM($G437)),TRIM($K437)))))</f>
        <v>Data &amp; Insights</v>
      </c>
      <c r="AQ437" s="865" t="b">
        <f>IF(TRIM($B437)="","",--OR(TRIM($K437)="Leadership",TRIM($J437)="Leadership"))</f>
        <v>0</v>
      </c>
      <c r="AR437" s="1136" t="str">
        <f>IF(TRIM($B437)="","",IF(IFERROR(INDEX(Lists!$AQ$2:$AQ$11,MATCH(ROW(),Lists!$AN$2:$AN$11,0)),"")&lt;&gt;"",IFERROR(INDEX(Lists!$AQ$2:$AQ$11,MATCH(ROW(),Lists!$AN$2:$AN$11,0)),""),IF(ISNUMBER(SEARCH("head of ",$C437)),"Head of Technology",IF(ISNUMBER(SEARCH("TDD BP",$C437)),"Business Partner",IF(OR(ISNUMBER(SEARCH("domain architect",$C437)),ISNUMBER(SEARCH("enterprise architect",$C437))),"Domain Architect",IF(ISNUMBER(SEARCH("delivery man",$C437)),"Delivery Manager",IF(OR(ISNUMBER(SEARCH("technology manager",$C437)),ISNUMBER(SEARCH("technology manger",$C437)),ISNUMBER(SEARCH("tech manager",$C437))),"Technology Manager","Squad")))))))</f>
        <v>Squad</v>
      </c>
      <c r="AS437" s="1136" t="str">
        <f>IF(TRIM($B437)="","",IFERROR(INDEX(Lists!$AA:$AA,MATCH($AP437,Lists!$Z:$Z,0)),$AP437))</f>
        <v>Data &amp; Insights</v>
      </c>
      <c r="AT437" s="1136" t="str">
        <f>IF(TRIM($B437)="","",IF(IFERROR(INDEX(Lists!$AP$2:$AP$11,MATCH(ROW(),Lists!$AN$2:$AN$11,0)),"")&lt;&gt;"",IFERROR(INDEX(Lists!$AP$2:$AP$11,MATCH(ROW(),Lists!$AN$2:$AN$11,0)),""),IF(OR(LEFT($AJ437,3)="COE",$AJ437="EGI"),$AP437,IF($AR437&lt;&gt;"Squad",$AR437,$AP437))))</f>
        <v>Data &amp; Insights</v>
      </c>
    </row>
    <row r="438" ht="18" customHeight="1" s="866">
      <c r="A438" s="1155" t="inlineStr">
        <is>
          <t>V</t>
        </is>
      </c>
      <c r="B438" s="1156" t="inlineStr">
        <is>
          <t>Vacant</t>
        </is>
      </c>
      <c r="C438" s="1156" t="inlineStr">
        <is>
          <t>Business Analyst</t>
        </is>
      </c>
      <c r="D438" s="1158" t="inlineStr">
        <is>
          <t>Vacant</t>
        </is>
      </c>
      <c r="E438" s="1156" t="inlineStr">
        <is>
          <t>Delivery Manager</t>
        </is>
      </c>
      <c r="F438" s="1157" t="inlineStr">
        <is>
          <t>TDD CFE&amp;I</t>
        </is>
      </c>
      <c r="G438" s="1158" t="inlineStr">
        <is>
          <t>B2B &amp; Energy Solutions</t>
        </is>
      </c>
      <c r="H438" s="1158" t="inlineStr">
        <is>
          <t>Delivery</t>
        </is>
      </c>
      <c r="I438" s="1158" t="inlineStr">
        <is>
          <t>B2B &amp; Energy Solutions</t>
        </is>
      </c>
      <c r="J438" s="1156" t="inlineStr">
        <is>
          <t>B2B</t>
        </is>
      </c>
      <c r="K438" s="1156" t="inlineStr">
        <is>
          <t>B2B</t>
        </is>
      </c>
      <c r="L438" s="1158" t="n"/>
      <c r="M438" s="1183" t="inlineStr">
        <is>
          <t>Australia</t>
        </is>
      </c>
      <c r="N438" s="1160" t="inlineStr">
        <is>
          <t>CIB</t>
        </is>
      </c>
      <c r="O438" s="1160" t="n">
        <v>1</v>
      </c>
      <c r="P438" s="1160" t="n"/>
      <c r="Q438" s="1160" t="inlineStr">
        <is>
          <t>V</t>
        </is>
      </c>
      <c r="R438" s="1162" t="n"/>
      <c r="S438" s="1162" t="n"/>
      <c r="T438" s="1162" t="n">
        <v>151950</v>
      </c>
      <c r="U438" s="1174" t="n">
        <v>151950</v>
      </c>
      <c r="V438" s="1166" t="n">
        <v>0.12</v>
      </c>
      <c r="W438" s="1170" t="n">
        <v>0.055</v>
      </c>
      <c r="X438" s="1170" t="n">
        <v>0.12</v>
      </c>
      <c r="Y438" s="1171" t="n"/>
      <c r="Z438" s="1170" t="n">
        <v>0.04</v>
      </c>
      <c r="AA438" s="1168">
        <f>IF(TRIM($B438)="","",IF(N($AU438)&gt;0,$AU438,IF(N($S438)&gt;0,$S438*Lists!$AG$15*(1+N($Z438)),N($U438)*(1+N($V438)+N($W438)+N($X438)+N($Z438))+N($Y438))))</f>
        <v>202853.25</v>
      </c>
      <c r="AB438" s="1238" t="n"/>
      <c r="AC438" s="1238" t="n"/>
      <c r="AD438" s="1238" t="n"/>
      <c r="AE438" s="1238" t="n"/>
      <c r="AF438" s="1238" t="n"/>
      <c r="AG438" s="1238" t="n"/>
      <c r="AH438" s="1238" t="n"/>
      <c r="AJ438" s="865" t="str">
        <f>IF(TRIM($B438)="","",IF(IFERROR(INDEX(Lists!$AO$2:$AO$11,MATCH(ROW(),Lists!$AN$2:$AN$11,0)),"")&lt;&gt;"",IFERROR(INDEX(Lists!$AO$2:$AO$11,MATCH(ROW(),Lists!$AN$2:$AN$11,0)),""),IFERROR(INDEX(Lists!$U:$U,MATCH(TRIM($I438),Lists!$T:$T,0)),TRIM($I438))))</f>
        <v>Energy Solutions &amp; B2B</v>
      </c>
      <c r="AK438" s="865" t="str">
        <f>IF(ISNUMBER(SEARCH("vacant",$B438)),"Vacant","Filled")</f>
        <v>Vacant</v>
      </c>
      <c r="AL438" s="865" t="str">
        <f>IF($M438="NZ","NZ","AU")</f>
        <v>AU</v>
      </c>
      <c r="AM438" s="865">
        <f>COUNTIF($AJ$2:$AJ438,$AJ438)</f>
        <v>32</v>
      </c>
      <c r="AN438" s="865" t="str">
        <f>$AJ438&amp;"|"&amp;$AM438</f>
        <v>Energy Solutions &amp; B2B|32</v>
      </c>
      <c r="AP438" s="865" t="str">
        <f>IF(TRIM($B438)="","",IF($AQ438=1,"Leadership",IFERROR(INDEX(Lists!$X:$X,MATCH(TRIM($K438),Lists!$W:$W,0)),IF(OR(TRIM($K438)="",LOWER(TRIM($K438))="na"),IF(TRIM($G438)="","Unassigned",TRIM($G438)),TRIM($K438)))))</f>
        <v>B2B</v>
      </c>
      <c r="AQ438" s="865" t="b">
        <f>IF(TRIM($B438)="","",--OR(TRIM($K438)="Leadership",TRIM($J438)="Leadership"))</f>
        <v>0</v>
      </c>
      <c r="AR438" s="1136" t="str">
        <f>IF(TRIM($B438)="","",IF(IFERROR(INDEX(Lists!$AQ$2:$AQ$11,MATCH(ROW(),Lists!$AN$2:$AN$11,0)),"")&lt;&gt;"",IFERROR(INDEX(Lists!$AQ$2:$AQ$11,MATCH(ROW(),Lists!$AN$2:$AN$11,0)),""),IF(ISNUMBER(SEARCH("head of ",$C438)),"Head of Technology",IF(ISNUMBER(SEARCH("TDD BP",$C438)),"Business Partner",IF(OR(ISNUMBER(SEARCH("domain architect",$C438)),ISNUMBER(SEARCH("enterprise architect",$C438))),"Domain Architect",IF(ISNUMBER(SEARCH("delivery man",$C438)),"Delivery Manager",IF(OR(ISNUMBER(SEARCH("technology manager",$C438)),ISNUMBER(SEARCH("technology manger",$C438)),ISNUMBER(SEARCH("tech manager",$C438))),"Technology Manager","Squad")))))))</f>
        <v>Squad</v>
      </c>
      <c r="AS438" s="1136" t="str">
        <f>IF(TRIM($B438)="","",IFERROR(INDEX(Lists!$AA:$AA,MATCH($AP438,Lists!$Z:$Z,0)),$AP438))</f>
        <v>B2B</v>
      </c>
      <c r="AT438" s="1136" t="str">
        <f>IF(TRIM($B438)="","",IF(IFERROR(INDEX(Lists!$AP$2:$AP$11,MATCH(ROW(),Lists!$AN$2:$AN$11,0)),"")&lt;&gt;"",IFERROR(INDEX(Lists!$AP$2:$AP$11,MATCH(ROW(),Lists!$AN$2:$AN$11,0)),""),IF(OR(LEFT($AJ438,3)="COE",$AJ438="EGI"),$AP438,IF($AR438&lt;&gt;"Squad",$AR438,$AP438))))</f>
        <v>B2B</v>
      </c>
    </row>
    <row r="439" ht="18" customHeight="1" s="866">
      <c r="A439" s="1155" t="inlineStr">
        <is>
          <t>V</t>
        </is>
      </c>
      <c r="B439" s="1156" t="inlineStr">
        <is>
          <t>Vacant</t>
        </is>
      </c>
      <c r="C439" s="1156" t="inlineStr">
        <is>
          <t>Business Analyst</t>
        </is>
      </c>
      <c r="D439" s="1158" t="inlineStr">
        <is>
          <t>Vacant</t>
        </is>
      </c>
      <c r="E439" s="1156" t="inlineStr">
        <is>
          <t>Delivery Manager</t>
        </is>
      </c>
      <c r="F439" s="1157" t="inlineStr">
        <is>
          <t>TDD CFE&amp;I</t>
        </is>
      </c>
      <c r="G439" s="1158" t="inlineStr">
        <is>
          <t>B2B &amp; Energy Solutions</t>
        </is>
      </c>
      <c r="H439" s="1158" t="inlineStr">
        <is>
          <t>Delivery</t>
        </is>
      </c>
      <c r="I439" s="1158" t="inlineStr">
        <is>
          <t>B2B &amp; Energy Solutions</t>
        </is>
      </c>
      <c r="J439" s="1158" t="inlineStr">
        <is>
          <t>Energy Solutions</t>
        </is>
      </c>
      <c r="K439" s="1156" t="inlineStr">
        <is>
          <t>Energy</t>
        </is>
      </c>
      <c r="L439" s="1158" t="n"/>
      <c r="M439" s="1183" t="inlineStr">
        <is>
          <t>Australia</t>
        </is>
      </c>
      <c r="N439" s="1160" t="inlineStr">
        <is>
          <t>CIB</t>
        </is>
      </c>
      <c r="O439" s="1160" t="n">
        <v>1</v>
      </c>
      <c r="P439" s="1160" t="n"/>
      <c r="Q439" s="1160" t="inlineStr">
        <is>
          <t>V</t>
        </is>
      </c>
      <c r="R439" s="1162" t="n"/>
      <c r="S439" s="1162" t="n"/>
      <c r="T439" s="1162" t="n">
        <v>151950</v>
      </c>
      <c r="U439" s="1174" t="n">
        <v>151950</v>
      </c>
      <c r="V439" s="1166" t="n">
        <v>0.12</v>
      </c>
      <c r="W439" s="1170" t="n">
        <v>0.055</v>
      </c>
      <c r="X439" s="1170" t="n">
        <v>0.12</v>
      </c>
      <c r="Y439" s="1171" t="n"/>
      <c r="Z439" s="1170" t="n">
        <v>0.04</v>
      </c>
      <c r="AA439" s="1168">
        <f>IF(TRIM($B439)="","",IF(N($AU439)&gt;0,$AU439,IF(N($S439)&gt;0,$S439*Lists!$AG$15*(1+N($Z439)),N($U439)*(1+N($V439)+N($W439)+N($X439)+N($Z439))+N($Y439))))</f>
        <v>202853.25</v>
      </c>
      <c r="AB439" s="1238" t="n"/>
      <c r="AC439" s="1238" t="n"/>
      <c r="AD439" s="1238" t="n"/>
      <c r="AE439" s="1238" t="n"/>
      <c r="AF439" s="1238" t="n"/>
      <c r="AG439" s="1238" t="n"/>
      <c r="AH439" s="1238" t="n"/>
      <c r="AJ439" s="865" t="str">
        <f>IF(TRIM($B439)="","",IF(IFERROR(INDEX(Lists!$AO$2:$AO$11,MATCH(ROW(),Lists!$AN$2:$AN$11,0)),"")&lt;&gt;"",IFERROR(INDEX(Lists!$AO$2:$AO$11,MATCH(ROW(),Lists!$AN$2:$AN$11,0)),""),IFERROR(INDEX(Lists!$U:$U,MATCH(TRIM($I439),Lists!$T:$T,0)),TRIM($I439))))</f>
        <v>Energy Solutions &amp; B2B</v>
      </c>
      <c r="AK439" s="865" t="str">
        <f>IF(ISNUMBER(SEARCH("vacant",$B439)),"Vacant","Filled")</f>
        <v>Vacant</v>
      </c>
      <c r="AL439" s="865" t="str">
        <f>IF($M439="NZ","NZ","AU")</f>
        <v>AU</v>
      </c>
      <c r="AM439" s="865">
        <f>COUNTIF($AJ$2:$AJ439,$AJ439)</f>
        <v>33</v>
      </c>
      <c r="AN439" s="865" t="str">
        <f>$AJ439&amp;"|"&amp;$AM439</f>
        <v>Energy Solutions &amp; B2B|33</v>
      </c>
      <c r="AP439" s="865" t="str">
        <f>IF(TRIM($B439)="","",IF($AQ439=1,"Leadership",IFERROR(INDEX(Lists!$X:$X,MATCH(TRIM($K439),Lists!$W:$W,0)),IF(OR(TRIM($K439)="",LOWER(TRIM($K439))="na"),IF(TRIM($G439)="","Unassigned",TRIM($G439)),TRIM($K439)))))</f>
        <v>Energy</v>
      </c>
      <c r="AQ439" s="865" t="b">
        <f>IF(TRIM($B439)="","",--OR(TRIM($K439)="Leadership",TRIM($J439)="Leadership"))</f>
        <v>0</v>
      </c>
      <c r="AR439" s="1136" t="str">
        <f>IF(TRIM($B439)="","",IF(IFERROR(INDEX(Lists!$AQ$2:$AQ$11,MATCH(ROW(),Lists!$AN$2:$AN$11,0)),"")&lt;&gt;"",IFERROR(INDEX(Lists!$AQ$2:$AQ$11,MATCH(ROW(),Lists!$AN$2:$AN$11,0)),""),IF(ISNUMBER(SEARCH("head of ",$C439)),"Head of Technology",IF(ISNUMBER(SEARCH("TDD BP",$C439)),"Business Partner",IF(OR(ISNUMBER(SEARCH("domain architect",$C439)),ISNUMBER(SEARCH("enterprise architect",$C439))),"Domain Architect",IF(ISNUMBER(SEARCH("delivery man",$C439)),"Delivery Manager",IF(OR(ISNUMBER(SEARCH("technology manager",$C439)),ISNUMBER(SEARCH("technology manger",$C439)),ISNUMBER(SEARCH("tech manager",$C439))),"Technology Manager","Squad")))))))</f>
        <v>Squad</v>
      </c>
      <c r="AS439" s="1136" t="str">
        <f>IF(TRIM($B439)="","",IFERROR(INDEX(Lists!$AA:$AA,MATCH($AP439,Lists!$Z:$Z,0)),$AP439))</f>
        <v>Energy</v>
      </c>
      <c r="AT439" s="1136" t="str">
        <f>IF(TRIM($B439)="","",IF(IFERROR(INDEX(Lists!$AP$2:$AP$11,MATCH(ROW(),Lists!$AN$2:$AN$11,0)),"")&lt;&gt;"",IFERROR(INDEX(Lists!$AP$2:$AP$11,MATCH(ROW(),Lists!$AN$2:$AN$11,0)),""),IF(OR(LEFT($AJ439,3)="COE",$AJ439="EGI"),$AP439,IF($AR439&lt;&gt;"Squad",$AR439,$AP439))))</f>
        <v>Energy</v>
      </c>
    </row>
    <row r="440" ht="18" customHeight="1" s="866">
      <c r="A440" s="1155" t="inlineStr">
        <is>
          <t>V</t>
        </is>
      </c>
      <c r="B440" s="1156" t="inlineStr">
        <is>
          <t>Vacant</t>
        </is>
      </c>
      <c r="C440" s="1156" t="inlineStr">
        <is>
          <t>Engineer Software</t>
        </is>
      </c>
      <c r="D440" s="1158" t="inlineStr">
        <is>
          <t>Vacant</t>
        </is>
      </c>
      <c r="E440" s="1156" t="inlineStr">
        <is>
          <t>Technology Manager, Engineering</t>
        </is>
      </c>
      <c r="F440" s="1157" t="inlineStr">
        <is>
          <t>TDD CFE&amp;I</t>
        </is>
      </c>
      <c r="G440" s="1158" t="inlineStr">
        <is>
          <t>Commercial Fuels</t>
        </is>
      </c>
      <c r="H440" s="1158" t="inlineStr">
        <is>
          <t>Technology, CF Engineering</t>
        </is>
      </c>
      <c r="I440" s="1158" t="inlineStr">
        <is>
          <t>Commercial Fuels</t>
        </is>
      </c>
      <c r="J440" s="1158" t="inlineStr">
        <is>
          <t>Supply</t>
        </is>
      </c>
      <c r="K440" s="1156" t="inlineStr">
        <is>
          <t>Supply</t>
        </is>
      </c>
      <c r="L440" s="1158" t="n"/>
      <c r="M440" s="1183" t="inlineStr">
        <is>
          <t>Australia</t>
        </is>
      </c>
      <c r="N440" s="1160" t="inlineStr">
        <is>
          <t>CIB</t>
        </is>
      </c>
      <c r="O440" s="1160" t="n">
        <v>1</v>
      </c>
      <c r="P440" s="1160" t="n"/>
      <c r="Q440" s="1160" t="inlineStr">
        <is>
          <t>V</t>
        </is>
      </c>
      <c r="R440" s="1162" t="n"/>
      <c r="S440" s="1162" t="n"/>
      <c r="T440" s="1162" t="n">
        <v>151950</v>
      </c>
      <c r="U440" s="1174" t="n">
        <v>151950</v>
      </c>
      <c r="V440" s="1166" t="n">
        <v>0.12</v>
      </c>
      <c r="W440" s="1170" t="n">
        <v>0.055</v>
      </c>
      <c r="X440" s="1170" t="n">
        <v>0.12</v>
      </c>
      <c r="Y440" s="1171" t="n"/>
      <c r="Z440" s="1170" t="n">
        <v>0.04</v>
      </c>
      <c r="AA440" s="1168">
        <f>IF(TRIM($B440)="","",IF(N($AU440)&gt;0,$AU440,IF(N($S440)&gt;0,$S440*Lists!$AG$15*(1+N($Z440)),N($U440)*(1+N($V440)+N($W440)+N($X440)+N($Z440))+N($Y440))))</f>
        <v>202853.25</v>
      </c>
      <c r="AB440" s="1238" t="n"/>
      <c r="AC440" s="1238" t="n"/>
      <c r="AD440" s="1238" t="n"/>
      <c r="AE440" s="1238" t="n"/>
      <c r="AF440" s="1238" t="n"/>
      <c r="AG440" s="1238" t="n"/>
      <c r="AH440" s="1238" t="n"/>
      <c r="AJ440" s="865" t="str">
        <f>IF(TRIM($B440)="","",IF(IFERROR(INDEX(Lists!$AO$2:$AO$11,MATCH(ROW(),Lists!$AN$2:$AN$11,0)),"")&lt;&gt;"",IFERROR(INDEX(Lists!$AO$2:$AO$11,MATCH(ROW(),Lists!$AN$2:$AN$11,0)),""),IFERROR(INDEX(Lists!$U:$U,MATCH(TRIM($I440),Lists!$T:$T,0)),TRIM($I440))))</f>
        <v>Commercial Fuels</v>
      </c>
      <c r="AK440" s="865" t="str">
        <f>IF(ISNUMBER(SEARCH("vacant",$B440)),"Vacant","Filled")</f>
        <v>Vacant</v>
      </c>
      <c r="AL440" s="865" t="str">
        <f>IF($M440="NZ","NZ","AU")</f>
        <v>AU</v>
      </c>
      <c r="AM440" s="865">
        <f>COUNTIF($AJ$2:$AJ440,$AJ440)</f>
        <v>39</v>
      </c>
      <c r="AN440" s="865" t="str">
        <f>$AJ440&amp;"|"&amp;$AM440</f>
        <v>Commercial Fuels|39</v>
      </c>
      <c r="AP440" s="865" t="str">
        <f>IF(TRIM($B440)="","",IF($AQ440=1,"Leadership",IFERROR(INDEX(Lists!$X:$X,MATCH(TRIM($K440),Lists!$W:$W,0)),IF(OR(TRIM($K440)="",LOWER(TRIM($K440))="na"),IF(TRIM($G440)="","Unassigned",TRIM($G440)),TRIM($K440)))))</f>
        <v>Supply</v>
      </c>
      <c r="AQ440" s="865" t="b">
        <f>IF(TRIM($B440)="","",--OR(TRIM($K440)="Leadership",TRIM($J440)="Leadership"))</f>
        <v>0</v>
      </c>
      <c r="AR440" s="1136" t="str">
        <f>IF(TRIM($B440)="","",IF(IFERROR(INDEX(Lists!$AQ$2:$AQ$11,MATCH(ROW(),Lists!$AN$2:$AN$11,0)),"")&lt;&gt;"",IFERROR(INDEX(Lists!$AQ$2:$AQ$11,MATCH(ROW(),Lists!$AN$2:$AN$11,0)),""),IF(ISNUMBER(SEARCH("head of ",$C440)),"Head of Technology",IF(ISNUMBER(SEARCH("TDD BP",$C440)),"Business Partner",IF(OR(ISNUMBER(SEARCH("domain architect",$C440)),ISNUMBER(SEARCH("enterprise architect",$C440))),"Domain Architect",IF(ISNUMBER(SEARCH("delivery man",$C440)),"Delivery Manager",IF(OR(ISNUMBER(SEARCH("technology manager",$C440)),ISNUMBER(SEARCH("technology manger",$C440)),ISNUMBER(SEARCH("tech manager",$C440))),"Technology Manager","Squad")))))))</f>
        <v>Squad</v>
      </c>
      <c r="AS440" s="1136" t="str">
        <f>IF(TRIM($B440)="","",IFERROR(INDEX(Lists!$AA:$AA,MATCH($AP440,Lists!$Z:$Z,0)),$AP440))</f>
        <v>Supply</v>
      </c>
      <c r="AT440" s="1136" t="str">
        <f>IF(TRIM($B440)="","",IF(IFERROR(INDEX(Lists!$AP$2:$AP$11,MATCH(ROW(),Lists!$AN$2:$AN$11,0)),"")&lt;&gt;"",IFERROR(INDEX(Lists!$AP$2:$AP$11,MATCH(ROW(),Lists!$AN$2:$AN$11,0)),""),IF(OR(LEFT($AJ440,3)="COE",$AJ440="EGI"),$AP440,IF($AR440&lt;&gt;"Squad",$AR440,$AP440))))</f>
        <v>Supply</v>
      </c>
    </row>
    <row r="441" ht="18" customHeight="1" s="866">
      <c r="A441" s="1155" t="inlineStr">
        <is>
          <t>V</t>
        </is>
      </c>
      <c r="B441" s="1156" t="inlineStr">
        <is>
          <t>Vacant</t>
        </is>
      </c>
      <c r="C441" s="1156" t="inlineStr">
        <is>
          <t>System Specialist</t>
        </is>
      </c>
      <c r="D441" s="1156" t="inlineStr">
        <is>
          <t>Allan Francia</t>
        </is>
      </c>
      <c r="E441" s="1156" t="inlineStr">
        <is>
          <t>Technology Manager, T&amp;S</t>
        </is>
      </c>
      <c r="F441" s="1157" t="inlineStr">
        <is>
          <t>TDD CFE&amp;I</t>
        </is>
      </c>
      <c r="G441" s="1158" t="inlineStr">
        <is>
          <t>Commercial Fuels</t>
        </is>
      </c>
      <c r="H441" s="1158" t="inlineStr">
        <is>
          <t>Technology, Trading &amp; Shipping</t>
        </is>
      </c>
      <c r="I441" s="1158" t="inlineStr">
        <is>
          <t>Commercial Fuels</t>
        </is>
      </c>
      <c r="J441" s="1158" t="inlineStr">
        <is>
          <t>Supply</t>
        </is>
      </c>
      <c r="K441" s="1156" t="inlineStr">
        <is>
          <t>Supply</t>
        </is>
      </c>
      <c r="L441" s="1158" t="n"/>
      <c r="M441" s="1183" t="inlineStr">
        <is>
          <t>Australia</t>
        </is>
      </c>
      <c r="N441" s="1162" t="inlineStr">
        <is>
          <t>CIB</t>
        </is>
      </c>
      <c r="O441" s="1160" t="n">
        <v>1</v>
      </c>
      <c r="P441" s="1162" t="n"/>
      <c r="Q441" s="1160" t="inlineStr">
        <is>
          <t>v</t>
        </is>
      </c>
      <c r="R441" s="1162" t="n"/>
      <c r="S441" s="1162" t="n"/>
      <c r="T441" s="1162" t="n">
        <v>151950</v>
      </c>
      <c r="U441" s="1174" t="n">
        <v>151950</v>
      </c>
      <c r="V441" s="1166" t="n">
        <v>0.12</v>
      </c>
      <c r="W441" s="1170" t="n">
        <v>0.055</v>
      </c>
      <c r="X441" s="1170" t="n">
        <v>0.12</v>
      </c>
      <c r="Y441" s="1171" t="n"/>
      <c r="Z441" s="1170" t="n">
        <v>0.04</v>
      </c>
      <c r="AA441" s="1168">
        <f>IF(TRIM($B441)="","",IF(N($AU441)&gt;0,$AU441,IF(N($S441)&gt;0,$S441*Lists!$AG$15*(1+N($Z441)),N($U441)*(1+N($V441)+N($W441)+N($X441)+N($Z441))+N($Y441))))</f>
        <v>202853.25</v>
      </c>
      <c r="AB441" s="1238" t="n"/>
      <c r="AC441" s="1238" t="n"/>
      <c r="AD441" s="1238" t="n"/>
      <c r="AE441" s="1238" t="n"/>
      <c r="AF441" s="1238" t="n"/>
      <c r="AG441" s="1238" t="n"/>
      <c r="AH441" s="1238" t="n"/>
      <c r="AJ441" s="865" t="str">
        <f>IF(TRIM($B441)="","",IF(IFERROR(INDEX(Lists!$AO$2:$AO$11,MATCH(ROW(),Lists!$AN$2:$AN$11,0)),"")&lt;&gt;"",IFERROR(INDEX(Lists!$AO$2:$AO$11,MATCH(ROW(),Lists!$AN$2:$AN$11,0)),""),IFERROR(INDEX(Lists!$U:$U,MATCH(TRIM($I441),Lists!$T:$T,0)),TRIM($I441))))</f>
        <v>Commercial Fuels</v>
      </c>
      <c r="AK441" s="865" t="str">
        <f>IF(ISNUMBER(SEARCH("vacant",$B441)),"Vacant","Filled")</f>
        <v>Vacant</v>
      </c>
      <c r="AL441" s="865" t="str">
        <f>IF($M441="NZ","NZ","AU")</f>
        <v>AU</v>
      </c>
      <c r="AM441" s="865">
        <f>COUNTIF($AJ$2:$AJ441,$AJ441)</f>
        <v>40</v>
      </c>
      <c r="AN441" s="865" t="str">
        <f>$AJ441&amp;"|"&amp;$AM441</f>
        <v>Commercial Fuels|40</v>
      </c>
      <c r="AP441" s="865" t="str">
        <f>IF(TRIM($B441)="","",IF($AQ441=1,"Leadership",IFERROR(INDEX(Lists!$X:$X,MATCH(TRIM($K441),Lists!$W:$W,0)),IF(OR(TRIM($K441)="",LOWER(TRIM($K441))="na"),IF(TRIM($G441)="","Unassigned",TRIM($G441)),TRIM($K441)))))</f>
        <v>Supply</v>
      </c>
      <c r="AQ441" s="865" t="b">
        <f>IF(TRIM($B441)="","",--OR(TRIM($K441)="Leadership",TRIM($J441)="Leadership"))</f>
        <v>0</v>
      </c>
      <c r="AR441" s="1136" t="str">
        <f>IF(TRIM($B441)="","",IF(IFERROR(INDEX(Lists!$AQ$2:$AQ$11,MATCH(ROW(),Lists!$AN$2:$AN$11,0)),"")&lt;&gt;"",IFERROR(INDEX(Lists!$AQ$2:$AQ$11,MATCH(ROW(),Lists!$AN$2:$AN$11,0)),""),IF(ISNUMBER(SEARCH("head of ",$C441)),"Head of Technology",IF(ISNUMBER(SEARCH("TDD BP",$C441)),"Business Partner",IF(OR(ISNUMBER(SEARCH("domain architect",$C441)),ISNUMBER(SEARCH("enterprise architect",$C441))),"Domain Architect",IF(ISNUMBER(SEARCH("delivery man",$C441)),"Delivery Manager",IF(OR(ISNUMBER(SEARCH("technology manager",$C441)),ISNUMBER(SEARCH("technology manger",$C441)),ISNUMBER(SEARCH("tech manager",$C441))),"Technology Manager","Squad")))))))</f>
        <v>Squad</v>
      </c>
      <c r="AS441" s="1136" t="str">
        <f>IF(TRIM($B441)="","",IFERROR(INDEX(Lists!$AA:$AA,MATCH($AP441,Lists!$Z:$Z,0)),$AP441))</f>
        <v>Supply</v>
      </c>
      <c r="AT441" s="1136" t="str">
        <f>IF(TRIM($B441)="","",IF(IFERROR(INDEX(Lists!$AP$2:$AP$11,MATCH(ROW(),Lists!$AN$2:$AN$11,0)),"")&lt;&gt;"",IFERROR(INDEX(Lists!$AP$2:$AP$11,MATCH(ROW(),Lists!$AN$2:$AN$11,0)),""),IF(OR(LEFT($AJ441,3)="COE",$AJ441="EGI"),$AP441,IF($AR441&lt;&gt;"Squad",$AR441,$AP441))))</f>
        <v>Supply</v>
      </c>
    </row>
    <row r="442" ht="18" customHeight="1" s="866">
      <c r="A442" s="1155" t="n">
        <v>106791</v>
      </c>
      <c r="B442" s="1156" t="inlineStr">
        <is>
          <t>Victor Beuk</t>
        </is>
      </c>
      <c r="C442" s="1156" t="inlineStr">
        <is>
          <t>Delivery Lead</t>
        </is>
      </c>
      <c r="D442" s="1158" t="inlineStr">
        <is>
          <t>Vacant</t>
        </is>
      </c>
      <c r="E442" s="1156" t="inlineStr">
        <is>
          <t>Delivery Manager</t>
        </is>
      </c>
      <c r="F442" s="1157" t="inlineStr">
        <is>
          <t>TDD CFE&amp;I</t>
        </is>
      </c>
      <c r="G442" s="1158" t="inlineStr">
        <is>
          <t>B2B &amp; Energy Solutions</t>
        </is>
      </c>
      <c r="H442" s="1158" t="inlineStr">
        <is>
          <t>Delivery</t>
        </is>
      </c>
      <c r="I442" s="1158" t="inlineStr">
        <is>
          <t>RETAIL</t>
        </is>
      </c>
      <c r="J442" s="1158" t="inlineStr">
        <is>
          <t>AMPOS</t>
        </is>
      </c>
      <c r="K442" s="1156" t="inlineStr">
        <is>
          <t>AmPos</t>
        </is>
      </c>
      <c r="L442" s="1158" t="n"/>
      <c r="M442" s="1183" t="inlineStr">
        <is>
          <t>Australia</t>
        </is>
      </c>
      <c r="N442" s="1160" t="inlineStr">
        <is>
          <t>CIC</t>
        </is>
      </c>
      <c r="O442" s="1160" t="n">
        <v>1</v>
      </c>
      <c r="P442" s="1160" t="n"/>
      <c r="Q442" s="1160" t="inlineStr">
        <is>
          <t>Permanent - Full Time</t>
        </is>
      </c>
      <c r="R442" s="1162" t="n"/>
      <c r="S442" s="1162" t="n"/>
      <c r="T442" s="1162" t="n">
        <v>185360</v>
      </c>
      <c r="U442" s="1174" t="n">
        <v>185360</v>
      </c>
      <c r="V442" s="1166" t="n">
        <v>0.12</v>
      </c>
      <c r="W442" s="1170" t="n">
        <v>0.055</v>
      </c>
      <c r="X442" s="1170" t="n">
        <v>0.12</v>
      </c>
      <c r="Y442" s="1171" t="n"/>
      <c r="Z442" s="1170" t="n">
        <v>0.04</v>
      </c>
      <c r="AA442" s="1168">
        <f>IF(TRIM($B442)="","",IF(N($AU442)&gt;0,$AU442,IF(N($S442)&gt;0,$S442*Lists!$AG$15*(1+N($Z442)),N($U442)*(1+N($V442)+N($W442)+N($X442)+N($Z442))+N($Y442))))</f>
        <v>247455.6</v>
      </c>
      <c r="AB442" s="1238" t="n"/>
      <c r="AC442" s="1238" t="n"/>
      <c r="AD442" s="1238" t="n"/>
      <c r="AE442" s="1238" t="n"/>
      <c r="AF442" s="1238" t="n"/>
      <c r="AG442" s="1238" t="n"/>
      <c r="AH442" s="1238" t="n"/>
      <c r="AJ442" s="865" t="str">
        <f>IF(TRIM($B442)="","",IF(IFERROR(INDEX(Lists!$AO$2:$AO$11,MATCH(ROW(),Lists!$AN$2:$AN$11,0)),"")&lt;&gt;"",IFERROR(INDEX(Lists!$AO$2:$AO$11,MATCH(ROW(),Lists!$AN$2:$AN$11,0)),""),IFERROR(INDEX(Lists!$U:$U,MATCH(TRIM($I442),Lists!$T:$T,0)),TRIM($I442))))</f>
        <v>Ampol Retail</v>
      </c>
      <c r="AK442" s="865" t="str">
        <f>IF(ISNUMBER(SEARCH("vacant",$B442)),"Vacant","Filled")</f>
        <v>Filled</v>
      </c>
      <c r="AL442" s="865" t="str">
        <f>IF($M442="NZ","NZ","AU")</f>
        <v>AU</v>
      </c>
      <c r="AM442" s="865">
        <f>COUNTIF($AJ$2:$AJ442,$AJ442)</f>
        <v>69</v>
      </c>
      <c r="AN442" s="865" t="str">
        <f>$AJ442&amp;"|"&amp;$AM442</f>
        <v>Ampol Retail|69</v>
      </c>
      <c r="AP442" s="865" t="str">
        <f>IF(TRIM($B442)="","",IF($AQ442=1,"Leadership",IFERROR(INDEX(Lists!$X:$X,MATCH(TRIM($K442),Lists!$W:$W,0)),IF(OR(TRIM($K442)="",LOWER(TRIM($K442))="na"),IF(TRIM($G442)="","Unassigned",TRIM($G442)),TRIM($K442)))))</f>
        <v>AmPOS</v>
      </c>
      <c r="AQ442" s="865" t="b">
        <f>IF(TRIM($B442)="","",--OR(TRIM($K442)="Leadership",TRIM($J442)="Leadership"))</f>
        <v>0</v>
      </c>
      <c r="AR442" s="1136" t="str">
        <f>IF(TRIM($B442)="","",IF(IFERROR(INDEX(Lists!$AQ$2:$AQ$11,MATCH(ROW(),Lists!$AN$2:$AN$11,0)),"")&lt;&gt;"",IFERROR(INDEX(Lists!$AQ$2:$AQ$11,MATCH(ROW(),Lists!$AN$2:$AN$11,0)),""),IF(ISNUMBER(SEARCH("head of ",$C442)),"Head of Technology",IF(ISNUMBER(SEARCH("TDD BP",$C442)),"Business Partner",IF(OR(ISNUMBER(SEARCH("domain architect",$C442)),ISNUMBER(SEARCH("enterprise architect",$C442))),"Domain Architect",IF(ISNUMBER(SEARCH("delivery man",$C442)),"Delivery Manager",IF(OR(ISNUMBER(SEARCH("technology manager",$C442)),ISNUMBER(SEARCH("technology manger",$C442)),ISNUMBER(SEARCH("tech manager",$C442))),"Technology Manager","Squad")))))))</f>
        <v>Squad</v>
      </c>
      <c r="AS442" s="1136" t="str">
        <f>IF(TRIM($B442)="","",IFERROR(INDEX(Lists!$AA:$AA,MATCH($AP442,Lists!$Z:$Z,0)),$AP442))</f>
        <v>AmPOS</v>
      </c>
      <c r="AT442" s="1136" t="str">
        <f>IF(TRIM($B442)="","",IF(IFERROR(INDEX(Lists!$AP$2:$AP$11,MATCH(ROW(),Lists!$AN$2:$AN$11,0)),"")&lt;&gt;"",IFERROR(INDEX(Lists!$AP$2:$AP$11,MATCH(ROW(),Lists!$AN$2:$AN$11,0)),""),IF(OR(LEFT($AJ442,3)="COE",$AJ442="EGI"),$AP442,IF($AR442&lt;&gt;"Squad",$AR442,$AP442))))</f>
        <v>AmPOS</v>
      </c>
    </row>
    <row r="443" ht="18" customHeight="1" s="866">
      <c r="A443" s="1155" t="n">
        <v>98087</v>
      </c>
      <c r="B443" s="1156" t="inlineStr">
        <is>
          <t>Victor Olasanoye</t>
        </is>
      </c>
      <c r="C443" s="1156" t="inlineStr">
        <is>
          <t>Senior Systems Analyst</t>
        </is>
      </c>
      <c r="D443" s="1156" t="inlineStr">
        <is>
          <t>Jaya Ganasan</t>
        </is>
      </c>
      <c r="E443" s="1156" t="inlineStr">
        <is>
          <t>Technology Manager, TDD Refinery</t>
        </is>
      </c>
      <c r="F443" s="1157" t="inlineStr">
        <is>
          <t>TDD CFE&amp;I</t>
        </is>
      </c>
      <c r="G443" s="1158" t="inlineStr">
        <is>
          <t>Fuel Infrastructure</t>
        </is>
      </c>
      <c r="H443" s="1158" t="inlineStr">
        <is>
          <t>Refinery Applications</t>
        </is>
      </c>
      <c r="I443" s="1158" t="inlineStr">
        <is>
          <t>Infrastructure</t>
        </is>
      </c>
      <c r="J443" s="1158" t="inlineStr">
        <is>
          <t>Manufacturing</t>
        </is>
      </c>
      <c r="K443" s="1156" t="inlineStr">
        <is>
          <t>Manufacturing Group Projects</t>
        </is>
      </c>
      <c r="L443" s="1158" t="n"/>
      <c r="M443" s="1183" t="inlineStr">
        <is>
          <t>Australia</t>
        </is>
      </c>
      <c r="N443" s="1160" t="inlineStr">
        <is>
          <t>CIB</t>
        </is>
      </c>
      <c r="O443" s="1160" t="n">
        <v>1</v>
      </c>
      <c r="P443" s="1160" t="n"/>
      <c r="Q443" s="1160" t="inlineStr">
        <is>
          <t>Permanent - Full Time</t>
        </is>
      </c>
      <c r="R443" s="1162" t="n"/>
      <c r="S443" s="1162" t="n"/>
      <c r="T443" s="1162" t="n">
        <v>159820</v>
      </c>
      <c r="U443" s="1174" t="n">
        <v>159820</v>
      </c>
      <c r="V443" s="1166" t="n">
        <v>0.12</v>
      </c>
      <c r="W443" s="1170" t="n">
        <v>0.055</v>
      </c>
      <c r="X443" s="1170" t="n">
        <v>0.12</v>
      </c>
      <c r="Y443" s="1171" t="n"/>
      <c r="Z443" s="1170" t="n">
        <v>0.04</v>
      </c>
      <c r="AA443" s="1168">
        <f>IF(TRIM($B443)="","",IF(N($AU443)&gt;0,$AU443,IF(N($S443)&gt;0,$S443*Lists!$AG$15*(1+N($Z443)),N($U443)*(1+N($V443)+N($W443)+N($X443)+N($Z443))+N($Y443))))</f>
        <v>213359.7</v>
      </c>
      <c r="AB443" s="1238" t="n"/>
      <c r="AC443" s="1238" t="n"/>
      <c r="AD443" s="1238" t="n"/>
      <c r="AE443" s="1238" t="n"/>
      <c r="AF443" s="1238" t="n"/>
      <c r="AG443" s="1238" t="n"/>
      <c r="AH443" s="1238" t="n"/>
      <c r="AJ443" s="865" t="str">
        <f>IF(TRIM($B443)="","",IF(IFERROR(INDEX(Lists!$AO$2:$AO$11,MATCH(ROW(),Lists!$AN$2:$AN$11,0)),"")&lt;&gt;"",IFERROR(INDEX(Lists!$AO$2:$AO$11,MATCH(ROW(),Lists!$AN$2:$AN$11,0)),""),IFERROR(INDEX(Lists!$U:$U,MATCH(TRIM($I443),Lists!$T:$T,0)),TRIM($I443))))</f>
        <v>Infrastructure</v>
      </c>
      <c r="AK443" s="865" t="str">
        <f>IF(ISNUMBER(SEARCH("vacant",$B443)),"Vacant","Filled")</f>
        <v>Filled</v>
      </c>
      <c r="AL443" s="865" t="str">
        <f>IF($M443="NZ","NZ","AU")</f>
        <v>AU</v>
      </c>
      <c r="AM443" s="865">
        <f>COUNTIF($AJ$2:$AJ443,$AJ443)</f>
        <v>36</v>
      </c>
      <c r="AN443" s="865" t="str">
        <f>$AJ443&amp;"|"&amp;$AM443</f>
        <v>Infrastructure|36</v>
      </c>
      <c r="AP443" s="865" t="str">
        <f>IF(TRIM($B443)="","",IF($AQ443=1,"Leadership",IFERROR(INDEX(Lists!$X:$X,MATCH(TRIM($K443),Lists!$W:$W,0)),IF(OR(TRIM($K443)="",LOWER(TRIM($K443))="na"),IF(TRIM($G443)="","Unassigned",TRIM($G443)),TRIM($K443)))))</f>
        <v>Manufacturing Group Projects</v>
      </c>
      <c r="AQ443" s="865" t="b">
        <f>IF(TRIM($B443)="","",--OR(TRIM($K443)="Leadership",TRIM($J443)="Leadership"))</f>
        <v>0</v>
      </c>
      <c r="AR443" s="1136" t="str">
        <f>IF(TRIM($B443)="","",IF(IFERROR(INDEX(Lists!$AQ$2:$AQ$11,MATCH(ROW(),Lists!$AN$2:$AN$11,0)),"")&lt;&gt;"",IFERROR(INDEX(Lists!$AQ$2:$AQ$11,MATCH(ROW(),Lists!$AN$2:$AN$11,0)),""),IF(ISNUMBER(SEARCH("head of ",$C443)),"Head of Technology",IF(ISNUMBER(SEARCH("TDD BP",$C443)),"Business Partner",IF(OR(ISNUMBER(SEARCH("domain architect",$C443)),ISNUMBER(SEARCH("enterprise architect",$C443))),"Domain Architect",IF(ISNUMBER(SEARCH("delivery man",$C443)),"Delivery Manager",IF(OR(ISNUMBER(SEARCH("technology manager",$C443)),ISNUMBER(SEARCH("technology manger",$C443)),ISNUMBER(SEARCH("tech manager",$C443))),"Technology Manager","Squad")))))))</f>
        <v>Squad</v>
      </c>
      <c r="AS443" s="1136" t="str">
        <f>IF(TRIM($B443)="","",IFERROR(INDEX(Lists!$AA:$AA,MATCH($AP443,Lists!$Z:$Z,0)),$AP443))</f>
        <v>Manufacturing Group Projects</v>
      </c>
      <c r="AT443" s="1136" t="str">
        <f>IF(TRIM($B443)="","",IF(IFERROR(INDEX(Lists!$AP$2:$AP$11,MATCH(ROW(),Lists!$AN$2:$AN$11,0)),"")&lt;&gt;"",IFERROR(INDEX(Lists!$AP$2:$AP$11,MATCH(ROW(),Lists!$AN$2:$AN$11,0)),""),IF(OR(LEFT($AJ443,3)="COE",$AJ443="EGI"),$AP443,IF($AR443&lt;&gt;"Squad",$AR443,$AP443))))</f>
        <v>Manufacturing Group Projects</v>
      </c>
    </row>
    <row r="444" ht="18" customHeight="1" s="866">
      <c r="A444" s="1155" t="n">
        <v>96270</v>
      </c>
      <c r="B444" s="1156" t="inlineStr">
        <is>
          <t>Zhan Liu</t>
        </is>
      </c>
      <c r="C444" s="1156" t="inlineStr">
        <is>
          <t>Engineer Applications</t>
        </is>
      </c>
      <c r="D444" s="1156" t="inlineStr">
        <is>
          <t>Allan Francia</t>
        </is>
      </c>
      <c r="E444" s="1156" t="inlineStr">
        <is>
          <t>Technology Manager, T&amp;S</t>
        </is>
      </c>
      <c r="F444" s="1157" t="inlineStr">
        <is>
          <t>TDD CFE&amp;I</t>
        </is>
      </c>
      <c r="G444" s="1158" t="inlineStr">
        <is>
          <t>Commercial Fuels</t>
        </is>
      </c>
      <c r="H444" s="1158" t="inlineStr">
        <is>
          <t>Technology, Trading &amp; Shipping</t>
        </is>
      </c>
      <c r="I444" s="1158" t="inlineStr">
        <is>
          <t>Commercial Fuels</t>
        </is>
      </c>
      <c r="J444" s="1156" t="inlineStr">
        <is>
          <t>CTRM</t>
        </is>
      </c>
      <c r="K444" s="1156" t="inlineStr">
        <is>
          <t>CTRM</t>
        </is>
      </c>
      <c r="L444" s="1158" t="n"/>
      <c r="M444" s="1183" t="inlineStr">
        <is>
          <t>Australia</t>
        </is>
      </c>
      <c r="N444" s="1160" t="inlineStr">
        <is>
          <t>CIC</t>
        </is>
      </c>
      <c r="O444" s="1160" t="n">
        <v>1</v>
      </c>
      <c r="P444" s="1160" t="n"/>
      <c r="Q444" s="1160" t="inlineStr">
        <is>
          <t>Permanent - Full Time</t>
        </is>
      </c>
      <c r="R444" s="1162" t="n"/>
      <c r="S444" s="1162" t="n"/>
      <c r="T444" s="1162" t="n">
        <v>165730</v>
      </c>
      <c r="U444" s="1174" t="n">
        <v>165730</v>
      </c>
      <c r="V444" s="1166" t="n">
        <v>0.12</v>
      </c>
      <c r="W444" s="1170" t="n">
        <v>0.055</v>
      </c>
      <c r="X444" s="1170" t="n">
        <v>0.12</v>
      </c>
      <c r="Y444" s="1171" t="n"/>
      <c r="Z444" s="1170" t="n">
        <v>0.04</v>
      </c>
      <c r="AA444" s="1168">
        <f>IF(TRIM($B444)="","",IF(N($AU444)&gt;0,$AU444,IF(N($S444)&gt;0,$S444*Lists!$AG$15*(1+N($Z444)),N($U444)*(1+N($V444)+N($W444)+N($X444)+N($Z444))+N($Y444))))</f>
        <v>221249.55</v>
      </c>
      <c r="AB444" s="1238" t="n"/>
      <c r="AC444" s="1238" t="n"/>
      <c r="AD444" s="1238" t="n"/>
      <c r="AE444" s="1238" t="n"/>
      <c r="AF444" s="1238" t="n"/>
      <c r="AG444" s="1238" t="n"/>
      <c r="AH444" s="1238" t="n"/>
      <c r="AJ444" s="865" t="str">
        <f>IF(TRIM($B444)="","",IF(IFERROR(INDEX(Lists!$AO$2:$AO$11,MATCH(ROW(),Lists!$AN$2:$AN$11,0)),"")&lt;&gt;"",IFERROR(INDEX(Lists!$AO$2:$AO$11,MATCH(ROW(),Lists!$AN$2:$AN$11,0)),""),IFERROR(INDEX(Lists!$U:$U,MATCH(TRIM($I444),Lists!$T:$T,0)),TRIM($I444))))</f>
        <v>Commercial Fuels</v>
      </c>
      <c r="AK444" s="865" t="str">
        <f>IF(ISNUMBER(SEARCH("vacant",$B444)),"Vacant","Filled")</f>
        <v>Filled</v>
      </c>
      <c r="AL444" s="865" t="str">
        <f>IF($M444="NZ","NZ","AU")</f>
        <v>AU</v>
      </c>
      <c r="AM444" s="865">
        <f>COUNTIF($AJ$2:$AJ444,$AJ444)</f>
        <v>41</v>
      </c>
      <c r="AN444" s="865" t="str">
        <f>$AJ444&amp;"|"&amp;$AM444</f>
        <v>Commercial Fuels|41</v>
      </c>
      <c r="AP444" s="865" t="str">
        <f>IF(TRIM($B444)="","",IF($AQ444=1,"Leadership",IFERROR(INDEX(Lists!$X:$X,MATCH(TRIM($K444),Lists!$W:$W,0)),IF(OR(TRIM($K444)="",LOWER(TRIM($K444))="na"),IF(TRIM($G444)="","Unassigned",TRIM($G444)),TRIM($K444)))))</f>
        <v>CTRM</v>
      </c>
      <c r="AQ444" s="865" t="b">
        <f>IF(TRIM($B444)="","",--OR(TRIM($K444)="Leadership",TRIM($J444)="Leadership"))</f>
        <v>0</v>
      </c>
      <c r="AR444" s="1136" t="str">
        <f>IF(TRIM($B444)="","",IF(IFERROR(INDEX(Lists!$AQ$2:$AQ$11,MATCH(ROW(),Lists!$AN$2:$AN$11,0)),"")&lt;&gt;"",IFERROR(INDEX(Lists!$AQ$2:$AQ$11,MATCH(ROW(),Lists!$AN$2:$AN$11,0)),""),IF(ISNUMBER(SEARCH("head of ",$C444)),"Head of Technology",IF(ISNUMBER(SEARCH("TDD BP",$C444)),"Business Partner",IF(OR(ISNUMBER(SEARCH("domain architect",$C444)),ISNUMBER(SEARCH("enterprise architect",$C444))),"Domain Architect",IF(ISNUMBER(SEARCH("delivery man",$C444)),"Delivery Manager",IF(OR(ISNUMBER(SEARCH("technology manager",$C444)),ISNUMBER(SEARCH("technology manger",$C444)),ISNUMBER(SEARCH("tech manager",$C444))),"Technology Manager","Squad")))))))</f>
        <v>Squad</v>
      </c>
      <c r="AS444" s="1136" t="str">
        <f>IF(TRIM($B444)="","",IFERROR(INDEX(Lists!$AA:$AA,MATCH($AP444,Lists!$Z:$Z,0)),$AP444))</f>
        <v>CTRM</v>
      </c>
      <c r="AT444" s="1136" t="str">
        <f>IF(TRIM($B444)="","",IF(IFERROR(INDEX(Lists!$AP$2:$AP$11,MATCH(ROW(),Lists!$AN$2:$AN$11,0)),"")&lt;&gt;"",IFERROR(INDEX(Lists!$AP$2:$AP$11,MATCH(ROW(),Lists!$AN$2:$AN$11,0)),""),IF(OR(LEFT($AJ444,3)="COE",$AJ444="EGI"),$AP444,IF($AR444&lt;&gt;"Squad",$AR444,$AP444))))</f>
        <v>CTRM</v>
      </c>
    </row>
    <row r="445" ht="18" customHeight="1" s="866">
      <c r="A445" s="1155" t="inlineStr">
        <is>
          <t>c</t>
        </is>
      </c>
      <c r="B445" s="1156" t="inlineStr">
        <is>
          <t>Zijie Zhang</t>
        </is>
      </c>
      <c r="C445" s="1156" t="inlineStr">
        <is>
          <t>Senior Data Analyst</t>
        </is>
      </c>
      <c r="D445" s="1158" t="inlineStr">
        <is>
          <t>Vacant</t>
        </is>
      </c>
      <c r="E445" s="1156" t="inlineStr">
        <is>
          <t>Technology Manager, Data</t>
        </is>
      </c>
      <c r="F445" s="1157" t="inlineStr">
        <is>
          <t>TDD CFE&amp;I</t>
        </is>
      </c>
      <c r="G445" s="1158" t="inlineStr">
        <is>
          <t>Commercial Fuels</t>
        </is>
      </c>
      <c r="H445" s="1158" t="inlineStr">
        <is>
          <t>Technology, T&amp;S Data</t>
        </is>
      </c>
      <c r="I445" s="1158" t="inlineStr">
        <is>
          <t>Commercial Fuels</t>
        </is>
      </c>
      <c r="J445" s="1158" t="inlineStr">
        <is>
          <t>Trading &amp; Shipping</t>
        </is>
      </c>
      <c r="K445" s="1158" t="inlineStr">
        <is>
          <t>Trading &amp; Shipping Data</t>
        </is>
      </c>
      <c r="L445" s="1158" t="n"/>
      <c r="M445" s="1183" t="inlineStr">
        <is>
          <t>Singapore</t>
        </is>
      </c>
      <c r="N445" s="1162" t="n">
        <v>0</v>
      </c>
      <c r="O445" s="1162" t="n">
        <v>1</v>
      </c>
      <c r="P445" s="1162" t="n"/>
      <c r="Q445" s="1162" t="inlineStr">
        <is>
          <t>cant find this person</t>
        </is>
      </c>
      <c r="R445" s="1172" t="n"/>
      <c r="S445" s="1162" t="n">
        <v>1200</v>
      </c>
      <c r="T445" s="1162" t="n">
        <v>0</v>
      </c>
      <c r="U445" s="1162" t="n"/>
      <c r="V445" s="1158" t="n"/>
      <c r="W445" s="1158" t="n"/>
      <c r="X445" s="1158" t="n"/>
      <c r="Y445" s="1158" t="n"/>
      <c r="Z445" s="1158" t="n"/>
      <c r="AA445" s="1173">
        <f>IF(TRIM($B445)="","",IF(N($AU445)&gt;0,$AU445,IF(N($S445)&gt;0,$S445*Lists!$AG$15*(1+N($Z445)),N($U445)*(1+N($V445)+N($W445)+N($X445)+N($Z445))+N($Y445))))</f>
        <v>266400</v>
      </c>
      <c r="AB445" s="1238" t="n"/>
      <c r="AC445" s="1238" t="n"/>
      <c r="AD445" s="1238" t="n"/>
      <c r="AE445" s="1238" t="n"/>
      <c r="AF445" s="1238" t="n"/>
      <c r="AG445" s="1238" t="n"/>
      <c r="AH445" s="1238" t="n"/>
      <c r="AJ445" s="865" t="str">
        <f>IF(TRIM($B445)="","",IF(IFERROR(INDEX(Lists!$AO$2:$AO$11,MATCH(ROW(),Lists!$AN$2:$AN$11,0)),"")&lt;&gt;"",IFERROR(INDEX(Lists!$AO$2:$AO$11,MATCH(ROW(),Lists!$AN$2:$AN$11,0)),""),IFERROR(INDEX(Lists!$U:$U,MATCH(TRIM($I445),Lists!$T:$T,0)),TRIM($I445))))</f>
        <v>Commercial Fuels</v>
      </c>
      <c r="AK445" s="865" t="str">
        <f>IF(ISNUMBER(SEARCH("vacant",$B445)),"Vacant","Filled")</f>
        <v>Filled</v>
      </c>
      <c r="AL445" s="865" t="str">
        <f>IF($M445="NZ","NZ","AU")</f>
        <v>AU</v>
      </c>
      <c r="AM445" s="865">
        <f>COUNTIF($AJ$2:$AJ445,$AJ445)</f>
        <v>42</v>
      </c>
      <c r="AN445" s="865" t="str">
        <f>$AJ445&amp;"|"&amp;$AM445</f>
        <v>Commercial Fuels|42</v>
      </c>
      <c r="AP445" s="865" t="str">
        <f>IF(TRIM($B445)="","",IF($AQ445=1,"Leadership",IFERROR(INDEX(Lists!$X:$X,MATCH(TRIM($K445),Lists!$W:$W,0)),IF(OR(TRIM($K445)="",LOWER(TRIM($K445))="na"),IF(TRIM($G445)="","Unassigned",TRIM($G445)),TRIM($K445)))))</f>
        <v>Trading &amp; Shipping Data</v>
      </c>
      <c r="AQ445" s="865" t="b">
        <f>IF(TRIM($B445)="","",--OR(TRIM($K445)="Leadership",TRIM($J445)="Leadership"))</f>
        <v>0</v>
      </c>
      <c r="AR445" s="1136" t="str">
        <f>IF(TRIM($B445)="","",IF(IFERROR(INDEX(Lists!$AQ$2:$AQ$11,MATCH(ROW(),Lists!$AN$2:$AN$11,0)),"")&lt;&gt;"",IFERROR(INDEX(Lists!$AQ$2:$AQ$11,MATCH(ROW(),Lists!$AN$2:$AN$11,0)),""),IF(ISNUMBER(SEARCH("head of ",$C445)),"Head of Technology",IF(ISNUMBER(SEARCH("TDD BP",$C445)),"Business Partner",IF(OR(ISNUMBER(SEARCH("domain architect",$C445)),ISNUMBER(SEARCH("enterprise architect",$C445))),"Domain Architect",IF(ISNUMBER(SEARCH("delivery man",$C445)),"Delivery Manager",IF(OR(ISNUMBER(SEARCH("technology manager",$C445)),ISNUMBER(SEARCH("technology manger",$C445)),ISNUMBER(SEARCH("tech manager",$C445))),"Technology Manager","Squad")))))))</f>
        <v>Squad</v>
      </c>
      <c r="AS445" s="1136" t="str">
        <f>IF(TRIM($B445)="","",IFERROR(INDEX(Lists!$AA:$AA,MATCH($AP445,Lists!$Z:$Z,0)),$AP445))</f>
        <v>Trading &amp; Shipping Data</v>
      </c>
      <c r="AT445" s="1136" t="str">
        <f>IF(TRIM($B445)="","",IF(IFERROR(INDEX(Lists!$AP$2:$AP$11,MATCH(ROW(),Lists!$AN$2:$AN$11,0)),"")&lt;&gt;"",IFERROR(INDEX(Lists!$AP$2:$AP$11,MATCH(ROW(),Lists!$AN$2:$AN$11,0)),""),IF(OR(LEFT($AJ445,3)="COE",$AJ445="EGI"),$AP445,IF($AR445&lt;&gt;"Squad",$AR445,$AP445))))</f>
        <v>Trading &amp; Shipping Data</v>
      </c>
    </row>
    <row r="446" ht="18" customHeight="1" s="866">
      <c r="A446" s="1155" t="inlineStr">
        <is>
          <t>C</t>
        </is>
      </c>
      <c r="B446" s="1156" t="inlineStr">
        <is>
          <t>Ashish Gupte</t>
        </is>
      </c>
      <c r="C446" s="1156" t="inlineStr">
        <is>
          <t>DeveloperSAP ECC</t>
        </is>
      </c>
      <c r="D446" s="1158" t="inlineStr">
        <is>
          <t>Vasso Vucovic</t>
        </is>
      </c>
      <c r="E446" s="1156" t="inlineStr">
        <is>
          <t>Head of Technology Finance, P&amp;C Legal</t>
        </is>
      </c>
      <c r="F446" s="1157" t="inlineStr">
        <is>
          <t>TDD Group Functions</t>
        </is>
      </c>
      <c r="G446" s="1158" t="inlineStr">
        <is>
          <t>EGI</t>
        </is>
      </c>
      <c r="H446" s="1158" t="inlineStr">
        <is>
          <t>EGI</t>
        </is>
      </c>
      <c r="I446" s="1158" t="inlineStr">
        <is>
          <t>EGI</t>
        </is>
      </c>
      <c r="J446" s="1158" t="inlineStr">
        <is>
          <t>EGI</t>
        </is>
      </c>
      <c r="K446" s="1158" t="inlineStr">
        <is>
          <t>EGI</t>
        </is>
      </c>
      <c r="L446" s="1158" t="n"/>
      <c r="M446" s="1183" t="inlineStr">
        <is>
          <t>australia</t>
        </is>
      </c>
      <c r="N446" s="1160" t="inlineStr">
        <is>
          <t>na</t>
        </is>
      </c>
      <c r="O446" s="1161" t="n">
        <v>1</v>
      </c>
      <c r="P446" s="1160" t="n"/>
      <c r="Q446" s="1162" t="inlineStr">
        <is>
          <t>cxc</t>
        </is>
      </c>
      <c r="R446" s="1162" t="inlineStr">
        <is>
          <t>Daily</t>
        </is>
      </c>
      <c r="S446" s="1162" t="n">
        <v>1250</v>
      </c>
      <c r="T446" s="1162" t="n">
        <v>0</v>
      </c>
      <c r="U446" s="1174" t="n"/>
      <c r="V446" s="1165" t="n"/>
      <c r="W446" s="1161" t="n"/>
      <c r="X446" s="1166" t="n"/>
      <c r="Y446" s="1907" t="n"/>
      <c r="Z446" s="1166" t="n"/>
      <c r="AA446" s="1173">
        <f>IF(TRIM($B446)="","",IF(N($AU446)&gt;0,$AU446,IF(N($S446)&gt;0,$S446*Lists!$AG$15*(1+N($Z446)),N($U446)*(1+N($V446)+N($W446)+N($X446)+N($Z446))+N($Y446))))</f>
        <v>277500</v>
      </c>
      <c r="AB446" s="1236" t="n"/>
      <c r="AC446" s="1238" t="n"/>
      <c r="AD446" s="1238" t="n"/>
      <c r="AE446" s="1238" t="n"/>
      <c r="AF446" s="1238" t="n"/>
      <c r="AG446" s="1238" t="n"/>
      <c r="AH446" s="1238" t="n"/>
      <c r="AJ446" s="865" t="str">
        <f>IF(TRIM($B446)="","",IF(IFERROR(INDEX(Lists!$AO$2:$AO$11,MATCH(ROW(),Lists!$AN$2:$AN$11,0)),"")&lt;&gt;"",IFERROR(INDEX(Lists!$AO$2:$AO$11,MATCH(ROW(),Lists!$AN$2:$AN$11,0)),""),IFERROR(INDEX(Lists!$U:$U,MATCH(TRIM($I446),Lists!$T:$T,0)),TRIM($I446))))</f>
        <v>EGI</v>
      </c>
      <c r="AK446" s="865" t="str">
        <f>IF(ISNUMBER(SEARCH("vacant",$B446)),"Vacant","Filled")</f>
        <v>Filled</v>
      </c>
      <c r="AL446" s="865" t="str">
        <f>IF($M446="NZ","NZ","AU")</f>
        <v>AU</v>
      </c>
      <c r="AM446" s="865">
        <f>COUNTIF($AJ$2:$AJ446,$AJ446)</f>
        <v>17</v>
      </c>
      <c r="AN446" s="865" t="str">
        <f>$AJ446&amp;"|"&amp;$AM446</f>
        <v>EGI|17</v>
      </c>
      <c r="AP446" s="865" t="str">
        <f>IF(TRIM($B446)="","",IF($AQ446=1,"Leadership",IFERROR(INDEX(Lists!$X:$X,MATCH(TRIM($K446),Lists!$W:$W,0)),IF(OR(TRIM($K446)="",LOWER(TRIM($K446))="na"),IF(TRIM($G446)="","Unassigned",TRIM($G446)),TRIM($K446)))))</f>
        <v>EGI</v>
      </c>
      <c r="AQ446" s="865" t="b">
        <f>IF(TRIM($B446)="","",--OR(TRIM($K446)="Leadership",TRIM($J446)="Leadership"))</f>
        <v>0</v>
      </c>
      <c r="AR446" s="1136" t="str">
        <f>IF(TRIM($B446)="","",IF(IFERROR(INDEX(Lists!$AQ$2:$AQ$11,MATCH(ROW(),Lists!$AN$2:$AN$11,0)),"")&lt;&gt;"",IFERROR(INDEX(Lists!$AQ$2:$AQ$11,MATCH(ROW(),Lists!$AN$2:$AN$11,0)),""),IF(ISNUMBER(SEARCH("head of ",$C446)),"Head of Technology",IF(ISNUMBER(SEARCH("TDD BP",$C446)),"Business Partner",IF(OR(ISNUMBER(SEARCH("domain architect",$C446)),ISNUMBER(SEARCH("enterprise architect",$C446))),"Domain Architect",IF(ISNUMBER(SEARCH("delivery man",$C446)),"Delivery Manager",IF(OR(ISNUMBER(SEARCH("technology manager",$C446)),ISNUMBER(SEARCH("technology manger",$C446)),ISNUMBER(SEARCH("tech manager",$C446))),"Technology Manager","Squad")))))))</f>
        <v>Squad</v>
      </c>
      <c r="AS446" s="1136" t="str">
        <f>IF(TRIM($B446)="","",IFERROR(INDEX(Lists!$AA:$AA,MATCH($AP446,Lists!$Z:$Z,0)),$AP446))</f>
        <v>EGI</v>
      </c>
      <c r="AT446" s="1136" t="str">
        <f>IF(TRIM($B446)="","",IF(IFERROR(INDEX(Lists!$AP$2:$AP$11,MATCH(ROW(),Lists!$AN$2:$AN$11,0)),"")&lt;&gt;"",IFERROR(INDEX(Lists!$AP$2:$AP$11,MATCH(ROW(),Lists!$AN$2:$AN$11,0)),""),IF(OR(LEFT($AJ446,3)="COE",$AJ446="EGI"),$AP446,IF($AR446&lt;&gt;"Squad",$AR446,$AP446))))</f>
        <v>EGI</v>
      </c>
    </row>
    <row r="447" ht="18" customHeight="1" s="866">
      <c r="A447" s="1155" t="n">
        <v>14148</v>
      </c>
      <c r="B447" s="1199" t="inlineStr">
        <is>
          <t>Ee Lynn Yap</t>
        </is>
      </c>
      <c r="C447" s="1199" t="inlineStr">
        <is>
          <t>SAP ERP Application Lead</t>
        </is>
      </c>
      <c r="D447" s="1158" t="inlineStr">
        <is>
          <t>Shane Ker</t>
        </is>
      </c>
      <c r="E447" s="1199" t="inlineStr">
        <is>
          <t>Technology Manager Finance Platforms</t>
        </is>
      </c>
      <c r="F447" s="1157" t="inlineStr">
        <is>
          <t>TDD Group Functions</t>
        </is>
      </c>
      <c r="G447" s="1199" t="inlineStr">
        <is>
          <t>P&amp;C, Finance &amp; Legal</t>
        </is>
      </c>
      <c r="H447" s="1158" t="inlineStr">
        <is>
          <t>Tech, Finance Platforms</t>
        </is>
      </c>
      <c r="I447" s="1158" t="inlineStr">
        <is>
          <t>Finance</t>
        </is>
      </c>
      <c r="J447" s="1158" t="inlineStr">
        <is>
          <t>EGI</t>
        </is>
      </c>
      <c r="K447" s="1158" t="inlineStr">
        <is>
          <t>EGI Finance</t>
        </is>
      </c>
      <c r="L447" s="1158" t="n"/>
      <c r="M447" s="1183" t="inlineStr">
        <is>
          <t>Australia</t>
        </is>
      </c>
      <c r="N447" s="1162" t="inlineStr">
        <is>
          <t>CIC</t>
        </is>
      </c>
      <c r="O447" s="1162" t="n">
        <v>1</v>
      </c>
      <c r="P447" s="1162" t="n"/>
      <c r="Q447" s="1162" t="inlineStr">
        <is>
          <t>Permanent - Full Time</t>
        </is>
      </c>
      <c r="R447" s="1162" t="n"/>
      <c r="S447" s="1162" t="n"/>
      <c r="T447" s="1162" t="n">
        <v>181070</v>
      </c>
      <c r="U447" s="1174" t="n">
        <v>181070</v>
      </c>
      <c r="V447" s="1166" t="n">
        <v>0.12</v>
      </c>
      <c r="W447" s="1170" t="n">
        <v>0.055</v>
      </c>
      <c r="X447" s="1170" t="n">
        <v>0.12</v>
      </c>
      <c r="Y447" s="1171" t="n"/>
      <c r="Z447" s="1170" t="n">
        <v>0.04</v>
      </c>
      <c r="AA447" s="1289">
        <f>IF(TRIM($B447)="","",IF(N($AU447)&gt;0,$AU447,IF(N($S447)&gt;0,$S447*Lists!$AG$15*(1+N($Z447)),N($U447)*(1+N($V447)+N($W447)+N($X447)+N($Z447))+N($Y447))))</f>
        <v>241728.45</v>
      </c>
      <c r="AB447" s="1238" t="n"/>
      <c r="AC447" s="1238" t="n"/>
      <c r="AD447" s="1238" t="n"/>
      <c r="AE447" s="1238" t="n"/>
      <c r="AF447" s="1238" t="n"/>
      <c r="AG447" s="1238" t="n"/>
      <c r="AH447" s="1238" t="n"/>
      <c r="AJ447" s="865" t="str">
        <f>IF(TRIM($B447)="","",IF(IFERROR(INDEX(Lists!$AO$2:$AO$11,MATCH(ROW(),Lists!$AN$2:$AN$11,0)),"")&lt;&gt;"",IFERROR(INDEX(Lists!$AO$2:$AO$11,MATCH(ROW(),Lists!$AN$2:$AN$11,0)),""),IFERROR(INDEX(Lists!$U:$U,MATCH(TRIM($I447),Lists!$T:$T,0)),TRIM($I447))))</f>
        <v>Finance</v>
      </c>
      <c r="AK447" s="865" t="str">
        <f>IF(ISNUMBER(SEARCH("vacant",$B447)),"Vacant","Filled")</f>
        <v>Filled</v>
      </c>
      <c r="AL447" s="865" t="str">
        <f>IF($M447="NZ","NZ","AU")</f>
        <v>AU</v>
      </c>
      <c r="AM447" s="865">
        <f>COUNTIF($AJ$2:$AJ447,$AJ447)</f>
        <v>1</v>
      </c>
      <c r="AN447" s="865" t="str">
        <f>$AJ447&amp;"|"&amp;$AM447</f>
        <v>Finance|1</v>
      </c>
      <c r="AP447" s="865" t="str">
        <f>IF(TRIM($B447)="","",IF($AQ447=1,"Leadership",IFERROR(INDEX(Lists!$X:$X,MATCH(TRIM($K447),Lists!$W:$W,0)),IF(OR(TRIM($K447)="",LOWER(TRIM($K447))="na"),IF(TRIM($G447)="","Unassigned",TRIM($G447)),TRIM($K447)))))</f>
        <v>EGI Finance</v>
      </c>
      <c r="AQ447" s="865" t="b">
        <f>IF(TRIM($B447)="","",--OR(TRIM($K447)="Leadership",TRIM($J447)="Leadership"))</f>
        <v>0</v>
      </c>
      <c r="AR447" s="1136" t="str">
        <f>IF(TRIM($B447)="","",IF(IFERROR(INDEX(Lists!$AQ$2:$AQ$11,MATCH(ROW(),Lists!$AN$2:$AN$11,0)),"")&lt;&gt;"",IFERROR(INDEX(Lists!$AQ$2:$AQ$11,MATCH(ROW(),Lists!$AN$2:$AN$11,0)),""),IF(ISNUMBER(SEARCH("head of ",$C447)),"Head of Technology",IF(ISNUMBER(SEARCH("TDD BP",$C447)),"Business Partner",IF(OR(ISNUMBER(SEARCH("domain architect",$C447)),ISNUMBER(SEARCH("enterprise architect",$C447))),"Domain Architect",IF(ISNUMBER(SEARCH("delivery man",$C447)),"Delivery Manager",IF(OR(ISNUMBER(SEARCH("technology manager",$C447)),ISNUMBER(SEARCH("technology manger",$C447)),ISNUMBER(SEARCH("tech manager",$C447))),"Technology Manager","Squad")))))))</f>
        <v>Squad</v>
      </c>
      <c r="AS447" s="1136" t="str">
        <f>IF(TRIM($B447)="","",IFERROR(INDEX(Lists!$AA:$AA,MATCH($AP447,Lists!$Z:$Z,0)),$AP447))</f>
        <v>EGI Finance</v>
      </c>
      <c r="AT447" s="1136" t="str">
        <f>IF(TRIM($B447)="","",IF(IFERROR(INDEX(Lists!$AP$2:$AP$11,MATCH(ROW(),Lists!$AN$2:$AN$11,0)),"")&lt;&gt;"",IFERROR(INDEX(Lists!$AP$2:$AP$11,MATCH(ROW(),Lists!$AN$2:$AN$11,0)),""),IF(OR(LEFT($AJ447,3)="COE",$AJ447="EGI"),$AP447,IF($AR447&lt;&gt;"Squad",$AR447,$AP447))))</f>
        <v>EGI Finance</v>
      </c>
    </row>
    <row r="448" ht="18" customHeight="1" s="866">
      <c r="A448" s="1155" t="n">
        <v>113067</v>
      </c>
      <c r="B448" s="1290" t="inlineStr">
        <is>
          <t>Vikram Chhahira</t>
        </is>
      </c>
      <c r="C448" s="1199" t="inlineStr">
        <is>
          <t>Delivery Lead, EGI</t>
        </is>
      </c>
      <c r="D448" s="1158" t="inlineStr">
        <is>
          <t>Vacant</t>
        </is>
      </c>
      <c r="E448" s="1199" t="inlineStr">
        <is>
          <t>Delivery Manager, P&amp;C, Finance &amp; Legal</t>
        </is>
      </c>
      <c r="F448" s="1157" t="inlineStr">
        <is>
          <t>TDD Group Functions</t>
        </is>
      </c>
      <c r="G448" s="1158" t="inlineStr">
        <is>
          <t>EGI</t>
        </is>
      </c>
      <c r="H448" s="1158" t="n"/>
      <c r="I448" s="1158" t="inlineStr">
        <is>
          <t>P&amp;C</t>
        </is>
      </c>
      <c r="J448" s="1158" t="inlineStr">
        <is>
          <t>EGI</t>
        </is>
      </c>
      <c r="K448" s="1158" t="inlineStr">
        <is>
          <t>EGI P&amp;C</t>
        </is>
      </c>
      <c r="L448" s="1158" t="n"/>
      <c r="M448" s="1183" t="inlineStr">
        <is>
          <t>Australia</t>
        </is>
      </c>
      <c r="N448" s="1160" t="inlineStr">
        <is>
          <t>CIC</t>
        </is>
      </c>
      <c r="O448" s="1160" t="n">
        <v>1</v>
      </c>
      <c r="P448" s="1160" t="n"/>
      <c r="Q448" s="1160" t="inlineStr">
        <is>
          <t>Permanent - Full Time</t>
        </is>
      </c>
      <c r="R448" s="1162" t="n"/>
      <c r="S448" s="1162" t="n"/>
      <c r="T448" s="1162" t="n">
        <v>179000</v>
      </c>
      <c r="U448" s="1174" t="n">
        <v>179000</v>
      </c>
      <c r="V448" s="1166" t="n">
        <v>0.12</v>
      </c>
      <c r="W448" s="1170" t="n">
        <v>0.055</v>
      </c>
      <c r="X448" s="1170" t="n">
        <v>0.12</v>
      </c>
      <c r="Y448" s="1171" t="n"/>
      <c r="Z448" s="1170" t="n">
        <v>0.04</v>
      </c>
      <c r="AA448" s="1168">
        <f>IF(TRIM($B448)="","",IF(N($AU448)&gt;0,$AU448,IF(N($S448)&gt;0,$S448*Lists!$AG$15*(1+N($Z448)),N($U448)*(1+N($V448)+N($W448)+N($X448)+N($Z448))+N($Y448))))</f>
        <v>238965</v>
      </c>
      <c r="AB448" s="1238" t="n"/>
      <c r="AC448" s="1238" t="n"/>
      <c r="AD448" s="1238" t="n"/>
      <c r="AE448" s="1238" t="n"/>
      <c r="AF448" s="1238" t="n"/>
      <c r="AG448" s="1238" t="n"/>
      <c r="AH448" s="1238" t="n"/>
      <c r="AJ448" s="865" t="str">
        <f>IF(TRIM($B448)="","",IF(IFERROR(INDEX(Lists!$AO$2:$AO$11,MATCH(ROW(),Lists!$AN$2:$AN$11,0)),"")&lt;&gt;"",IFERROR(INDEX(Lists!$AO$2:$AO$11,MATCH(ROW(),Lists!$AN$2:$AN$11,0)),""),IFERROR(INDEX(Lists!$U:$U,MATCH(TRIM($I448),Lists!$T:$T,0)),TRIM($I448))))</f>
        <v>P&amp;C</v>
      </c>
      <c r="AK448" s="865" t="str">
        <f>IF(ISNUMBER(SEARCH("vacant",$B448)),"Vacant","Filled")</f>
        <v>Filled</v>
      </c>
      <c r="AL448" s="865" t="str">
        <f>IF($M448="NZ","NZ","AU")</f>
        <v>AU</v>
      </c>
      <c r="AM448" s="865">
        <f>COUNTIF($AJ$2:$AJ448,$AJ448)</f>
        <v>1</v>
      </c>
      <c r="AN448" s="865" t="str">
        <f>$AJ448&amp;"|"&amp;$AM448</f>
        <v>P&amp;C|1</v>
      </c>
      <c r="AP448" s="865" t="str">
        <f>IF(TRIM($B448)="","",IF($AQ448=1,"Leadership",IFERROR(INDEX(Lists!$X:$X,MATCH(TRIM($K448),Lists!$W:$W,0)),IF(OR(TRIM($K448)="",LOWER(TRIM($K448))="na"),IF(TRIM($G448)="","Unassigned",TRIM($G448)),TRIM($K448)))))</f>
        <v>EGI P&amp;C</v>
      </c>
      <c r="AQ448" s="865" t="b">
        <f>IF(TRIM($B448)="","",--OR(TRIM($K448)="Leadership",TRIM($J448)="Leadership"))</f>
        <v>0</v>
      </c>
      <c r="AR448" s="1136" t="str">
        <f>IF(TRIM($B448)="","",IF(IFERROR(INDEX(Lists!$AQ$2:$AQ$11,MATCH(ROW(),Lists!$AN$2:$AN$11,0)),"")&lt;&gt;"",IFERROR(INDEX(Lists!$AQ$2:$AQ$11,MATCH(ROW(),Lists!$AN$2:$AN$11,0)),""),IF(ISNUMBER(SEARCH("head of ",$C448)),"Head of Technology",IF(ISNUMBER(SEARCH("TDD BP",$C448)),"Business Partner",IF(OR(ISNUMBER(SEARCH("domain architect",$C448)),ISNUMBER(SEARCH("enterprise architect",$C448))),"Domain Architect",IF(ISNUMBER(SEARCH("delivery man",$C448)),"Delivery Manager",IF(OR(ISNUMBER(SEARCH("technology manager",$C448)),ISNUMBER(SEARCH("technology manger",$C448)),ISNUMBER(SEARCH("tech manager",$C448))),"Technology Manager","Squad")))))))</f>
        <v>Squad</v>
      </c>
      <c r="AS448" s="1136" t="str">
        <f>IF(TRIM($B448)="","",IFERROR(INDEX(Lists!$AA:$AA,MATCH($AP448,Lists!$Z:$Z,0)),$AP448))</f>
        <v>EGI P&amp;C</v>
      </c>
      <c r="AT448" s="1136" t="str">
        <f>IF(TRIM($B448)="","",IF(IFERROR(INDEX(Lists!$AP$2:$AP$11,MATCH(ROW(),Lists!$AN$2:$AN$11,0)),"")&lt;&gt;"",IFERROR(INDEX(Lists!$AP$2:$AP$11,MATCH(ROW(),Lists!$AN$2:$AN$11,0)),""),IF(OR(LEFT($AJ448,3)="COE",$AJ448="EGI"),$AP448,IF($AR448&lt;&gt;"Squad",$AR448,$AP448))))</f>
        <v>EGI P&amp;C</v>
      </c>
    </row>
    <row r="449" ht="18" customHeight="1" s="866">
      <c r="A449" s="1155" t="n">
        <v>109092</v>
      </c>
      <c r="B449" s="1156" t="inlineStr">
        <is>
          <t>Anjali Patra</t>
        </is>
      </c>
      <c r="C449" s="1156" t="inlineStr">
        <is>
          <t>Delivery Lead - EGI</t>
        </is>
      </c>
      <c r="D449" s="1158" t="inlineStr">
        <is>
          <t>Vacant</t>
        </is>
      </c>
      <c r="E449" s="1199" t="inlineStr">
        <is>
          <t xml:space="preserve">Delivery Manager </t>
        </is>
      </c>
      <c r="F449" s="1157" t="inlineStr">
        <is>
          <t>TDD Group Functions</t>
        </is>
      </c>
      <c r="G449" s="1158" t="inlineStr">
        <is>
          <t>TDD &amp; Engineering</t>
        </is>
      </c>
      <c r="H449" s="1156" t="inlineStr">
        <is>
          <t>Delivery, TDD &amp; Engineering</t>
        </is>
      </c>
      <c r="I449" s="1156" t="inlineStr">
        <is>
          <t>TDD</t>
        </is>
      </c>
      <c r="J449" s="1158" t="inlineStr">
        <is>
          <t>EGI</t>
        </is>
      </c>
      <c r="K449" s="1158" t="inlineStr">
        <is>
          <t>EGI TDD</t>
        </is>
      </c>
      <c r="L449" s="1158" t="n"/>
      <c r="M449" s="1183" t="inlineStr">
        <is>
          <t>Australia</t>
        </is>
      </c>
      <c r="N449" s="1160" t="inlineStr">
        <is>
          <t>CIB</t>
        </is>
      </c>
      <c r="O449" s="1160" t="n">
        <v>1</v>
      </c>
      <c r="P449" s="1160" t="n"/>
      <c r="Q449" s="1160" t="inlineStr">
        <is>
          <t>Permanent - Full Time</t>
        </is>
      </c>
      <c r="R449" s="1162" t="n"/>
      <c r="S449" s="1162" t="n"/>
      <c r="T449" s="1162" t="n">
        <v>158050</v>
      </c>
      <c r="U449" s="1174" t="n">
        <v>158050</v>
      </c>
      <c r="V449" s="1166" t="n">
        <v>0.12</v>
      </c>
      <c r="W449" s="1170" t="n">
        <v>0.055</v>
      </c>
      <c r="X449" s="1170" t="n">
        <v>0.12</v>
      </c>
      <c r="Y449" s="1171" t="n"/>
      <c r="Z449" s="1170" t="n">
        <v>0.04</v>
      </c>
      <c r="AA449" s="1168">
        <f>IF(TRIM($B449)="","",IF(N($AU449)&gt;0,$AU449,IF(N($S449)&gt;0,$S449*Lists!$AG$15*(1+N($Z449)),N($U449)*(1+N($V449)+N($W449)+N($X449)+N($Z449))+N($Y449))))</f>
        <v>210996.75</v>
      </c>
      <c r="AB449" s="1238" t="n"/>
      <c r="AC449" s="1238" t="n"/>
      <c r="AD449" s="1238" t="n"/>
      <c r="AE449" s="1238" t="n"/>
      <c r="AF449" s="1238" t="n"/>
      <c r="AG449" s="1238" t="n"/>
      <c r="AH449" s="1238" t="n"/>
      <c r="AJ449" s="865" t="str">
        <f>IF(TRIM($B449)="","",IF(IFERROR(INDEX(Lists!$AO$2:$AO$11,MATCH(ROW(),Lists!$AN$2:$AN$11,0)),"")&lt;&gt;"",IFERROR(INDEX(Lists!$AO$2:$AO$11,MATCH(ROW(),Lists!$AN$2:$AN$11,0)),""),IFERROR(INDEX(Lists!$U:$U,MATCH(TRIM($I449),Lists!$T:$T,0)),TRIM($I449))))</f>
        <v>TDD Group Functions</v>
      </c>
      <c r="AK449" s="865" t="str">
        <f>IF(ISNUMBER(SEARCH("vacant",$B449)),"Vacant","Filled")</f>
        <v>Filled</v>
      </c>
      <c r="AL449" s="865" t="str">
        <f>IF($M449="NZ","NZ","AU")</f>
        <v>AU</v>
      </c>
      <c r="AM449" s="865">
        <f>COUNTIF($AJ$2:$AJ449,$AJ449)</f>
        <v>1</v>
      </c>
      <c r="AN449" s="865" t="str">
        <f>$AJ449&amp;"|"&amp;$AM449</f>
        <v>TDD Group Functions|1</v>
      </c>
      <c r="AP449" s="865" t="str">
        <f>IF(TRIM($B449)="","",IF($AQ449=1,"Leadership",IFERROR(INDEX(Lists!$X:$X,MATCH(TRIM($K449),Lists!$W:$W,0)),IF(OR(TRIM($K449)="",LOWER(TRIM($K449))="na"),IF(TRIM($G449)="","Unassigned",TRIM($G449)),TRIM($K449)))))</f>
        <v>EGI TDD</v>
      </c>
      <c r="AQ449" s="865" t="b">
        <f>IF(TRIM($B449)="","",--OR(TRIM($K449)="Leadership",TRIM($J449)="Leadership"))</f>
        <v>0</v>
      </c>
      <c r="AR449" s="1136" t="str">
        <f>IF(TRIM($B449)="","",IF(IFERROR(INDEX(Lists!$AQ$2:$AQ$11,MATCH(ROW(),Lists!$AN$2:$AN$11,0)),"")&lt;&gt;"",IFERROR(INDEX(Lists!$AQ$2:$AQ$11,MATCH(ROW(),Lists!$AN$2:$AN$11,0)),""),IF(ISNUMBER(SEARCH("head of ",$C449)),"Head of Technology",IF(ISNUMBER(SEARCH("TDD BP",$C449)),"Business Partner",IF(OR(ISNUMBER(SEARCH("domain architect",$C449)),ISNUMBER(SEARCH("enterprise architect",$C449))),"Domain Architect",IF(ISNUMBER(SEARCH("delivery man",$C449)),"Delivery Manager",IF(OR(ISNUMBER(SEARCH("technology manager",$C449)),ISNUMBER(SEARCH("technology manger",$C449)),ISNUMBER(SEARCH("tech manager",$C449))),"Technology Manager","Squad")))))))</f>
        <v>Squad</v>
      </c>
      <c r="AS449" s="1136" t="str">
        <f>IF(TRIM($B449)="","",IFERROR(INDEX(Lists!$AA:$AA,MATCH($AP449,Lists!$Z:$Z,0)),$AP449))</f>
        <v>EGI TDD</v>
      </c>
      <c r="AT449" s="1136" t="str">
        <f>IF(TRIM($B449)="","",IF(IFERROR(INDEX(Lists!$AP$2:$AP$11,MATCH(ROW(),Lists!$AN$2:$AN$11,0)),"")&lt;&gt;"",IFERROR(INDEX(Lists!$AP$2:$AP$11,MATCH(ROW(),Lists!$AN$2:$AN$11,0)),""),IF(OR(LEFT($AJ449,3)="COE",$AJ449="EGI"),$AP449,IF($AR449&lt;&gt;"Squad",$AR449,$AP449))))</f>
        <v>EGI TDD</v>
      </c>
    </row>
    <row r="450" ht="18" customHeight="1" s="866">
      <c r="A450" s="1155" t="inlineStr">
        <is>
          <t>C</t>
        </is>
      </c>
      <c r="B450" s="1291" t="inlineStr">
        <is>
          <t>Arun Tahlan</t>
        </is>
      </c>
      <c r="C450" s="1199" t="inlineStr">
        <is>
          <t>Integration Architect (C) - Boomi</t>
        </is>
      </c>
      <c r="D450" s="1156" t="inlineStr">
        <is>
          <t>Mike Seales</t>
        </is>
      </c>
      <c r="E450" s="1156" t="inlineStr">
        <is>
          <t>Technology Manager Integration &amp; Process Managemetn</t>
        </is>
      </c>
      <c r="F450" s="1157" t="inlineStr">
        <is>
          <t>TDD Group Functions</t>
        </is>
      </c>
      <c r="G450" s="1158" t="inlineStr">
        <is>
          <t xml:space="preserve">TDD &amp; Engineering </t>
        </is>
      </c>
      <c r="H450" s="1156" t="inlineStr">
        <is>
          <t>Integration &amp; Process Management</t>
        </is>
      </c>
      <c r="I450" s="1156" t="inlineStr">
        <is>
          <t>TDD</t>
        </is>
      </c>
      <c r="J450" s="1158" t="inlineStr">
        <is>
          <t>EGI</t>
        </is>
      </c>
      <c r="K450" s="1158" t="inlineStr">
        <is>
          <t>EGI TDD</t>
        </is>
      </c>
      <c r="L450" s="1158" t="n"/>
      <c r="M450" s="1183" t="inlineStr">
        <is>
          <t>Australia</t>
        </is>
      </c>
      <c r="N450" s="1162" t="inlineStr">
        <is>
          <t>NA</t>
        </is>
      </c>
      <c r="O450" s="1160" t="n">
        <v>1</v>
      </c>
      <c r="P450" s="1162" t="n"/>
      <c r="Q450" s="1162" t="inlineStr">
        <is>
          <t>cxc</t>
        </is>
      </c>
      <c r="R450" s="1172" t="inlineStr">
        <is>
          <t>Daily</t>
        </is>
      </c>
      <c r="S450" s="1162" t="n">
        <v>1568</v>
      </c>
      <c r="T450" s="1162" t="n">
        <v>0</v>
      </c>
      <c r="U450" s="1162" t="n"/>
      <c r="V450" s="1158" t="n"/>
      <c r="W450" s="1158" t="n"/>
      <c r="X450" s="1158" t="n"/>
      <c r="Y450" s="1158" t="n"/>
      <c r="Z450" s="1158" t="n"/>
      <c r="AA450" s="1173">
        <f>IF(TRIM($B450)="","",IF(N($AU450)&gt;0,$AU450,IF(N($S450)&gt;0,$S450*Lists!$AG$15*(1+N($Z450)),N($U450)*(1+N($V450)+N($W450)+N($X450)+N($Z450))+N($Y450))))</f>
        <v>348096</v>
      </c>
      <c r="AB450" s="1238" t="n"/>
      <c r="AC450" s="1238" t="n"/>
      <c r="AD450" s="1238" t="n"/>
      <c r="AE450" s="1238" t="n"/>
      <c r="AF450" s="1238" t="n"/>
      <c r="AG450" s="1238" t="n"/>
      <c r="AH450" s="1238" t="n"/>
      <c r="AJ450" s="865" t="str">
        <f>IF(TRIM($B450)="","",IF(IFERROR(INDEX(Lists!$AO$2:$AO$11,MATCH(ROW(),Lists!$AN$2:$AN$11,0)),"")&lt;&gt;"",IFERROR(INDEX(Lists!$AO$2:$AO$11,MATCH(ROW(),Lists!$AN$2:$AN$11,0)),""),IFERROR(INDEX(Lists!$U:$U,MATCH(TRIM($I450),Lists!$T:$T,0)),TRIM($I450))))</f>
        <v>TDD Group Functions</v>
      </c>
      <c r="AK450" s="865" t="str">
        <f>IF(ISNUMBER(SEARCH("vacant",$B450)),"Vacant","Filled")</f>
        <v>Filled</v>
      </c>
      <c r="AL450" s="865" t="str">
        <f>IF($M450="NZ","NZ","AU")</f>
        <v>AU</v>
      </c>
      <c r="AM450" s="865">
        <f>COUNTIF($AJ$2:$AJ450,$AJ450)</f>
        <v>2</v>
      </c>
      <c r="AN450" s="865" t="str">
        <f>$AJ450&amp;"|"&amp;$AM450</f>
        <v>TDD Group Functions|2</v>
      </c>
      <c r="AP450" s="865" t="str">
        <f>IF(TRIM($B450)="","",IF($AQ450=1,"Leadership",IFERROR(INDEX(Lists!$X:$X,MATCH(TRIM($K450),Lists!$W:$W,0)),IF(OR(TRIM($K450)="",LOWER(TRIM($K450))="na"),IF(TRIM($G450)="","Unassigned",TRIM($G450)),TRIM($K450)))))</f>
        <v>EGI TDD</v>
      </c>
      <c r="AQ450" s="865" t="b">
        <f>IF(TRIM($B450)="","",--OR(TRIM($K450)="Leadership",TRIM($J450)="Leadership"))</f>
        <v>0</v>
      </c>
      <c r="AR450" s="1136" t="str">
        <f>IF(TRIM($B450)="","",IF(IFERROR(INDEX(Lists!$AQ$2:$AQ$11,MATCH(ROW(),Lists!$AN$2:$AN$11,0)),"")&lt;&gt;"",IFERROR(INDEX(Lists!$AQ$2:$AQ$11,MATCH(ROW(),Lists!$AN$2:$AN$11,0)),""),IF(ISNUMBER(SEARCH("head of ",$C450)),"Head of Technology",IF(ISNUMBER(SEARCH("TDD BP",$C450)),"Business Partner",IF(OR(ISNUMBER(SEARCH("domain architect",$C450)),ISNUMBER(SEARCH("enterprise architect",$C450))),"Domain Architect",IF(ISNUMBER(SEARCH("delivery man",$C450)),"Delivery Manager",IF(OR(ISNUMBER(SEARCH("technology manager",$C450)),ISNUMBER(SEARCH("technology manger",$C450)),ISNUMBER(SEARCH("tech manager",$C450))),"Technology Manager","Squad")))))))</f>
        <v>Squad</v>
      </c>
      <c r="AS450" s="1136" t="str">
        <f>IF(TRIM($B450)="","",IFERROR(INDEX(Lists!$AA:$AA,MATCH($AP450,Lists!$Z:$Z,0)),$AP450))</f>
        <v>EGI TDD</v>
      </c>
      <c r="AT450" s="1136" t="str">
        <f>IF(TRIM($B450)="","",IF(IFERROR(INDEX(Lists!$AP$2:$AP$11,MATCH(ROW(),Lists!$AN$2:$AN$11,0)),"")&lt;&gt;"",IFERROR(INDEX(Lists!$AP$2:$AP$11,MATCH(ROW(),Lists!$AN$2:$AN$11,0)),""),IF(OR(LEFT($AJ450,3)="COE",$AJ450="EGI"),$AP450,IF($AR450&lt;&gt;"Squad",$AR450,$AP450))))</f>
        <v>EGI TDD</v>
      </c>
    </row>
    <row r="451" ht="18" customHeight="1" s="866">
      <c r="A451" s="1155" t="n">
        <v>99999101466</v>
      </c>
      <c r="B451" s="1156" t="inlineStr">
        <is>
          <t>Shobhit Mittal</t>
        </is>
      </c>
      <c r="C451" s="1156" t="inlineStr">
        <is>
          <t>Lead Engineer - Automation Test</t>
        </is>
      </c>
      <c r="D451" s="1291" t="inlineStr">
        <is>
          <t>Vacant</t>
        </is>
      </c>
      <c r="E451" s="1199" t="inlineStr">
        <is>
          <t>Technology Manager - DevOps and Quality Engineering</t>
        </is>
      </c>
      <c r="F451" s="1292" t="inlineStr">
        <is>
          <t>TDD Group Functions</t>
        </is>
      </c>
      <c r="G451" s="1158" t="inlineStr">
        <is>
          <t>TDD &amp; Engineering</t>
        </is>
      </c>
      <c r="H451" s="1158" t="inlineStr">
        <is>
          <t>Dev Ops  &amp; QE</t>
        </is>
      </c>
      <c r="I451" s="1158" t="inlineStr">
        <is>
          <t>TDD</t>
        </is>
      </c>
      <c r="J451" s="1158" t="inlineStr">
        <is>
          <t>EGI</t>
        </is>
      </c>
      <c r="K451" s="1158" t="inlineStr">
        <is>
          <t>EGI TDD</t>
        </is>
      </c>
      <c r="L451" s="1158" t="n"/>
      <c r="M451" s="1183" t="inlineStr">
        <is>
          <t>NZ</t>
        </is>
      </c>
      <c r="N451" s="1160" t="inlineStr">
        <is>
          <t>CIC</t>
        </is>
      </c>
      <c r="O451" s="1161" t="n">
        <v>1</v>
      </c>
      <c r="P451" s="1160" t="n"/>
      <c r="Q451" s="1161" t="inlineStr">
        <is>
          <t>Permanent - Full Time</t>
        </is>
      </c>
      <c r="R451" s="1162" t="n"/>
      <c r="S451" s="1162" t="n"/>
      <c r="T451" s="1162" t="n">
        <v>173600</v>
      </c>
      <c r="U451" s="1174" t="n">
        <v>159712</v>
      </c>
      <c r="V451" s="1165" t="n">
        <v>0.15</v>
      </c>
      <c r="W451" s="1162" t="n"/>
      <c r="X451" s="1166" t="n">
        <v>0.05</v>
      </c>
      <c r="Y451" s="1907" t="n">
        <v>2910</v>
      </c>
      <c r="Z451" s="1166" t="n">
        <v>0.03</v>
      </c>
      <c r="AA451" s="1168">
        <f>IF(TRIM($B451)="","",IF(N($AU451)&gt;0,$AU451,IF(N($S451)&gt;0,$S451*Lists!$AG$15*(1+N($Z451)),N($U451)*(1+N($V451)+N($W451)+N($X451)+N($Z451))+N($Y451))))</f>
        <v>199355.76</v>
      </c>
      <c r="AB451" s="1238" t="n"/>
      <c r="AC451" s="1238" t="n"/>
      <c r="AD451" s="1238" t="n"/>
      <c r="AE451" s="1238" t="n"/>
      <c r="AF451" s="1238" t="n"/>
      <c r="AG451" s="1238" t="n"/>
      <c r="AH451" s="1238" t="n"/>
      <c r="AJ451" s="865" t="str">
        <f>IF(TRIM($B451)="","",IF(IFERROR(INDEX(Lists!$AO$2:$AO$11,MATCH(ROW(),Lists!$AN$2:$AN$11,0)),"")&lt;&gt;"",IFERROR(INDEX(Lists!$AO$2:$AO$11,MATCH(ROW(),Lists!$AN$2:$AN$11,0)),""),IFERROR(INDEX(Lists!$U:$U,MATCH(TRIM($I451),Lists!$T:$T,0)),TRIM($I451))))</f>
        <v>TDD Group Functions</v>
      </c>
      <c r="AK451" s="865" t="str">
        <f>IF(ISNUMBER(SEARCH("vacant",$B451)),"Vacant","Filled")</f>
        <v>Filled</v>
      </c>
      <c r="AL451" s="865" t="str">
        <f>IF($M451="NZ","NZ","AU")</f>
        <v>NZ</v>
      </c>
      <c r="AM451" s="865">
        <f>COUNTIF($AJ$2:$AJ451,$AJ451)</f>
        <v>3</v>
      </c>
      <c r="AN451" s="865" t="str">
        <f>$AJ451&amp;"|"&amp;$AM451</f>
        <v>TDD Group Functions|3</v>
      </c>
      <c r="AP451" s="865" t="str">
        <f>IF(TRIM($B451)="","",IF($AQ451=1,"Leadership",IFERROR(INDEX(Lists!$X:$X,MATCH(TRIM($K451),Lists!$W:$W,0)),IF(OR(TRIM($K451)="",LOWER(TRIM($K451))="na"),IF(TRIM($G451)="","Unassigned",TRIM($G451)),TRIM($K451)))))</f>
        <v>EGI TDD</v>
      </c>
      <c r="AQ451" s="865" t="b">
        <f>IF(TRIM($B451)="","",--OR(TRIM($K451)="Leadership",TRIM($J451)="Leadership"))</f>
        <v>0</v>
      </c>
      <c r="AR451" s="1136" t="str">
        <f>IF(TRIM($B451)="","",IF(IFERROR(INDEX(Lists!$AQ$2:$AQ$11,MATCH(ROW(),Lists!$AN$2:$AN$11,0)),"")&lt;&gt;"",IFERROR(INDEX(Lists!$AQ$2:$AQ$11,MATCH(ROW(),Lists!$AN$2:$AN$11,0)),""),IF(ISNUMBER(SEARCH("head of ",$C451)),"Head of Technology",IF(ISNUMBER(SEARCH("TDD BP",$C451)),"Business Partner",IF(OR(ISNUMBER(SEARCH("domain architect",$C451)),ISNUMBER(SEARCH("enterprise architect",$C451))),"Domain Architect",IF(ISNUMBER(SEARCH("delivery man",$C451)),"Delivery Manager",IF(OR(ISNUMBER(SEARCH("technology manager",$C451)),ISNUMBER(SEARCH("technology manger",$C451)),ISNUMBER(SEARCH("tech manager",$C451))),"Technology Manager","Squad")))))))</f>
        <v>Squad</v>
      </c>
      <c r="AS451" s="1136" t="str">
        <f>IF(TRIM($B451)="","",IFERROR(INDEX(Lists!$AA:$AA,MATCH($AP451,Lists!$Z:$Z,0)),$AP451))</f>
        <v>EGI TDD</v>
      </c>
      <c r="AT451" s="1136" t="str">
        <f>IF(TRIM($B451)="","",IF(IFERROR(INDEX(Lists!$AP$2:$AP$11,MATCH(ROW(),Lists!$AN$2:$AN$11,0)),"")&lt;&gt;"",IFERROR(INDEX(Lists!$AP$2:$AP$11,MATCH(ROW(),Lists!$AN$2:$AN$11,0)),""),IF(OR(LEFT($AJ451,3)="COE",$AJ451="EGI"),$AP451,IF($AR451&lt;&gt;"Squad",$AR451,$AP451))))</f>
        <v>EGI TDD</v>
      </c>
    </row>
    <row r="452" ht="18" customHeight="1" s="866">
      <c r="A452" s="1155" t="n">
        <v>99999102153</v>
      </c>
      <c r="B452" s="1291" t="inlineStr">
        <is>
          <t>Kris Thornley</t>
        </is>
      </c>
      <c r="C452" s="1199" t="inlineStr">
        <is>
          <t>Integration Architect (C)</t>
        </is>
      </c>
      <c r="D452" s="1156" t="inlineStr">
        <is>
          <t>Mike Seales</t>
        </is>
      </c>
      <c r="E452" s="1156" t="inlineStr">
        <is>
          <t>Technology Manager Integration &amp; Process Managemetn</t>
        </is>
      </c>
      <c r="F452" s="1157" t="inlineStr">
        <is>
          <t>TDD Group Functions</t>
        </is>
      </c>
      <c r="G452" s="1158" t="inlineStr">
        <is>
          <t xml:space="preserve">TDD &amp; Engineering </t>
        </is>
      </c>
      <c r="H452" s="1156" t="inlineStr">
        <is>
          <t>Integration &amp; Process Management</t>
        </is>
      </c>
      <c r="I452" s="1156" t="inlineStr">
        <is>
          <t>TDD</t>
        </is>
      </c>
      <c r="J452" s="1158" t="inlineStr">
        <is>
          <t xml:space="preserve">EGI </t>
        </is>
      </c>
      <c r="K452" s="1158" t="inlineStr">
        <is>
          <t>EGI TDD</t>
        </is>
      </c>
      <c r="L452" s="1158" t="n"/>
      <c r="M452" s="1183" t="inlineStr">
        <is>
          <t>NZ</t>
        </is>
      </c>
      <c r="N452" s="1160" t="inlineStr">
        <is>
          <t>NA</t>
        </is>
      </c>
      <c r="O452" s="1160" t="n">
        <v>1</v>
      </c>
      <c r="P452" s="1160" t="n"/>
      <c r="Q452" s="1161" t="inlineStr">
        <is>
          <t>Contractor</t>
        </is>
      </c>
      <c r="R452" s="1162" t="inlineStr">
        <is>
          <t>cant find this person</t>
        </is>
      </c>
      <c r="S452" s="1162" t="n">
        <v>1200</v>
      </c>
      <c r="T452" s="1162" t="n">
        <v>0</v>
      </c>
      <c r="U452" s="1162" t="n"/>
      <c r="V452" s="1158" t="n"/>
      <c r="W452" s="1158" t="n"/>
      <c r="X452" s="1158" t="n"/>
      <c r="Y452" s="1158" t="n"/>
      <c r="Z452" s="1158" t="n"/>
      <c r="AA452" s="1173">
        <f>IF(TRIM($B452)="","",IF(N($AU452)&gt;0,$AU452,IF(N($S452)&gt;0,$S452*Lists!$AG$15*(1+N($Z452)),N($U452)*(1+N($V452)+N($W452)+N($X452)+N($Z452))+N($Y452))))</f>
        <v>266400</v>
      </c>
      <c r="AB452" s="1238" t="n"/>
      <c r="AC452" s="1238" t="n"/>
      <c r="AD452" s="1238" t="n"/>
      <c r="AE452" s="1238" t="n"/>
      <c r="AF452" s="1238" t="n"/>
      <c r="AG452" s="1238" t="n"/>
      <c r="AH452" s="1238" t="n"/>
      <c r="AJ452" s="865" t="str">
        <f>IF(TRIM($B452)="","",IF(IFERROR(INDEX(Lists!$AO$2:$AO$11,MATCH(ROW(),Lists!$AN$2:$AN$11,0)),"")&lt;&gt;"",IFERROR(INDEX(Lists!$AO$2:$AO$11,MATCH(ROW(),Lists!$AN$2:$AN$11,0)),""),IFERROR(INDEX(Lists!$U:$U,MATCH(TRIM($I452),Lists!$T:$T,0)),TRIM($I452))))</f>
        <v>TDD Group Functions</v>
      </c>
      <c r="AK452" s="865" t="str">
        <f>IF(ISNUMBER(SEARCH("vacant",$B452)),"Vacant","Filled")</f>
        <v>Filled</v>
      </c>
      <c r="AL452" s="865" t="str">
        <f>IF($M452="NZ","NZ","AU")</f>
        <v>NZ</v>
      </c>
      <c r="AM452" s="865">
        <f>COUNTIF($AJ$2:$AJ452,$AJ452)</f>
        <v>4</v>
      </c>
      <c r="AN452" s="865" t="str">
        <f>$AJ452&amp;"|"&amp;$AM452</f>
        <v>TDD Group Functions|4</v>
      </c>
      <c r="AP452" s="865" t="str">
        <f>IF(TRIM($B452)="","",IF($AQ452=1,"Leadership",IFERROR(INDEX(Lists!$X:$X,MATCH(TRIM($K452),Lists!$W:$W,0)),IF(OR(TRIM($K452)="",LOWER(TRIM($K452))="na"),IF(TRIM($G452)="","Unassigned",TRIM($G452)),TRIM($K452)))))</f>
        <v>EGI TDD</v>
      </c>
      <c r="AQ452" s="865" t="b">
        <f>IF(TRIM($B452)="","",--OR(TRIM($K452)="Leadership",TRIM($J452)="Leadership"))</f>
        <v>0</v>
      </c>
      <c r="AR452" s="1136" t="str">
        <f>IF(TRIM($B452)="","",IF(IFERROR(INDEX(Lists!$AQ$2:$AQ$11,MATCH(ROW(),Lists!$AN$2:$AN$11,0)),"")&lt;&gt;"",IFERROR(INDEX(Lists!$AQ$2:$AQ$11,MATCH(ROW(),Lists!$AN$2:$AN$11,0)),""),IF(ISNUMBER(SEARCH("head of ",$C452)),"Head of Technology",IF(ISNUMBER(SEARCH("TDD BP",$C452)),"Business Partner",IF(OR(ISNUMBER(SEARCH("domain architect",$C452)),ISNUMBER(SEARCH("enterprise architect",$C452))),"Domain Architect",IF(ISNUMBER(SEARCH("delivery man",$C452)),"Delivery Manager",IF(OR(ISNUMBER(SEARCH("technology manager",$C452)),ISNUMBER(SEARCH("technology manger",$C452)),ISNUMBER(SEARCH("tech manager",$C452))),"Technology Manager","Squad")))))))</f>
        <v>Squad</v>
      </c>
      <c r="AS452" s="1136" t="str">
        <f>IF(TRIM($B452)="","",IFERROR(INDEX(Lists!$AA:$AA,MATCH($AP452,Lists!$Z:$Z,0)),$AP452))</f>
        <v>EGI TDD</v>
      </c>
      <c r="AT452" s="1136" t="str">
        <f>IF(TRIM($B452)="","",IF(IFERROR(INDEX(Lists!$AP$2:$AP$11,MATCH(ROW(),Lists!$AN$2:$AN$11,0)),"")&lt;&gt;"",IFERROR(INDEX(Lists!$AP$2:$AP$11,MATCH(ROW(),Lists!$AN$2:$AN$11,0)),""),IF(OR(LEFT($AJ452,3)="COE",$AJ452="EGI"),$AP452,IF($AR452&lt;&gt;"Squad",$AR452,$AP452))))</f>
        <v>EGI TDD</v>
      </c>
    </row>
    <row r="453" ht="18" customHeight="1" s="866">
      <c r="A453" s="1155" t="n">
        <v>11241</v>
      </c>
      <c r="B453" s="1199" t="inlineStr">
        <is>
          <t>Julma Bhagwani</t>
        </is>
      </c>
      <c r="C453" s="1199" t="inlineStr">
        <is>
          <t>SAP ERP Application Lead</t>
        </is>
      </c>
      <c r="D453" s="1158" t="inlineStr">
        <is>
          <t>Shane Ker</t>
        </is>
      </c>
      <c r="E453" s="1199" t="inlineStr">
        <is>
          <t>Technology Manager Finance Platforms</t>
        </is>
      </c>
      <c r="F453" s="1157" t="inlineStr">
        <is>
          <t>TDD Group Functions</t>
        </is>
      </c>
      <c r="G453" s="1199" t="inlineStr">
        <is>
          <t>P&amp;C, Finance &amp; Legal</t>
        </is>
      </c>
      <c r="H453" s="1158" t="inlineStr">
        <is>
          <t>Tech, Finance Platforms</t>
        </is>
      </c>
      <c r="I453" s="1158" t="inlineStr">
        <is>
          <t>Finance</t>
        </is>
      </c>
      <c r="J453" s="1158" t="inlineStr">
        <is>
          <t>AU Finance</t>
        </is>
      </c>
      <c r="K453" s="1158" t="inlineStr">
        <is>
          <t>SAP ERP</t>
        </is>
      </c>
      <c r="L453" s="1158" t="n"/>
      <c r="M453" s="1183" t="inlineStr">
        <is>
          <t>Australia</t>
        </is>
      </c>
      <c r="N453" s="1162" t="inlineStr">
        <is>
          <t>CIC</t>
        </is>
      </c>
      <c r="O453" s="1162" t="n">
        <v>1</v>
      </c>
      <c r="P453" s="1162" t="n"/>
      <c r="Q453" s="1162" t="inlineStr">
        <is>
          <t>Permanent - Full Time</t>
        </is>
      </c>
      <c r="R453" s="1162" t="n"/>
      <c r="S453" s="1162" t="n"/>
      <c r="T453" s="1162" t="n">
        <v>179700</v>
      </c>
      <c r="U453" s="1174" t="n">
        <v>179700</v>
      </c>
      <c r="V453" s="1166" t="n">
        <v>0.12</v>
      </c>
      <c r="W453" s="1170" t="n">
        <v>0.055</v>
      </c>
      <c r="X453" s="1170" t="n">
        <v>0.12</v>
      </c>
      <c r="Y453" s="1171" t="n"/>
      <c r="Z453" s="1170" t="n">
        <v>0.04</v>
      </c>
      <c r="AA453" s="1168">
        <f>IF(TRIM($B453)="","",IF(N($AU453)&gt;0,$AU453,IF(N($S453)&gt;0,$S453*Lists!$AG$15*(1+N($Z453)),N($U453)*(1+N($V453)+N($W453)+N($X453)+N($Z453))+N($Y453))))</f>
        <v>239899.5</v>
      </c>
      <c r="AB453" s="1238" t="n"/>
      <c r="AC453" s="1238" t="n"/>
      <c r="AD453" s="1238" t="n"/>
      <c r="AE453" s="1238" t="n"/>
      <c r="AF453" s="1238" t="n"/>
      <c r="AG453" s="1238" t="n"/>
      <c r="AH453" s="1238" t="n"/>
      <c r="AJ453" s="865" t="str">
        <f>IF(TRIM($B453)="","",IF(IFERROR(INDEX(Lists!$AO$2:$AO$11,MATCH(ROW(),Lists!$AN$2:$AN$11,0)),"")&lt;&gt;"",IFERROR(INDEX(Lists!$AO$2:$AO$11,MATCH(ROW(),Lists!$AN$2:$AN$11,0)),""),IFERROR(INDEX(Lists!$U:$U,MATCH(TRIM($I453),Lists!$T:$T,0)),TRIM($I453))))</f>
        <v>Finance</v>
      </c>
      <c r="AK453" s="865" t="str">
        <f>IF(ISNUMBER(SEARCH("vacant",$B453)),"Vacant","Filled")</f>
        <v>Filled</v>
      </c>
      <c r="AL453" s="865" t="str">
        <f>IF($M453="NZ","NZ","AU")</f>
        <v>AU</v>
      </c>
      <c r="AM453" s="865">
        <f>COUNTIF($AJ$2:$AJ453,$AJ453)</f>
        <v>2</v>
      </c>
      <c r="AN453" s="865" t="str">
        <f>$AJ453&amp;"|"&amp;$AM453</f>
        <v>Finance|2</v>
      </c>
      <c r="AP453" s="865" t="str">
        <f>IF(TRIM($B453)="","",IF($AQ453=1,"Leadership",IFERROR(INDEX(Lists!$X:$X,MATCH(TRIM($K453),Lists!$W:$W,0)),IF(OR(TRIM($K453)="",LOWER(TRIM($K453))="na"),IF(TRIM($G453)="","Unassigned",TRIM($G453)),TRIM($K453)))))</f>
        <v>SAP ERP</v>
      </c>
      <c r="AQ453" s="865" t="b">
        <f>IF(TRIM($B453)="","",--OR(TRIM($K453)="Leadership",TRIM($J453)="Leadership"))</f>
        <v>0</v>
      </c>
      <c r="AR453" s="1136" t="str">
        <f>IF(TRIM($B453)="","",IF(IFERROR(INDEX(Lists!$AQ$2:$AQ$11,MATCH(ROW(),Lists!$AN$2:$AN$11,0)),"")&lt;&gt;"",IFERROR(INDEX(Lists!$AQ$2:$AQ$11,MATCH(ROW(),Lists!$AN$2:$AN$11,0)),""),IF(ISNUMBER(SEARCH("head of ",$C453)),"Head of Technology",IF(ISNUMBER(SEARCH("TDD BP",$C453)),"Business Partner",IF(OR(ISNUMBER(SEARCH("domain architect",$C453)),ISNUMBER(SEARCH("enterprise architect",$C453))),"Domain Architect",IF(ISNUMBER(SEARCH("delivery man",$C453)),"Delivery Manager",IF(OR(ISNUMBER(SEARCH("technology manager",$C453)),ISNUMBER(SEARCH("technology manger",$C453)),ISNUMBER(SEARCH("tech manager",$C453))),"Technology Manager","Squad")))))))</f>
        <v>Squad</v>
      </c>
      <c r="AS453" s="1136" t="str">
        <f>IF(TRIM($B453)="","",IFERROR(INDEX(Lists!$AA:$AA,MATCH($AP453,Lists!$Z:$Z,0)),$AP453))</f>
        <v>SAP ERP</v>
      </c>
      <c r="AT453" s="1136" t="str">
        <f>IF(TRIM($B453)="","",IF(IFERROR(INDEX(Lists!$AP$2:$AP$11,MATCH(ROW(),Lists!$AN$2:$AN$11,0)),"")&lt;&gt;"",IFERROR(INDEX(Lists!$AP$2:$AP$11,MATCH(ROW(),Lists!$AN$2:$AN$11,0)),""),IF(OR(LEFT($AJ453,3)="COE",$AJ453="EGI"),$AP453,IF($AR453&lt;&gt;"Squad",$AR453,$AP453))))</f>
        <v>SAP ERP</v>
      </c>
    </row>
    <row r="454" ht="18" customHeight="1" s="866">
      <c r="A454" s="1155" t="n">
        <v>4251</v>
      </c>
      <c r="B454" s="1199" t="inlineStr">
        <is>
          <t>Maudud Chaudhury</t>
        </is>
      </c>
      <c r="C454" s="1199" t="inlineStr">
        <is>
          <t>SAP ERP Application Lead</t>
        </is>
      </c>
      <c r="D454" s="1158" t="inlineStr">
        <is>
          <t>Shane Ker</t>
        </is>
      </c>
      <c r="E454" s="1199" t="inlineStr">
        <is>
          <t>Technology Manager Finance Platforms</t>
        </is>
      </c>
      <c r="F454" s="1157" t="inlineStr">
        <is>
          <t>TDD Group Functions</t>
        </is>
      </c>
      <c r="G454" s="1199" t="inlineStr">
        <is>
          <t>P&amp;C, Finance &amp; Legal</t>
        </is>
      </c>
      <c r="H454" s="1158" t="inlineStr">
        <is>
          <t>Tech, Finance Platforms</t>
        </is>
      </c>
      <c r="I454" s="1158" t="inlineStr">
        <is>
          <t>Finance</t>
        </is>
      </c>
      <c r="J454" s="1158" t="inlineStr">
        <is>
          <t>AU Finance</t>
        </is>
      </c>
      <c r="K454" s="1158" t="inlineStr">
        <is>
          <t>SAP ERP</t>
        </is>
      </c>
      <c r="L454" s="1158" t="n"/>
      <c r="M454" s="1183" t="inlineStr">
        <is>
          <t>Australia</t>
        </is>
      </c>
      <c r="N454" s="1162" t="inlineStr">
        <is>
          <t>CIC</t>
        </is>
      </c>
      <c r="O454" s="1162" t="n">
        <v>1</v>
      </c>
      <c r="P454" s="1162" t="n"/>
      <c r="Q454" s="1162" t="inlineStr">
        <is>
          <t>Permanent - Full Time</t>
        </is>
      </c>
      <c r="R454" s="1162" t="n"/>
      <c r="S454" s="1162" t="n"/>
      <c r="T454" s="1162" t="n">
        <v>160370</v>
      </c>
      <c r="U454" s="1174" t="n">
        <v>160370</v>
      </c>
      <c r="V454" s="1166" t="n">
        <v>0.12</v>
      </c>
      <c r="W454" s="1170" t="n">
        <v>0.055</v>
      </c>
      <c r="X454" s="1170" t="n">
        <v>0.12</v>
      </c>
      <c r="Y454" s="1171" t="n"/>
      <c r="Z454" s="1170" t="n">
        <v>0.04</v>
      </c>
      <c r="AA454" s="1168">
        <f>IF(TRIM($B454)="","",IF(N($AU454)&gt;0,$AU454,IF(N($S454)&gt;0,$S454*Lists!$AG$15*(1+N($Z454)),N($U454)*(1+N($V454)+N($W454)+N($X454)+N($Z454))+N($Y454))))</f>
        <v>214093.95</v>
      </c>
      <c r="AB454" s="1238" t="n"/>
      <c r="AC454" s="1238" t="n"/>
      <c r="AD454" s="1238" t="n"/>
      <c r="AE454" s="1238" t="n"/>
      <c r="AF454" s="1238" t="n"/>
      <c r="AG454" s="1238" t="n"/>
      <c r="AH454" s="1238" t="n"/>
      <c r="AJ454" s="865" t="str">
        <f>IF(TRIM($B454)="","",IF(IFERROR(INDEX(Lists!$AO$2:$AO$11,MATCH(ROW(),Lists!$AN$2:$AN$11,0)),"")&lt;&gt;"",IFERROR(INDEX(Lists!$AO$2:$AO$11,MATCH(ROW(),Lists!$AN$2:$AN$11,0)),""),IFERROR(INDEX(Lists!$U:$U,MATCH(TRIM($I454),Lists!$T:$T,0)),TRIM($I454))))</f>
        <v>Finance</v>
      </c>
      <c r="AK454" s="865" t="str">
        <f>IF(ISNUMBER(SEARCH("vacant",$B454)),"Vacant","Filled")</f>
        <v>Filled</v>
      </c>
      <c r="AL454" s="865" t="str">
        <f>IF($M454="NZ","NZ","AU")</f>
        <v>AU</v>
      </c>
      <c r="AM454" s="865">
        <f>COUNTIF($AJ$2:$AJ454,$AJ454)</f>
        <v>3</v>
      </c>
      <c r="AN454" s="865" t="str">
        <f>$AJ454&amp;"|"&amp;$AM454</f>
        <v>Finance|3</v>
      </c>
      <c r="AP454" s="865" t="str">
        <f>IF(TRIM($B454)="","",IF($AQ454=1,"Leadership",IFERROR(INDEX(Lists!$X:$X,MATCH(TRIM($K454),Lists!$W:$W,0)),IF(OR(TRIM($K454)="",LOWER(TRIM($K454))="na"),IF(TRIM($G454)="","Unassigned",TRIM($G454)),TRIM($K454)))))</f>
        <v>SAP ERP</v>
      </c>
      <c r="AQ454" s="865" t="b">
        <f>IF(TRIM($B454)="","",--OR(TRIM($K454)="Leadership",TRIM($J454)="Leadership"))</f>
        <v>0</v>
      </c>
      <c r="AR454" s="1136" t="str">
        <f>IF(TRIM($B454)="","",IF(IFERROR(INDEX(Lists!$AQ$2:$AQ$11,MATCH(ROW(),Lists!$AN$2:$AN$11,0)),"")&lt;&gt;"",IFERROR(INDEX(Lists!$AQ$2:$AQ$11,MATCH(ROW(),Lists!$AN$2:$AN$11,0)),""),IF(ISNUMBER(SEARCH("head of ",$C454)),"Head of Technology",IF(ISNUMBER(SEARCH("TDD BP",$C454)),"Business Partner",IF(OR(ISNUMBER(SEARCH("domain architect",$C454)),ISNUMBER(SEARCH("enterprise architect",$C454))),"Domain Architect",IF(ISNUMBER(SEARCH("delivery man",$C454)),"Delivery Manager",IF(OR(ISNUMBER(SEARCH("technology manager",$C454)),ISNUMBER(SEARCH("technology manger",$C454)),ISNUMBER(SEARCH("tech manager",$C454))),"Technology Manager","Squad")))))))</f>
        <v>Squad</v>
      </c>
      <c r="AS454" s="1136" t="str">
        <f>IF(TRIM($B454)="","",IFERROR(INDEX(Lists!$AA:$AA,MATCH($AP454,Lists!$Z:$Z,0)),$AP454))</f>
        <v>SAP ERP</v>
      </c>
      <c r="AT454" s="1136" t="str">
        <f>IF(TRIM($B454)="","",IF(IFERROR(INDEX(Lists!$AP$2:$AP$11,MATCH(ROW(),Lists!$AN$2:$AN$11,0)),"")&lt;&gt;"",IFERROR(INDEX(Lists!$AP$2:$AP$11,MATCH(ROW(),Lists!$AN$2:$AN$11,0)),""),IF(OR(LEFT($AJ454,3)="COE",$AJ454="EGI"),$AP454,IF($AR454&lt;&gt;"Squad",$AR454,$AP454))))</f>
        <v>SAP ERP</v>
      </c>
    </row>
    <row r="455" ht="18" customHeight="1" s="866">
      <c r="A455" s="1155" t="n">
        <v>109863</v>
      </c>
      <c r="B455" s="1156" t="inlineStr">
        <is>
          <t>Shane Ker</t>
        </is>
      </c>
      <c r="C455" s="1156" t="inlineStr">
        <is>
          <t>Technology Manger - Finance Platfoms</t>
        </is>
      </c>
      <c r="D455" s="1156" t="inlineStr">
        <is>
          <t>Vaso Vukovic</t>
        </is>
      </c>
      <c r="E455" s="1156" t="inlineStr">
        <is>
          <t>Head of Technology - P&amp;C, Finance &amp; Legal</t>
        </is>
      </c>
      <c r="F455" s="1157" t="inlineStr">
        <is>
          <t>TDD Group Functions</t>
        </is>
      </c>
      <c r="G455" s="1199" t="inlineStr">
        <is>
          <t>P&amp;C, Finance &amp; Legal</t>
        </is>
      </c>
      <c r="H455" s="1158" t="inlineStr">
        <is>
          <t>Tech, Finance Platforms</t>
        </is>
      </c>
      <c r="I455" s="1158" t="inlineStr">
        <is>
          <t>Finance</t>
        </is>
      </c>
      <c r="J455" s="1158" t="inlineStr">
        <is>
          <t>Finance</t>
        </is>
      </c>
      <c r="K455" s="1158" t="inlineStr">
        <is>
          <t>Leadership</t>
        </is>
      </c>
      <c r="L455" s="1158" t="n"/>
      <c r="M455" s="1183" t="inlineStr">
        <is>
          <t>Australia</t>
        </is>
      </c>
      <c r="N455" s="1160" t="inlineStr">
        <is>
          <t>CSB</t>
        </is>
      </c>
      <c r="O455" s="1160" t="n">
        <v>1</v>
      </c>
      <c r="P455" s="1160" t="n"/>
      <c r="Q455" s="1160" t="inlineStr">
        <is>
          <t>Permanent - Full Time</t>
        </is>
      </c>
      <c r="R455" s="1162" t="n"/>
      <c r="S455" s="1162" t="n"/>
      <c r="T455" s="1162" t="n">
        <v>238790</v>
      </c>
      <c r="U455" s="1174" t="n">
        <v>238790</v>
      </c>
      <c r="V455" s="1166" t="n">
        <v>0.14</v>
      </c>
      <c r="W455" s="1170" t="n">
        <v>0.055</v>
      </c>
      <c r="X455" s="1170" t="n">
        <v>0.12</v>
      </c>
      <c r="Y455" s="1171" t="n"/>
      <c r="Z455" s="1170" t="n">
        <v>0.04</v>
      </c>
      <c r="AA455" s="1168">
        <f>IF(TRIM($B455)="","",IF(N($AU455)&gt;0,$AU455,IF(N($S455)&gt;0,$S455*Lists!$AG$15*(1+N($Z455)),N($U455)*(1+N($V455)+N($W455)+N($X455)+N($Z455))+N($Y455))))</f>
        <v>323560.45</v>
      </c>
      <c r="AB455" s="1238" t="n"/>
      <c r="AC455" s="1238" t="n"/>
      <c r="AD455" s="1238" t="n"/>
      <c r="AE455" s="1238" t="n"/>
      <c r="AF455" s="1238" t="n"/>
      <c r="AG455" s="1238" t="n"/>
      <c r="AH455" s="1238" t="n"/>
      <c r="AJ455" s="865" t="str">
        <f>IF(TRIM($B455)="","",IF(IFERROR(INDEX(Lists!$AO$2:$AO$11,MATCH(ROW(),Lists!$AN$2:$AN$11,0)),"")&lt;&gt;"",IFERROR(INDEX(Lists!$AO$2:$AO$11,MATCH(ROW(),Lists!$AN$2:$AN$11,0)),""),IFERROR(INDEX(Lists!$U:$U,MATCH(TRIM($I455),Lists!$T:$T,0)),TRIM($I455))))</f>
        <v>Finance</v>
      </c>
      <c r="AK455" s="865" t="str">
        <f>IF(ISNUMBER(SEARCH("vacant",$B455)),"Vacant","Filled")</f>
        <v>Filled</v>
      </c>
      <c r="AL455" s="865" t="str">
        <f>IF($M455="NZ","NZ","AU")</f>
        <v>AU</v>
      </c>
      <c r="AM455" s="865">
        <f>COUNTIF($AJ$2:$AJ455,$AJ455)</f>
        <v>4</v>
      </c>
      <c r="AN455" s="865" t="str">
        <f>$AJ455&amp;"|"&amp;$AM455</f>
        <v>Finance|4</v>
      </c>
      <c r="AP455" s="1136" t="str">
        <f>IF(TRIM($B455)="","",IF($AQ455=1,"Leadership",IFERROR(INDEX(Lists!$X:$X,MATCH(TRIM($K455),Lists!$W:$W,0)),IF(OR(TRIM($K455)="",LOWER(TRIM($K455))="na"),IF(TRIM($G455)="","Unassigned",TRIM($G455)),TRIM($K455)))))</f>
        <v>Leadership</v>
      </c>
      <c r="AQ455" s="865" t="b">
        <f>IF(TRIM($B455)="","",--OR(TRIM($K455)="Leadership",TRIM($J455)="Leadership"))</f>
        <v>1</v>
      </c>
      <c r="AR455" s="1136" t="str">
        <f>IF(TRIM($B455)="","",IF(IFERROR(INDEX(Lists!$AQ$2:$AQ$11,MATCH(ROW(),Lists!$AN$2:$AN$11,0)),"")&lt;&gt;"",IFERROR(INDEX(Lists!$AQ$2:$AQ$11,MATCH(ROW(),Lists!$AN$2:$AN$11,0)),""),IF(ISNUMBER(SEARCH("head of ",$C455)),"Head of Technology",IF(ISNUMBER(SEARCH("TDD BP",$C455)),"Business Partner",IF(OR(ISNUMBER(SEARCH("domain architect",$C455)),ISNUMBER(SEARCH("enterprise architect",$C455))),"Domain Architect",IF(ISNUMBER(SEARCH("delivery man",$C455)),"Delivery Manager",IF(OR(ISNUMBER(SEARCH("technology manager",$C455)),ISNUMBER(SEARCH("technology manger",$C455)),ISNUMBER(SEARCH("tech manager",$C455))),"Technology Manager","Squad")))))))</f>
        <v>Technology Manager</v>
      </c>
      <c r="AS455" s="1136" t="str">
        <f>IF(TRIM($B455)="","",IFERROR(INDEX(Lists!$AA:$AA,MATCH($AP455,Lists!$Z:$Z,0)),$AP455))</f>
        <v>Leadership</v>
      </c>
      <c r="AT455" s="1136" t="str">
        <f>IF(TRIM($B455)="","",IF(IFERROR(INDEX(Lists!$AP$2:$AP$11,MATCH(ROW(),Lists!$AN$2:$AN$11,0)),"")&lt;&gt;"",IFERROR(INDEX(Lists!$AP$2:$AP$11,MATCH(ROW(),Lists!$AN$2:$AN$11,0)),""),IF(OR(LEFT($AJ455,3)="COE",$AJ455="EGI"),$AP455,IF($AR455&lt;&gt;"Squad",$AR455,$AP455))))</f>
        <v>Technology Manager</v>
      </c>
    </row>
    <row r="456" ht="18" customHeight="1" s="866">
      <c r="A456" s="1155" t="n">
        <v>99999170438</v>
      </c>
      <c r="B456" s="1291" t="inlineStr">
        <is>
          <t>Leilanie Avilla</t>
        </is>
      </c>
      <c r="C456" s="1199" t="inlineStr">
        <is>
          <t>JDE Systems Specialist</t>
        </is>
      </c>
      <c r="D456" s="1158" t="inlineStr">
        <is>
          <t>Lydia Pritchard</t>
        </is>
      </c>
      <c r="E456" s="1199" t="inlineStr">
        <is>
          <t>Lead JDE System Specialist</t>
        </is>
      </c>
      <c r="F456" s="1157" t="inlineStr">
        <is>
          <t>TDD Group Functions</t>
        </is>
      </c>
      <c r="G456" s="1199" t="inlineStr">
        <is>
          <t>P&amp;C, Finance &amp; Legal</t>
        </is>
      </c>
      <c r="H456" s="1158" t="inlineStr">
        <is>
          <t>Tech, Finance Platforms</t>
        </is>
      </c>
      <c r="I456" s="1158" t="inlineStr">
        <is>
          <t>Finance</t>
        </is>
      </c>
      <c r="J456" s="1158" t="inlineStr">
        <is>
          <t>NZ Finance</t>
        </is>
      </c>
      <c r="K456" s="1158" t="inlineStr">
        <is>
          <t>NZ Finance</t>
        </is>
      </c>
      <c r="L456" s="1158" t="n"/>
      <c r="M456" s="1183" t="inlineStr">
        <is>
          <t>NZ</t>
        </is>
      </c>
      <c r="N456" s="1160" t="inlineStr">
        <is>
          <t>CDB</t>
        </is>
      </c>
      <c r="O456" s="1161" t="n">
        <v>1</v>
      </c>
      <c r="P456" s="1160" t="n"/>
      <c r="Q456" s="1161" t="inlineStr">
        <is>
          <t>Permanent - Full Time</t>
        </is>
      </c>
      <c r="R456" s="1162" t="n"/>
      <c r="S456" s="1162" t="n"/>
      <c r="T456" s="1162" t="n">
        <v>96270</v>
      </c>
      <c r="U456" s="1174" t="n">
        <v>88568.39999999999</v>
      </c>
      <c r="V456" s="1165" t="n">
        <v>0.1</v>
      </c>
      <c r="W456" s="1162" t="n"/>
      <c r="X456" s="1166" t="n">
        <v>0.05</v>
      </c>
      <c r="Y456" s="1907" t="n">
        <v>2910</v>
      </c>
      <c r="Z456" s="1166" t="n">
        <v>0.03</v>
      </c>
      <c r="AA456" s="1168">
        <f>IF(TRIM($B456)="","",IF(N($AU456)&gt;0,$AU456,IF(N($S456)&gt;0,$S456*Lists!$AG$15*(1+N($Z456)),N($U456)*(1+N($V456)+N($W456)+N($X456)+N($Z456))+N($Y456))))</f>
        <v>107420.712</v>
      </c>
      <c r="AB456" s="1238" t="n"/>
      <c r="AC456" s="1238" t="n"/>
      <c r="AD456" s="1238" t="n"/>
      <c r="AE456" s="1238" t="n"/>
      <c r="AF456" s="1238" t="n"/>
      <c r="AG456" s="1238" t="n"/>
      <c r="AH456" s="1238" t="n"/>
      <c r="AJ456" s="865" t="str">
        <f>IF(TRIM($B456)="","",IF(IFERROR(INDEX(Lists!$AO$2:$AO$11,MATCH(ROW(),Lists!$AN$2:$AN$11,0)),"")&lt;&gt;"",IFERROR(INDEX(Lists!$AO$2:$AO$11,MATCH(ROW(),Lists!$AN$2:$AN$11,0)),""),IFERROR(INDEX(Lists!$U:$U,MATCH(TRIM($I456),Lists!$T:$T,0)),TRIM($I456))))</f>
        <v>Finance</v>
      </c>
      <c r="AK456" s="865" t="str">
        <f>IF(ISNUMBER(SEARCH("vacant",$B456)),"Vacant","Filled")</f>
        <v>Filled</v>
      </c>
      <c r="AL456" s="865" t="str">
        <f>IF($M456="NZ","NZ","AU")</f>
        <v>NZ</v>
      </c>
      <c r="AM456" s="865">
        <f>COUNTIF($AJ$2:$AJ456,$AJ456)</f>
        <v>5</v>
      </c>
      <c r="AN456" s="865" t="str">
        <f>$AJ456&amp;"|"&amp;$AM456</f>
        <v>Finance|5</v>
      </c>
      <c r="AP456" s="865" t="str">
        <f>IF(TRIM($B456)="","",IF($AQ456=1,"Leadership",IFERROR(INDEX(Lists!$X:$X,MATCH(TRIM($K456),Lists!$W:$W,0)),IF(OR(TRIM($K456)="",LOWER(TRIM($K456))="na"),IF(TRIM($G456)="","Unassigned",TRIM($G456)),TRIM($K456)))))</f>
        <v>NZ Finance</v>
      </c>
      <c r="AQ456" s="865" t="b">
        <f>IF(TRIM($B456)="","",--OR(TRIM($K456)="Leadership",TRIM($J456)="Leadership"))</f>
        <v>0</v>
      </c>
      <c r="AR456" s="1136" t="str">
        <f>IF(TRIM($B456)="","",IF(IFERROR(INDEX(Lists!$AQ$2:$AQ$11,MATCH(ROW(),Lists!$AN$2:$AN$11,0)),"")&lt;&gt;"",IFERROR(INDEX(Lists!$AQ$2:$AQ$11,MATCH(ROW(),Lists!$AN$2:$AN$11,0)),""),IF(ISNUMBER(SEARCH("head of ",$C456)),"Head of Technology",IF(ISNUMBER(SEARCH("TDD BP",$C456)),"Business Partner",IF(OR(ISNUMBER(SEARCH("domain architect",$C456)),ISNUMBER(SEARCH("enterprise architect",$C456))),"Domain Architect",IF(ISNUMBER(SEARCH("delivery man",$C456)),"Delivery Manager",IF(OR(ISNUMBER(SEARCH("technology manager",$C456)),ISNUMBER(SEARCH("technology manger",$C456)),ISNUMBER(SEARCH("tech manager",$C456))),"Technology Manager","Squad")))))))</f>
        <v>Squad</v>
      </c>
      <c r="AS456" s="1136" t="str">
        <f>IF(TRIM($B456)="","",IFERROR(INDEX(Lists!$AA:$AA,MATCH($AP456,Lists!$Z:$Z,0)),$AP456))</f>
        <v>NZ Finance</v>
      </c>
      <c r="AT456" s="1136" t="str">
        <f>IF(TRIM($B456)="","",IF(IFERROR(INDEX(Lists!$AP$2:$AP$11,MATCH(ROW(),Lists!$AN$2:$AN$11,0)),"")&lt;&gt;"",IFERROR(INDEX(Lists!$AP$2:$AP$11,MATCH(ROW(),Lists!$AN$2:$AN$11,0)),""),IF(OR(LEFT($AJ456,3)="COE",$AJ456="EGI"),$AP456,IF($AR456&lt;&gt;"Squad",$AR456,$AP456))))</f>
        <v>NZ Finance</v>
      </c>
    </row>
    <row r="457" ht="18" customHeight="1" s="866">
      <c r="A457" s="1155" t="n">
        <v>99999100336</v>
      </c>
      <c r="B457" s="1156" t="inlineStr">
        <is>
          <t>Lydia Pritchard</t>
        </is>
      </c>
      <c r="C457" s="1156" t="inlineStr">
        <is>
          <t>Lead JDE Systems Specialist</t>
        </is>
      </c>
      <c r="D457" s="1156" t="inlineStr">
        <is>
          <t>Shane Ker</t>
        </is>
      </c>
      <c r="E457" s="1156" t="inlineStr">
        <is>
          <t>Technology Manager Finance Platforms</t>
        </is>
      </c>
      <c r="F457" s="1157" t="inlineStr">
        <is>
          <t>TDD Group Functions</t>
        </is>
      </c>
      <c r="G457" s="1199" t="inlineStr">
        <is>
          <t>P&amp;C, Finance &amp; Legal</t>
        </is>
      </c>
      <c r="H457" s="1158" t="inlineStr">
        <is>
          <t>Tech, Finance Platforms</t>
        </is>
      </c>
      <c r="I457" s="1158" t="inlineStr">
        <is>
          <t>Finance</t>
        </is>
      </c>
      <c r="J457" s="1158" t="inlineStr">
        <is>
          <t>NZ Finance</t>
        </is>
      </c>
      <c r="K457" s="1158" t="inlineStr">
        <is>
          <t>NZ Finance</t>
        </is>
      </c>
      <c r="L457" s="1158" t="n"/>
      <c r="M457" s="1183" t="inlineStr">
        <is>
          <t>NZ</t>
        </is>
      </c>
      <c r="N457" s="1160" t="inlineStr">
        <is>
          <t>CIC</t>
        </is>
      </c>
      <c r="O457" s="1161" t="n">
        <v>1</v>
      </c>
      <c r="P457" s="1160" t="n"/>
      <c r="Q457" s="1161" t="inlineStr">
        <is>
          <t>Permanent - Full Time</t>
        </is>
      </c>
      <c r="R457" s="1162" t="n"/>
      <c r="S457" s="1162" t="n"/>
      <c r="T457" s="1162" t="n">
        <v>172490</v>
      </c>
      <c r="U457" s="1174" t="n">
        <v>158690.8</v>
      </c>
      <c r="V457" s="1165" t="n">
        <v>0.15</v>
      </c>
      <c r="W457" s="1162" t="n"/>
      <c r="X457" s="1166" t="n">
        <v>0.05</v>
      </c>
      <c r="Y457" s="1907" t="n">
        <v>2910</v>
      </c>
      <c r="Z457" s="1166" t="n">
        <v>0.03</v>
      </c>
      <c r="AA457" s="1168">
        <f>IF(TRIM($B457)="","",IF(N($AU457)&gt;0,$AU457,IF(N($S457)&gt;0,$S457*Lists!$AG$15*(1+N($Z457)),N($U457)*(1+N($V457)+N($W457)+N($X457)+N($Z457))+N($Y457))))</f>
        <v>198099.684</v>
      </c>
      <c r="AB457" s="1238" t="n"/>
      <c r="AC457" s="1238" t="n"/>
      <c r="AD457" s="1238" t="n"/>
      <c r="AE457" s="1238" t="n"/>
      <c r="AF457" s="1238" t="n"/>
      <c r="AG457" s="1238" t="n"/>
      <c r="AH457" s="1238" t="n"/>
      <c r="AJ457" s="865" t="str">
        <f>IF(TRIM($B457)="","",IF(IFERROR(INDEX(Lists!$AO$2:$AO$11,MATCH(ROW(),Lists!$AN$2:$AN$11,0)),"")&lt;&gt;"",IFERROR(INDEX(Lists!$AO$2:$AO$11,MATCH(ROW(),Lists!$AN$2:$AN$11,0)),""),IFERROR(INDEX(Lists!$U:$U,MATCH(TRIM($I457),Lists!$T:$T,0)),TRIM($I457))))</f>
        <v>Finance</v>
      </c>
      <c r="AK457" s="865" t="str">
        <f>IF(ISNUMBER(SEARCH("vacant",$B457)),"Vacant","Filled")</f>
        <v>Filled</v>
      </c>
      <c r="AL457" s="865" t="str">
        <f>IF($M457="NZ","NZ","AU")</f>
        <v>NZ</v>
      </c>
      <c r="AM457" s="865">
        <f>COUNTIF($AJ$2:$AJ457,$AJ457)</f>
        <v>6</v>
      </c>
      <c r="AN457" s="865" t="str">
        <f>$AJ457&amp;"|"&amp;$AM457</f>
        <v>Finance|6</v>
      </c>
      <c r="AP457" s="865" t="str">
        <f>IF(TRIM($B457)="","",IF($AQ457=1,"Leadership",IFERROR(INDEX(Lists!$X:$X,MATCH(TRIM($K457),Lists!$W:$W,0)),IF(OR(TRIM($K457)="",LOWER(TRIM($K457))="na"),IF(TRIM($G457)="","Unassigned",TRIM($G457)),TRIM($K457)))))</f>
        <v>NZ Finance</v>
      </c>
      <c r="AQ457" s="865" t="b">
        <f>IF(TRIM($B457)="","",--OR(TRIM($K457)="Leadership",TRIM($J457)="Leadership"))</f>
        <v>0</v>
      </c>
      <c r="AR457" s="1136" t="str">
        <f>IF(TRIM($B457)="","",IF(IFERROR(INDEX(Lists!$AQ$2:$AQ$11,MATCH(ROW(),Lists!$AN$2:$AN$11,0)),"")&lt;&gt;"",IFERROR(INDEX(Lists!$AQ$2:$AQ$11,MATCH(ROW(),Lists!$AN$2:$AN$11,0)),""),IF(ISNUMBER(SEARCH("head of ",$C457)),"Head of Technology",IF(ISNUMBER(SEARCH("TDD BP",$C457)),"Business Partner",IF(OR(ISNUMBER(SEARCH("domain architect",$C457)),ISNUMBER(SEARCH("enterprise architect",$C457))),"Domain Architect",IF(ISNUMBER(SEARCH("delivery man",$C457)),"Delivery Manager",IF(OR(ISNUMBER(SEARCH("technology manager",$C457)),ISNUMBER(SEARCH("technology manger",$C457)),ISNUMBER(SEARCH("tech manager",$C457))),"Technology Manager","Squad")))))))</f>
        <v>Squad</v>
      </c>
      <c r="AS457" s="1136" t="str">
        <f>IF(TRIM($B457)="","",IFERROR(INDEX(Lists!$AA:$AA,MATCH($AP457,Lists!$Z:$Z,0)),$AP457))</f>
        <v>NZ Finance</v>
      </c>
      <c r="AT457" s="1136" t="str">
        <f>IF(TRIM($B457)="","",IF(IFERROR(INDEX(Lists!$AP$2:$AP$11,MATCH(ROW(),Lists!$AN$2:$AN$11,0)),"")&lt;&gt;"",IFERROR(INDEX(Lists!$AP$2:$AP$11,MATCH(ROW(),Lists!$AN$2:$AN$11,0)),""),IF(OR(LEFT($AJ457,3)="COE",$AJ457="EGI"),$AP457,IF($AR457&lt;&gt;"Squad",$AR457,$AP457))))</f>
        <v>NZ Finance</v>
      </c>
    </row>
    <row r="458" ht="18" customHeight="1" s="866">
      <c r="A458" s="1155" t="n"/>
      <c r="B458" s="1291" t="inlineStr">
        <is>
          <t>Ring fenced</t>
        </is>
      </c>
      <c r="C458" s="1199" t="inlineStr">
        <is>
          <t>JDE Senior Systems Specialist</t>
        </is>
      </c>
      <c r="D458" s="1158" t="inlineStr">
        <is>
          <t>Lydia Pritchard</t>
        </is>
      </c>
      <c r="E458" s="1199" t="inlineStr">
        <is>
          <t>Lead JDE System Specialist</t>
        </is>
      </c>
      <c r="F458" s="1157" t="inlineStr">
        <is>
          <t>TDD Group Functions</t>
        </is>
      </c>
      <c r="G458" s="1199" t="inlineStr">
        <is>
          <t>P&amp;C, Finance &amp; Legal</t>
        </is>
      </c>
      <c r="H458" s="1158" t="inlineStr">
        <is>
          <t>Tech, Finance Platforms</t>
        </is>
      </c>
      <c r="I458" s="1158" t="inlineStr">
        <is>
          <t>Finance</t>
        </is>
      </c>
      <c r="J458" s="1158" t="inlineStr">
        <is>
          <t>NZ Finance</t>
        </is>
      </c>
      <c r="K458" s="1158" t="inlineStr">
        <is>
          <t>NZ Finance</t>
        </is>
      </c>
      <c r="L458" s="1158" t="n"/>
      <c r="M458" s="1183" t="inlineStr">
        <is>
          <t>NZ</t>
        </is>
      </c>
      <c r="N458" s="1160" t="inlineStr">
        <is>
          <t>CIC</t>
        </is>
      </c>
      <c r="O458" s="1160" t="n">
        <v>1</v>
      </c>
      <c r="P458" s="1160" t="n"/>
      <c r="Q458" s="1160" t="inlineStr">
        <is>
          <t>v</t>
        </is>
      </c>
      <c r="R458" s="1172" t="n"/>
      <c r="S458" s="1162" t="n"/>
      <c r="T458" s="1162" t="n">
        <v>160000</v>
      </c>
      <c r="U458" s="1174" t="n">
        <v>147200</v>
      </c>
      <c r="V458" s="1166" t="n">
        <v>0.15</v>
      </c>
      <c r="W458" s="1162" t="n"/>
      <c r="X458" s="1166" t="n">
        <v>0.05</v>
      </c>
      <c r="Y458" s="1907" t="n">
        <v>2910</v>
      </c>
      <c r="Z458" s="1166" t="n">
        <v>0.03</v>
      </c>
      <c r="AA458" s="1168">
        <f>IF(TRIM($B458)="","",IF(N($AU458)&gt;0,$AU458,IF(N($S458)&gt;0,$S458*Lists!$AG$15*(1+N($Z458)),N($U458)*(1+N($V458)+N($W458)+N($X458)+N($Z458))+N($Y458))))</f>
        <v>183966</v>
      </c>
      <c r="AB458" s="1238" t="n"/>
      <c r="AC458" s="1238" t="n"/>
      <c r="AD458" s="1238" t="n"/>
      <c r="AE458" s="1238" t="n"/>
      <c r="AF458" s="1238" t="n"/>
      <c r="AG458" s="1238" t="n"/>
      <c r="AH458" s="1238" t="n"/>
      <c r="AJ458" s="865" t="str">
        <f>IF(TRIM($B458)="","",IF(IFERROR(INDEX(Lists!$AO$2:$AO$11,MATCH(ROW(),Lists!$AN$2:$AN$11,0)),"")&lt;&gt;"",IFERROR(INDEX(Lists!$AO$2:$AO$11,MATCH(ROW(),Lists!$AN$2:$AN$11,0)),""),IFERROR(INDEX(Lists!$U:$U,MATCH(TRIM($I458),Lists!$T:$T,0)),TRIM($I458))))</f>
        <v>Finance</v>
      </c>
      <c r="AK458" s="865" t="str">
        <f>IF(ISNUMBER(SEARCH("vacant",$B458)),"Vacant","Filled")</f>
        <v>Filled</v>
      </c>
      <c r="AL458" s="865" t="str">
        <f>IF($M458="NZ","NZ","AU")</f>
        <v>NZ</v>
      </c>
      <c r="AM458" s="865">
        <f>COUNTIF($AJ$2:$AJ458,$AJ458)</f>
        <v>7</v>
      </c>
      <c r="AN458" s="865" t="str">
        <f>$AJ458&amp;"|"&amp;$AM458</f>
        <v>Finance|7</v>
      </c>
      <c r="AP458" s="865" t="str">
        <f>IF(TRIM($B458)="","",IF($AQ458=1,"Leadership",IFERROR(INDEX(Lists!$X:$X,MATCH(TRIM($K458),Lists!$W:$W,0)),IF(OR(TRIM($K458)="",LOWER(TRIM($K458))="na"),IF(TRIM($G458)="","Unassigned",TRIM($G458)),TRIM($K458)))))</f>
        <v>NZ Finance</v>
      </c>
      <c r="AQ458" s="865" t="b">
        <f>IF(TRIM($B458)="","",--OR(TRIM($K458)="Leadership",TRIM($J458)="Leadership"))</f>
        <v>0</v>
      </c>
      <c r="AR458" s="1136" t="str">
        <f>IF(TRIM($B458)="","",IF(IFERROR(INDEX(Lists!$AQ$2:$AQ$11,MATCH(ROW(),Lists!$AN$2:$AN$11,0)),"")&lt;&gt;"",IFERROR(INDEX(Lists!$AQ$2:$AQ$11,MATCH(ROW(),Lists!$AN$2:$AN$11,0)),""),IF(ISNUMBER(SEARCH("head of ",$C458)),"Head of Technology",IF(ISNUMBER(SEARCH("TDD BP",$C458)),"Business Partner",IF(OR(ISNUMBER(SEARCH("domain architect",$C458)),ISNUMBER(SEARCH("enterprise architect",$C458))),"Domain Architect",IF(ISNUMBER(SEARCH("delivery man",$C458)),"Delivery Manager",IF(OR(ISNUMBER(SEARCH("technology manager",$C458)),ISNUMBER(SEARCH("technology manger",$C458)),ISNUMBER(SEARCH("tech manager",$C458))),"Technology Manager","Squad")))))))</f>
        <v>Squad</v>
      </c>
      <c r="AS458" s="1136" t="str">
        <f>IF(TRIM($B458)="","",IFERROR(INDEX(Lists!$AA:$AA,MATCH($AP458,Lists!$Z:$Z,0)),$AP458))</f>
        <v>NZ Finance</v>
      </c>
      <c r="AT458" s="1136" t="str">
        <f>IF(TRIM($B458)="","",IF(IFERROR(INDEX(Lists!$AP$2:$AP$11,MATCH(ROW(),Lists!$AN$2:$AN$11,0)),"")&lt;&gt;"",IFERROR(INDEX(Lists!$AP$2:$AP$11,MATCH(ROW(),Lists!$AN$2:$AN$11,0)),""),IF(OR(LEFT($AJ458,3)="COE",$AJ458="EGI"),$AP458,IF($AR458&lt;&gt;"Squad",$AR458,$AP458))))</f>
        <v>NZ Finance</v>
      </c>
    </row>
    <row r="459" ht="18" customHeight="1" s="866">
      <c r="A459" s="1155" t="n"/>
      <c r="B459" s="1291" t="inlineStr">
        <is>
          <t>Ring fenced</t>
        </is>
      </c>
      <c r="C459" s="1199" t="inlineStr">
        <is>
          <t>JDE Senior Systems Specialist</t>
        </is>
      </c>
      <c r="D459" s="1158" t="inlineStr">
        <is>
          <t>Lydia Pritchard</t>
        </is>
      </c>
      <c r="E459" s="1199" t="inlineStr">
        <is>
          <t>Lead JDE System Specialist</t>
        </is>
      </c>
      <c r="F459" s="1157" t="inlineStr">
        <is>
          <t>TDD Group Functions</t>
        </is>
      </c>
      <c r="G459" s="1199" t="inlineStr">
        <is>
          <t>P&amp;C, Finance &amp; Legal</t>
        </is>
      </c>
      <c r="H459" s="1158" t="inlineStr">
        <is>
          <t>Tech, Finance Platforms</t>
        </is>
      </c>
      <c r="I459" s="1158" t="inlineStr">
        <is>
          <t>Finance</t>
        </is>
      </c>
      <c r="J459" s="1158" t="inlineStr">
        <is>
          <t>NZ Finance</t>
        </is>
      </c>
      <c r="K459" s="1158" t="inlineStr">
        <is>
          <t>NZ Finance</t>
        </is>
      </c>
      <c r="L459" s="1158" t="n"/>
      <c r="M459" s="1183" t="inlineStr">
        <is>
          <t>NZ</t>
        </is>
      </c>
      <c r="N459" s="1160" t="inlineStr">
        <is>
          <t>CIC</t>
        </is>
      </c>
      <c r="O459" s="1160" t="n">
        <v>1</v>
      </c>
      <c r="P459" s="1160" t="n"/>
      <c r="Q459" s="1160" t="inlineStr">
        <is>
          <t>v</t>
        </is>
      </c>
      <c r="R459" s="1172" t="n"/>
      <c r="S459" s="1162" t="n"/>
      <c r="T459" s="1162" t="n">
        <v>160000</v>
      </c>
      <c r="U459" s="1174" t="n">
        <v>147200</v>
      </c>
      <c r="V459" s="1165" t="n">
        <v>0.15</v>
      </c>
      <c r="W459" s="1162" t="n"/>
      <c r="X459" s="1166" t="n">
        <v>0.05</v>
      </c>
      <c r="Y459" s="1907" t="n">
        <v>2910</v>
      </c>
      <c r="Z459" s="1166" t="n">
        <v>0.03</v>
      </c>
      <c r="AA459" s="1168">
        <f>IF(TRIM($B459)="","",IF(N($AU459)&gt;0,$AU459,IF(N($S459)&gt;0,$S459*Lists!$AG$15*(1+N($Z459)),N($U459)*(1+N($V459)+N($W459)+N($X459)+N($Z459))+N($Y459))))</f>
        <v>183966</v>
      </c>
      <c r="AB459" s="1238" t="n"/>
      <c r="AC459" s="1238" t="n"/>
      <c r="AD459" s="1238" t="n"/>
      <c r="AE459" s="1238" t="n"/>
      <c r="AF459" s="1238" t="n"/>
      <c r="AG459" s="1238" t="n"/>
      <c r="AH459" s="1238" t="n"/>
      <c r="AJ459" s="865" t="str">
        <f>IF(TRIM($B459)="","",IF(IFERROR(INDEX(Lists!$AO$2:$AO$11,MATCH(ROW(),Lists!$AN$2:$AN$11,0)),"")&lt;&gt;"",IFERROR(INDEX(Lists!$AO$2:$AO$11,MATCH(ROW(),Lists!$AN$2:$AN$11,0)),""),IFERROR(INDEX(Lists!$U:$U,MATCH(TRIM($I459),Lists!$T:$T,0)),TRIM($I459))))</f>
        <v>Finance</v>
      </c>
      <c r="AK459" s="865" t="str">
        <f>IF(ISNUMBER(SEARCH("vacant",$B459)),"Vacant","Filled")</f>
        <v>Filled</v>
      </c>
      <c r="AL459" s="865" t="str">
        <f>IF($M459="NZ","NZ","AU")</f>
        <v>NZ</v>
      </c>
      <c r="AM459" s="865">
        <f>COUNTIF($AJ$2:$AJ459,$AJ459)</f>
        <v>8</v>
      </c>
      <c r="AN459" s="865" t="str">
        <f>$AJ459&amp;"|"&amp;$AM459</f>
        <v>Finance|8</v>
      </c>
      <c r="AP459" s="865" t="str">
        <f>IF(TRIM($B459)="","",IF($AQ459=1,"Leadership",IFERROR(INDEX(Lists!$X:$X,MATCH(TRIM($K459),Lists!$W:$W,0)),IF(OR(TRIM($K459)="",LOWER(TRIM($K459))="na"),IF(TRIM($G459)="","Unassigned",TRIM($G459)),TRIM($K459)))))</f>
        <v>NZ Finance</v>
      </c>
      <c r="AQ459" s="865" t="b">
        <f>IF(TRIM($B459)="","",--OR(TRIM($K459)="Leadership",TRIM($J459)="Leadership"))</f>
        <v>0</v>
      </c>
      <c r="AR459" s="1136" t="str">
        <f>IF(TRIM($B459)="","",IF(IFERROR(INDEX(Lists!$AQ$2:$AQ$11,MATCH(ROW(),Lists!$AN$2:$AN$11,0)),"")&lt;&gt;"",IFERROR(INDEX(Lists!$AQ$2:$AQ$11,MATCH(ROW(),Lists!$AN$2:$AN$11,0)),""),IF(ISNUMBER(SEARCH("head of ",$C459)),"Head of Technology",IF(ISNUMBER(SEARCH("TDD BP",$C459)),"Business Partner",IF(OR(ISNUMBER(SEARCH("domain architect",$C459)),ISNUMBER(SEARCH("enterprise architect",$C459))),"Domain Architect",IF(ISNUMBER(SEARCH("delivery man",$C459)),"Delivery Manager",IF(OR(ISNUMBER(SEARCH("technology manager",$C459)),ISNUMBER(SEARCH("technology manger",$C459)),ISNUMBER(SEARCH("tech manager",$C459))),"Technology Manager","Squad")))))))</f>
        <v>Squad</v>
      </c>
      <c r="AS459" s="1136" t="str">
        <f>IF(TRIM($B459)="","",IFERROR(INDEX(Lists!$AA:$AA,MATCH($AP459,Lists!$Z:$Z,0)),$AP459))</f>
        <v>NZ Finance</v>
      </c>
      <c r="AT459" s="1136" t="str">
        <f>IF(TRIM($B459)="","",IF(IFERROR(INDEX(Lists!$AP$2:$AP$11,MATCH(ROW(),Lists!$AN$2:$AN$11,0)),"")&lt;&gt;"",IFERROR(INDEX(Lists!$AP$2:$AP$11,MATCH(ROW(),Lists!$AN$2:$AN$11,0)),""),IF(OR(LEFT($AJ459,3)="COE",$AJ459="EGI"),$AP459,IF($AR459&lt;&gt;"Squad",$AR459,$AP459))))</f>
        <v>NZ Finance</v>
      </c>
    </row>
    <row r="460" ht="18" customHeight="1" s="866">
      <c r="A460" s="1155" t="n">
        <v>83003</v>
      </c>
      <c r="B460" s="1156" t="inlineStr">
        <is>
          <t>Grace Hadiwijaya</t>
        </is>
      </c>
      <c r="C460" s="1156" t="inlineStr">
        <is>
          <t>Lead P&amp;C Platforms</t>
        </is>
      </c>
      <c r="D460" s="1158" t="inlineStr">
        <is>
          <t>Vacant</t>
        </is>
      </c>
      <c r="E460" s="1156" t="inlineStr">
        <is>
          <t>Technology Manager P&amp;C Platforms</t>
        </is>
      </c>
      <c r="F460" s="1157" t="inlineStr">
        <is>
          <t>TDD Group Functions</t>
        </is>
      </c>
      <c r="G460" s="1199" t="inlineStr">
        <is>
          <t>P&amp;C, Finance &amp; Legal</t>
        </is>
      </c>
      <c r="H460" s="1158" t="inlineStr">
        <is>
          <t>Tech, P&amp;C Platforms</t>
        </is>
      </c>
      <c r="I460" s="1158" t="inlineStr">
        <is>
          <t>P&amp;C</t>
        </is>
      </c>
      <c r="J460" s="1158" t="inlineStr">
        <is>
          <t>P&amp;C</t>
        </is>
      </c>
      <c r="K460" s="1158" t="inlineStr">
        <is>
          <t>P&amp;C</t>
        </is>
      </c>
      <c r="L460" s="1158" t="n"/>
      <c r="M460" s="1183" t="inlineStr">
        <is>
          <t>Australia</t>
        </is>
      </c>
      <c r="N460" s="1162" t="inlineStr">
        <is>
          <t>CIC</t>
        </is>
      </c>
      <c r="O460" s="1162" t="n">
        <v>1</v>
      </c>
      <c r="P460" s="1162" t="n"/>
      <c r="Q460" s="1162" t="inlineStr">
        <is>
          <t>Permanent - Full Time</t>
        </is>
      </c>
      <c r="R460" s="1162" t="n"/>
      <c r="S460" s="1162" t="n"/>
      <c r="T460" s="1162" t="n">
        <v>178250</v>
      </c>
      <c r="U460" s="1174" t="n">
        <v>178250</v>
      </c>
      <c r="V460" s="1166" t="n">
        <v>0.12</v>
      </c>
      <c r="W460" s="1170" t="n">
        <v>0.055</v>
      </c>
      <c r="X460" s="1170" t="n">
        <v>0.12</v>
      </c>
      <c r="Y460" s="1171" t="n"/>
      <c r="Z460" s="1170" t="n">
        <v>0.04</v>
      </c>
      <c r="AA460" s="1168">
        <f>IF(TRIM($B460)="","",IF(N($AU460)&gt;0,$AU460,IF(N($S460)&gt;0,$S460*Lists!$AG$15*(1+N($Z460)),N($U460)*(1+N($V460)+N($W460)+N($X460)+N($Z460))+N($Y460))))</f>
        <v>237963.75</v>
      </c>
      <c r="AB460" s="1238" t="n"/>
      <c r="AC460" s="1238" t="n"/>
      <c r="AD460" s="1238" t="n"/>
      <c r="AE460" s="1238" t="n"/>
      <c r="AF460" s="1238" t="n"/>
      <c r="AG460" s="1238" t="n"/>
      <c r="AH460" s="1238" t="n"/>
      <c r="AJ460" s="865" t="str">
        <f>IF(TRIM($B460)="","",IF(IFERROR(INDEX(Lists!$AO$2:$AO$11,MATCH(ROW(),Lists!$AN$2:$AN$11,0)),"")&lt;&gt;"",IFERROR(INDEX(Lists!$AO$2:$AO$11,MATCH(ROW(),Lists!$AN$2:$AN$11,0)),""),IFERROR(INDEX(Lists!$U:$U,MATCH(TRIM($I460),Lists!$T:$T,0)),TRIM($I460))))</f>
        <v>P&amp;C</v>
      </c>
      <c r="AK460" s="865" t="str">
        <f>IF(ISNUMBER(SEARCH("vacant",$B460)),"Vacant","Filled")</f>
        <v>Filled</v>
      </c>
      <c r="AL460" s="865" t="str">
        <f>IF($M460="NZ","NZ","AU")</f>
        <v>AU</v>
      </c>
      <c r="AM460" s="865">
        <f>COUNTIF($AJ$2:$AJ460,$AJ460)</f>
        <v>2</v>
      </c>
      <c r="AN460" s="865" t="str">
        <f>$AJ460&amp;"|"&amp;$AM460</f>
        <v>P&amp;C|2</v>
      </c>
      <c r="AP460" s="865" t="str">
        <f>IF(TRIM($B460)="","",IF($AQ460=1,"Leadership",IFERROR(INDEX(Lists!$X:$X,MATCH(TRIM($K460),Lists!$W:$W,0)),IF(OR(TRIM($K460)="",LOWER(TRIM($K460))="na"),IF(TRIM($G460)="","Unassigned",TRIM($G460)),TRIM($K460)))))</f>
        <v>P&amp;C</v>
      </c>
      <c r="AQ460" s="865" t="b">
        <f>IF(TRIM($B460)="","",--OR(TRIM($K460)="Leadership",TRIM($J460)="Leadership"))</f>
        <v>0</v>
      </c>
      <c r="AR460" s="1136" t="str">
        <f>IF(TRIM($B460)="","",IF(IFERROR(INDEX(Lists!$AQ$2:$AQ$11,MATCH(ROW(),Lists!$AN$2:$AN$11,0)),"")&lt;&gt;"",IFERROR(INDEX(Lists!$AQ$2:$AQ$11,MATCH(ROW(),Lists!$AN$2:$AN$11,0)),""),IF(ISNUMBER(SEARCH("head of ",$C460)),"Head of Technology",IF(ISNUMBER(SEARCH("TDD BP",$C460)),"Business Partner",IF(OR(ISNUMBER(SEARCH("domain architect",$C460)),ISNUMBER(SEARCH("enterprise architect",$C460))),"Domain Architect",IF(ISNUMBER(SEARCH("delivery man",$C460)),"Delivery Manager",IF(OR(ISNUMBER(SEARCH("technology manager",$C460)),ISNUMBER(SEARCH("technology manger",$C460)),ISNUMBER(SEARCH("tech manager",$C460))),"Technology Manager","Squad")))))))</f>
        <v>Squad</v>
      </c>
      <c r="AS460" s="1136" t="str">
        <f>IF(TRIM($B460)="","",IFERROR(INDEX(Lists!$AA:$AA,MATCH($AP460,Lists!$Z:$Z,0)),$AP460))</f>
        <v>P&amp;C</v>
      </c>
      <c r="AT460" s="1136" t="str">
        <f>IF(TRIM($B460)="","",IF(IFERROR(INDEX(Lists!$AP$2:$AP$11,MATCH(ROW(),Lists!$AN$2:$AN$11,0)),"")&lt;&gt;"",IFERROR(INDEX(Lists!$AP$2:$AP$11,MATCH(ROW(),Lists!$AN$2:$AN$11,0)),""),IF(OR(LEFT($AJ460,3)="COE",$AJ460="EGI"),$AP460,IF($AR460&lt;&gt;"Squad",$AR460,$AP460))))</f>
        <v>P&amp;C</v>
      </c>
    </row>
    <row r="461" ht="18" customHeight="1" s="866">
      <c r="A461" s="1155" t="n">
        <v>108123</v>
      </c>
      <c r="B461" s="1156" t="inlineStr">
        <is>
          <t>Maadhu Suresh</t>
        </is>
      </c>
      <c r="C461" s="1156" t="inlineStr">
        <is>
          <t>Solution Architect</t>
        </is>
      </c>
      <c r="D461" s="1158" t="inlineStr">
        <is>
          <t>Vacant</t>
        </is>
      </c>
      <c r="E461" s="1156" t="inlineStr">
        <is>
          <t>Technology Manager P&amp;C Platforms</t>
        </is>
      </c>
      <c r="F461" s="1157" t="inlineStr">
        <is>
          <t>TDD Group Functions</t>
        </is>
      </c>
      <c r="G461" s="1199" t="inlineStr">
        <is>
          <t>P&amp;C, Finance &amp; Legal</t>
        </is>
      </c>
      <c r="H461" s="1158" t="inlineStr">
        <is>
          <t>Tech, P&amp;C Platforms</t>
        </is>
      </c>
      <c r="I461" s="1158" t="inlineStr">
        <is>
          <t>P&amp;C</t>
        </is>
      </c>
      <c r="J461" s="1158" t="inlineStr">
        <is>
          <t>P&amp;C</t>
        </is>
      </c>
      <c r="K461" s="1158" t="inlineStr">
        <is>
          <t>P&amp;C</t>
        </is>
      </c>
      <c r="L461" s="1158" t="n"/>
      <c r="M461" s="1183" t="inlineStr">
        <is>
          <t>Australia</t>
        </is>
      </c>
      <c r="N461" s="1160" t="inlineStr">
        <is>
          <t>CIC</t>
        </is>
      </c>
      <c r="O461" s="1160" t="n">
        <v>1</v>
      </c>
      <c r="P461" s="1160" t="n"/>
      <c r="Q461" s="1160" t="inlineStr">
        <is>
          <t>Permanent - Full Time</t>
        </is>
      </c>
      <c r="R461" s="1162" t="n"/>
      <c r="S461" s="1162" t="n"/>
      <c r="T461" s="1162" t="n">
        <v>204000</v>
      </c>
      <c r="U461" s="1174" t="n">
        <v>204000</v>
      </c>
      <c r="V461" s="1166" t="n">
        <v>0.12</v>
      </c>
      <c r="W461" s="1170" t="n">
        <v>0.055</v>
      </c>
      <c r="X461" s="1170" t="n">
        <v>0.12</v>
      </c>
      <c r="Y461" s="1171" t="n"/>
      <c r="Z461" s="1170" t="n">
        <v>0.04</v>
      </c>
      <c r="AA461" s="1168">
        <f>IF(TRIM($B461)="","",IF(N($AU461)&gt;0,$AU461,IF(N($S461)&gt;0,$S461*Lists!$AG$15*(1+N($Z461)),N($U461)*(1+N($V461)+N($W461)+N($X461)+N($Z461))+N($Y461))))</f>
        <v>272340</v>
      </c>
      <c r="AB461" s="1238" t="n"/>
      <c r="AC461" s="1238" t="n"/>
      <c r="AD461" s="1238" t="n"/>
      <c r="AE461" s="1238" t="n"/>
      <c r="AF461" s="1238" t="n"/>
      <c r="AG461" s="1238" t="n"/>
      <c r="AH461" s="1238" t="n"/>
      <c r="AJ461" s="865" t="str">
        <f>IF(TRIM($B461)="","",IF(IFERROR(INDEX(Lists!$AO$2:$AO$11,MATCH(ROW(),Lists!$AN$2:$AN$11,0)),"")&lt;&gt;"",IFERROR(INDEX(Lists!$AO$2:$AO$11,MATCH(ROW(),Lists!$AN$2:$AN$11,0)),""),IFERROR(INDEX(Lists!$U:$U,MATCH(TRIM($I461),Lists!$T:$T,0)),TRIM($I461))))</f>
        <v>P&amp;C</v>
      </c>
      <c r="AK461" s="865" t="str">
        <f>IF(ISNUMBER(SEARCH("vacant",$B461)),"Vacant","Filled")</f>
        <v>Filled</v>
      </c>
      <c r="AL461" s="865" t="str">
        <f>IF($M461="NZ","NZ","AU")</f>
        <v>AU</v>
      </c>
      <c r="AM461" s="865">
        <f>COUNTIF($AJ$2:$AJ461,$AJ461)</f>
        <v>3</v>
      </c>
      <c r="AN461" s="865" t="str">
        <f>$AJ461&amp;"|"&amp;$AM461</f>
        <v>P&amp;C|3</v>
      </c>
      <c r="AP461" s="865" t="str">
        <f>IF(TRIM($B461)="","",IF($AQ461=1,"Leadership",IFERROR(INDEX(Lists!$X:$X,MATCH(TRIM($K461),Lists!$W:$W,0)),IF(OR(TRIM($K461)="",LOWER(TRIM($K461))="na"),IF(TRIM($G461)="","Unassigned",TRIM($G461)),TRIM($K461)))))</f>
        <v>P&amp;C</v>
      </c>
      <c r="AQ461" s="865" t="b">
        <f>IF(TRIM($B461)="","",--OR(TRIM($K461)="Leadership",TRIM($J461)="Leadership"))</f>
        <v>0</v>
      </c>
      <c r="AR461" s="1136" t="str">
        <f>IF(TRIM($B461)="","",IF(IFERROR(INDEX(Lists!$AQ$2:$AQ$11,MATCH(ROW(),Lists!$AN$2:$AN$11,0)),"")&lt;&gt;"",IFERROR(INDEX(Lists!$AQ$2:$AQ$11,MATCH(ROW(),Lists!$AN$2:$AN$11,0)),""),IF(ISNUMBER(SEARCH("head of ",$C461)),"Head of Technology",IF(ISNUMBER(SEARCH("TDD BP",$C461)),"Business Partner",IF(OR(ISNUMBER(SEARCH("domain architect",$C461)),ISNUMBER(SEARCH("enterprise architect",$C461))),"Domain Architect",IF(ISNUMBER(SEARCH("delivery man",$C461)),"Delivery Manager",IF(OR(ISNUMBER(SEARCH("technology manager",$C461)),ISNUMBER(SEARCH("technology manger",$C461)),ISNUMBER(SEARCH("tech manager",$C461))),"Technology Manager","Squad")))))))</f>
        <v>Squad</v>
      </c>
      <c r="AS461" s="1136" t="str">
        <f>IF(TRIM($B461)="","",IFERROR(INDEX(Lists!$AA:$AA,MATCH($AP461,Lists!$Z:$Z,0)),$AP461))</f>
        <v>P&amp;C</v>
      </c>
      <c r="AT461" s="1136" t="str">
        <f>IF(TRIM($B461)="","",IF(IFERROR(INDEX(Lists!$AP$2:$AP$11,MATCH(ROW(),Lists!$AN$2:$AN$11,0)),"")&lt;&gt;"",IFERROR(INDEX(Lists!$AP$2:$AP$11,MATCH(ROW(),Lists!$AN$2:$AN$11,0)),""),IF(OR(LEFT($AJ461,3)="COE",$AJ461="EGI"),$AP461,IF($AR461&lt;&gt;"Squad",$AR461,$AP461))))</f>
        <v>P&amp;C</v>
      </c>
    </row>
    <row r="462" ht="18" customHeight="1" s="866">
      <c r="A462" s="1155" t="n">
        <v>99999101403</v>
      </c>
      <c r="B462" s="1156" t="inlineStr">
        <is>
          <t>Michael Pollock</t>
        </is>
      </c>
      <c r="C462" s="1156" t="inlineStr">
        <is>
          <t>Lead Business Analyst</t>
        </is>
      </c>
      <c r="D462" s="1158" t="inlineStr">
        <is>
          <t>Vacant</t>
        </is>
      </c>
      <c r="E462" s="1199" t="inlineStr">
        <is>
          <t>Delivery Manager, P&amp;C, Finance &amp; Legal</t>
        </is>
      </c>
      <c r="F462" s="1157" t="inlineStr">
        <is>
          <t>TDD Group Functions</t>
        </is>
      </c>
      <c r="G462" s="1199" t="inlineStr">
        <is>
          <t>P&amp;C, Finance &amp; Legal</t>
        </is>
      </c>
      <c r="H462" s="1158" t="inlineStr">
        <is>
          <t>Delivery, P&amp;C, Finance &amp; Legal</t>
        </is>
      </c>
      <c r="I462" s="1158" t="inlineStr">
        <is>
          <t>P&amp;C</t>
        </is>
      </c>
      <c r="J462" s="1158" t="inlineStr">
        <is>
          <t>P&amp;C</t>
        </is>
      </c>
      <c r="K462" s="1158" t="inlineStr">
        <is>
          <t>P&amp;C</t>
        </is>
      </c>
      <c r="L462" s="1158" t="n"/>
      <c r="M462" s="1183" t="inlineStr">
        <is>
          <t>NZ</t>
        </is>
      </c>
      <c r="N462" s="1160" t="inlineStr">
        <is>
          <t>CIC</t>
        </is>
      </c>
      <c r="O462" s="1161" t="n">
        <v>1</v>
      </c>
      <c r="P462" s="1160" t="n"/>
      <c r="Q462" s="1161" t="inlineStr">
        <is>
          <t>Permanent - Full Time</t>
        </is>
      </c>
      <c r="R462" s="1162" t="n"/>
      <c r="S462" s="1162" t="n"/>
      <c r="T462" s="1162" t="n">
        <v>168300</v>
      </c>
      <c r="U462" s="1174" t="n">
        <v>154836</v>
      </c>
      <c r="V462" s="1165" t="n">
        <v>0.15</v>
      </c>
      <c r="W462" s="1162" t="n"/>
      <c r="X462" s="1166" t="n">
        <v>0.05</v>
      </c>
      <c r="Y462" s="1907" t="n">
        <v>2910</v>
      </c>
      <c r="Z462" s="1166" t="n">
        <v>0.03</v>
      </c>
      <c r="AA462" s="1168">
        <f>IF(TRIM($B462)="","",IF(N($AU462)&gt;0,$AU462,IF(N($S462)&gt;0,$S462*Lists!$AG$15*(1+N($Z462)),N($U462)*(1+N($V462)+N($W462)+N($X462)+N($Z462))+N($Y462))))</f>
        <v>193358.28</v>
      </c>
      <c r="AB462" s="1238" t="n"/>
      <c r="AC462" s="1238" t="n"/>
      <c r="AD462" s="1238" t="n"/>
      <c r="AE462" s="1238" t="n"/>
      <c r="AF462" s="1238" t="n"/>
      <c r="AG462" s="1238" t="n"/>
      <c r="AH462" s="1238" t="n"/>
      <c r="AJ462" s="865" t="str">
        <f>IF(TRIM($B462)="","",IF(IFERROR(INDEX(Lists!$AO$2:$AO$11,MATCH(ROW(),Lists!$AN$2:$AN$11,0)),"")&lt;&gt;"",IFERROR(INDEX(Lists!$AO$2:$AO$11,MATCH(ROW(),Lists!$AN$2:$AN$11,0)),""),IFERROR(INDEX(Lists!$U:$U,MATCH(TRIM($I462),Lists!$T:$T,0)),TRIM($I462))))</f>
        <v>P&amp;C</v>
      </c>
      <c r="AK462" s="865" t="str">
        <f>IF(ISNUMBER(SEARCH("vacant",$B462)),"Vacant","Filled")</f>
        <v>Filled</v>
      </c>
      <c r="AL462" s="865" t="str">
        <f>IF($M462="NZ","NZ","AU")</f>
        <v>NZ</v>
      </c>
      <c r="AM462" s="865">
        <f>COUNTIF($AJ$2:$AJ462,$AJ462)</f>
        <v>4</v>
      </c>
      <c r="AN462" s="865" t="str">
        <f>$AJ462&amp;"|"&amp;$AM462</f>
        <v>P&amp;C|4</v>
      </c>
      <c r="AP462" s="865" t="str">
        <f>IF(TRIM($B462)="","",IF($AQ462=1,"Leadership",IFERROR(INDEX(Lists!$X:$X,MATCH(TRIM($K462),Lists!$W:$W,0)),IF(OR(TRIM($K462)="",LOWER(TRIM($K462))="na"),IF(TRIM($G462)="","Unassigned",TRIM($G462)),TRIM($K462)))))</f>
        <v>P&amp;C</v>
      </c>
      <c r="AQ462" s="865" t="b">
        <f>IF(TRIM($B462)="","",--OR(TRIM($K462)="Leadership",TRIM($J462)="Leadership"))</f>
        <v>0</v>
      </c>
      <c r="AR462" s="1136" t="str">
        <f>IF(TRIM($B462)="","",IF(IFERROR(INDEX(Lists!$AQ$2:$AQ$11,MATCH(ROW(),Lists!$AN$2:$AN$11,0)),"")&lt;&gt;"",IFERROR(INDEX(Lists!$AQ$2:$AQ$11,MATCH(ROW(),Lists!$AN$2:$AN$11,0)),""),IF(ISNUMBER(SEARCH("head of ",$C462)),"Head of Technology",IF(ISNUMBER(SEARCH("TDD BP",$C462)),"Business Partner",IF(OR(ISNUMBER(SEARCH("domain architect",$C462)),ISNUMBER(SEARCH("enterprise architect",$C462))),"Domain Architect",IF(ISNUMBER(SEARCH("delivery man",$C462)),"Delivery Manager",IF(OR(ISNUMBER(SEARCH("technology manager",$C462)),ISNUMBER(SEARCH("technology manger",$C462)),ISNUMBER(SEARCH("tech manager",$C462))),"Technology Manager","Squad")))))))</f>
        <v>Squad</v>
      </c>
      <c r="AS462" s="1136" t="str">
        <f>IF(TRIM($B462)="","",IFERROR(INDEX(Lists!$AA:$AA,MATCH($AP462,Lists!$Z:$Z,0)),$AP462))</f>
        <v>P&amp;C</v>
      </c>
      <c r="AT462" s="1136" t="str">
        <f>IF(TRIM($B462)="","",IF(IFERROR(INDEX(Lists!$AP$2:$AP$11,MATCH(ROW(),Lists!$AN$2:$AN$11,0)),"")&lt;&gt;"",IFERROR(INDEX(Lists!$AP$2:$AP$11,MATCH(ROW(),Lists!$AN$2:$AN$11,0)),""),IF(OR(LEFT($AJ462,3)="COE",$AJ462="EGI"),$AP462,IF($AR462&lt;&gt;"Squad",$AR462,$AP462))))</f>
        <v>P&amp;C</v>
      </c>
    </row>
    <row r="463" ht="18" customHeight="1" s="866">
      <c r="A463" s="1155" t="n">
        <v>93476</v>
      </c>
      <c r="B463" s="1156" t="inlineStr">
        <is>
          <t>Prerna Sharma</t>
        </is>
      </c>
      <c r="C463" s="1156" t="inlineStr">
        <is>
          <t>SAP HR Specialist</t>
        </is>
      </c>
      <c r="D463" s="1158" t="inlineStr">
        <is>
          <t>Vacant</t>
        </is>
      </c>
      <c r="E463" s="1156" t="inlineStr">
        <is>
          <t>Technology Manager P&amp;C Platforms</t>
        </is>
      </c>
      <c r="F463" s="1157" t="inlineStr">
        <is>
          <t>TDD Group Functions</t>
        </is>
      </c>
      <c r="G463" s="1199" t="inlineStr">
        <is>
          <t>P&amp;C, Finance &amp; Legal</t>
        </is>
      </c>
      <c r="H463" s="1158" t="inlineStr">
        <is>
          <t>Tech, P&amp;C Platforms</t>
        </is>
      </c>
      <c r="I463" s="1158" t="inlineStr">
        <is>
          <t>P&amp;C</t>
        </is>
      </c>
      <c r="J463" s="1158" t="inlineStr">
        <is>
          <t>P&amp;C</t>
        </is>
      </c>
      <c r="K463" s="1158" t="inlineStr">
        <is>
          <t>P&amp;C</t>
        </is>
      </c>
      <c r="L463" s="1158" t="n"/>
      <c r="M463" s="1183" t="inlineStr">
        <is>
          <t>Australia</t>
        </is>
      </c>
      <c r="N463" s="1160" t="inlineStr">
        <is>
          <t>CIC</t>
        </is>
      </c>
      <c r="O463" s="1160" t="n">
        <v>1</v>
      </c>
      <c r="P463" s="1160" t="n"/>
      <c r="Q463" s="1160" t="inlineStr">
        <is>
          <t>Permanent - Full Time</t>
        </is>
      </c>
      <c r="R463" s="1162" t="n"/>
      <c r="S463" s="1162" t="n"/>
      <c r="T463" s="1162" t="n">
        <v>175410</v>
      </c>
      <c r="U463" s="1174" t="n">
        <v>175410</v>
      </c>
      <c r="V463" s="1166" t="n">
        <v>0.12</v>
      </c>
      <c r="W463" s="1170" t="n">
        <v>0.055</v>
      </c>
      <c r="X463" s="1170" t="n">
        <v>0.12</v>
      </c>
      <c r="Y463" s="1171" t="n"/>
      <c r="Z463" s="1170" t="n">
        <v>0.04</v>
      </c>
      <c r="AA463" s="1168">
        <f>IF(TRIM($B463)="","",IF(N($AU463)&gt;0,$AU463,IF(N($S463)&gt;0,$S463*Lists!$AG$15*(1+N($Z463)),N($U463)*(1+N($V463)+N($W463)+N($X463)+N($Z463))+N($Y463))))</f>
        <v>234172.35</v>
      </c>
      <c r="AB463" s="1238" t="n"/>
      <c r="AC463" s="1238" t="n"/>
      <c r="AD463" s="1238" t="n"/>
      <c r="AE463" s="1238" t="n"/>
      <c r="AF463" s="1238" t="n"/>
      <c r="AG463" s="1238" t="n"/>
      <c r="AH463" s="1238" t="n"/>
      <c r="AJ463" s="865" t="str">
        <f>IF(TRIM($B463)="","",IF(IFERROR(INDEX(Lists!$AO$2:$AO$11,MATCH(ROW(),Lists!$AN$2:$AN$11,0)),"")&lt;&gt;"",IFERROR(INDEX(Lists!$AO$2:$AO$11,MATCH(ROW(),Lists!$AN$2:$AN$11,0)),""),IFERROR(INDEX(Lists!$U:$U,MATCH(TRIM($I463),Lists!$T:$T,0)),TRIM($I463))))</f>
        <v>P&amp;C</v>
      </c>
      <c r="AK463" s="865" t="str">
        <f>IF(ISNUMBER(SEARCH("vacant",$B463)),"Vacant","Filled")</f>
        <v>Filled</v>
      </c>
      <c r="AL463" s="865" t="str">
        <f>IF($M463="NZ","NZ","AU")</f>
        <v>AU</v>
      </c>
      <c r="AM463" s="865">
        <f>COUNTIF($AJ$2:$AJ463,$AJ463)</f>
        <v>5</v>
      </c>
      <c r="AN463" s="865" t="str">
        <f>$AJ463&amp;"|"&amp;$AM463</f>
        <v>P&amp;C|5</v>
      </c>
      <c r="AP463" s="865" t="str">
        <f>IF(TRIM($B463)="","",IF($AQ463=1,"Leadership",IFERROR(INDEX(Lists!$X:$X,MATCH(TRIM($K463),Lists!$W:$W,0)),IF(OR(TRIM($K463)="",LOWER(TRIM($K463))="na"),IF(TRIM($G463)="","Unassigned",TRIM($G463)),TRIM($K463)))))</f>
        <v>P&amp;C</v>
      </c>
      <c r="AQ463" s="865" t="b">
        <f>IF(TRIM($B463)="","",--OR(TRIM($K463)="Leadership",TRIM($J463)="Leadership"))</f>
        <v>0</v>
      </c>
      <c r="AR463" s="1136" t="str">
        <f>IF(TRIM($B463)="","",IF(IFERROR(INDEX(Lists!$AQ$2:$AQ$11,MATCH(ROW(),Lists!$AN$2:$AN$11,0)),"")&lt;&gt;"",IFERROR(INDEX(Lists!$AQ$2:$AQ$11,MATCH(ROW(),Lists!$AN$2:$AN$11,0)),""),IF(ISNUMBER(SEARCH("head of ",$C463)),"Head of Technology",IF(ISNUMBER(SEARCH("TDD BP",$C463)),"Business Partner",IF(OR(ISNUMBER(SEARCH("domain architect",$C463)),ISNUMBER(SEARCH("enterprise architect",$C463))),"Domain Architect",IF(ISNUMBER(SEARCH("delivery man",$C463)),"Delivery Manager",IF(OR(ISNUMBER(SEARCH("technology manager",$C463)),ISNUMBER(SEARCH("technology manger",$C463)),ISNUMBER(SEARCH("tech manager",$C463))),"Technology Manager","Squad")))))))</f>
        <v>Squad</v>
      </c>
      <c r="AS463" s="1136" t="str">
        <f>IF(TRIM($B463)="","",IFERROR(INDEX(Lists!$AA:$AA,MATCH($AP463,Lists!$Z:$Z,0)),$AP463))</f>
        <v>P&amp;C</v>
      </c>
      <c r="AT463" s="1136" t="str">
        <f>IF(TRIM($B463)="","",IF(IFERROR(INDEX(Lists!$AP$2:$AP$11,MATCH(ROW(),Lists!$AN$2:$AN$11,0)),"")&lt;&gt;"",IFERROR(INDEX(Lists!$AP$2:$AP$11,MATCH(ROW(),Lists!$AN$2:$AN$11,0)),""),IF(OR(LEFT($AJ463,3)="COE",$AJ463="EGI"),$AP463,IF($AR463&lt;&gt;"Squad",$AR463,$AP463))))</f>
        <v>P&amp;C</v>
      </c>
    </row>
    <row r="464" ht="18" customHeight="1" s="866">
      <c r="A464" s="1155" t="n">
        <v>99876</v>
      </c>
      <c r="B464" s="1199" t="inlineStr">
        <is>
          <t>Thai Pung</t>
        </is>
      </c>
      <c r="C464" s="1199" t="inlineStr">
        <is>
          <t>Delivery Lead - (P&amp;C)</t>
        </is>
      </c>
      <c r="D464" s="1199" t="inlineStr">
        <is>
          <t>Vacant</t>
        </is>
      </c>
      <c r="E464" s="1199" t="inlineStr">
        <is>
          <t>Delivery Manager, P&amp;C, Finance &amp; Legal</t>
        </is>
      </c>
      <c r="F464" s="1157" t="inlineStr">
        <is>
          <t>TDD Group Functions</t>
        </is>
      </c>
      <c r="G464" s="1199" t="inlineStr">
        <is>
          <t>P&amp;C, Finance &amp; Legal</t>
        </is>
      </c>
      <c r="H464" s="1158" t="inlineStr">
        <is>
          <t>Delivery, P&amp;C, Finance &amp; Legal</t>
        </is>
      </c>
      <c r="I464" s="1158" t="inlineStr">
        <is>
          <t>P&amp;C</t>
        </is>
      </c>
      <c r="J464" s="1158" t="inlineStr">
        <is>
          <t>P&amp;C</t>
        </is>
      </c>
      <c r="K464" s="1158" t="inlineStr">
        <is>
          <t>P&amp;C</t>
        </is>
      </c>
      <c r="L464" s="1158" t="n"/>
      <c r="M464" s="1183" t="inlineStr">
        <is>
          <t>Australia</t>
        </is>
      </c>
      <c r="N464" s="1160" t="inlineStr">
        <is>
          <t>CIC</t>
        </is>
      </c>
      <c r="O464" s="1160" t="n">
        <v>1</v>
      </c>
      <c r="P464" s="1160" t="n"/>
      <c r="Q464" s="1160" t="inlineStr">
        <is>
          <t>Permanent - Full Time</t>
        </is>
      </c>
      <c r="R464" s="1162" t="n"/>
      <c r="S464" s="1162" t="n"/>
      <c r="T464" s="1162" t="n">
        <v>188380</v>
      </c>
      <c r="U464" s="1174" t="n">
        <v>188380</v>
      </c>
      <c r="V464" s="1166" t="n">
        <v>0.12</v>
      </c>
      <c r="W464" s="1170" t="n">
        <v>0.055</v>
      </c>
      <c r="X464" s="1170" t="n">
        <v>0.12</v>
      </c>
      <c r="Y464" s="1171" t="n"/>
      <c r="Z464" s="1170" t="n">
        <v>0.04</v>
      </c>
      <c r="AA464" s="1168">
        <f>IF(TRIM($B464)="","",IF(N($AU464)&gt;0,$AU464,IF(N($S464)&gt;0,$S464*Lists!$AG$15*(1+N($Z464)),N($U464)*(1+N($V464)+N($W464)+N($X464)+N($Z464))+N($Y464))))</f>
        <v>251487.3</v>
      </c>
      <c r="AB464" s="1238" t="n"/>
      <c r="AC464" s="1238" t="n"/>
      <c r="AD464" s="1238" t="n"/>
      <c r="AE464" s="1238" t="n"/>
      <c r="AF464" s="1238" t="n"/>
      <c r="AG464" s="1238" t="n"/>
      <c r="AH464" s="1238" t="n"/>
      <c r="AJ464" s="865" t="str">
        <f>IF(TRIM($B464)="","",IF(IFERROR(INDEX(Lists!$AO$2:$AO$11,MATCH(ROW(),Lists!$AN$2:$AN$11,0)),"")&lt;&gt;"",IFERROR(INDEX(Lists!$AO$2:$AO$11,MATCH(ROW(),Lists!$AN$2:$AN$11,0)),""),IFERROR(INDEX(Lists!$U:$U,MATCH(TRIM($I464),Lists!$T:$T,0)),TRIM($I464))))</f>
        <v>P&amp;C</v>
      </c>
      <c r="AK464" s="865" t="str">
        <f>IF(ISNUMBER(SEARCH("vacant",$B464)),"Vacant","Filled")</f>
        <v>Filled</v>
      </c>
      <c r="AL464" s="865" t="str">
        <f>IF($M464="NZ","NZ","AU")</f>
        <v>AU</v>
      </c>
      <c r="AM464" s="865">
        <f>COUNTIF($AJ$2:$AJ464,$AJ464)</f>
        <v>6</v>
      </c>
      <c r="AN464" s="865" t="str">
        <f>$AJ464&amp;"|"&amp;$AM464</f>
        <v>P&amp;C|6</v>
      </c>
      <c r="AP464" s="865" t="str">
        <f>IF(TRIM($B464)="","",IF($AQ464=1,"Leadership",IFERROR(INDEX(Lists!$X:$X,MATCH(TRIM($K464),Lists!$W:$W,0)),IF(OR(TRIM($K464)="",LOWER(TRIM($K464))="na"),IF(TRIM($G464)="","Unassigned",TRIM($G464)),TRIM($K464)))))</f>
        <v>P&amp;C</v>
      </c>
      <c r="AQ464" s="865" t="b">
        <f>IF(TRIM($B464)="","",--OR(TRIM($K464)="Leadership",TRIM($J464)="Leadership"))</f>
        <v>0</v>
      </c>
      <c r="AR464" s="1136" t="str">
        <f>IF(TRIM($B464)="","",IF(IFERROR(INDEX(Lists!$AQ$2:$AQ$11,MATCH(ROW(),Lists!$AN$2:$AN$11,0)),"")&lt;&gt;"",IFERROR(INDEX(Lists!$AQ$2:$AQ$11,MATCH(ROW(),Lists!$AN$2:$AN$11,0)),""),IF(ISNUMBER(SEARCH("head of ",$C464)),"Head of Technology",IF(ISNUMBER(SEARCH("TDD BP",$C464)),"Business Partner",IF(OR(ISNUMBER(SEARCH("domain architect",$C464)),ISNUMBER(SEARCH("enterprise architect",$C464))),"Domain Architect",IF(ISNUMBER(SEARCH("delivery man",$C464)),"Delivery Manager",IF(OR(ISNUMBER(SEARCH("technology manager",$C464)),ISNUMBER(SEARCH("technology manger",$C464)),ISNUMBER(SEARCH("tech manager",$C464))),"Technology Manager","Squad")))))))</f>
        <v>Squad</v>
      </c>
      <c r="AS464" s="1136" t="str">
        <f>IF(TRIM($B464)="","",IFERROR(INDEX(Lists!$AA:$AA,MATCH($AP464,Lists!$Z:$Z,0)),$AP464))</f>
        <v>P&amp;C</v>
      </c>
      <c r="AT464" s="1136" t="str">
        <f>IF(TRIM($B464)="","",IF(IFERROR(INDEX(Lists!$AP$2:$AP$11,MATCH(ROW(),Lists!$AN$2:$AN$11,0)),"")&lt;&gt;"",IFERROR(INDEX(Lists!$AP$2:$AP$11,MATCH(ROW(),Lists!$AN$2:$AN$11,0)),""),IF(OR(LEFT($AJ464,3)="COE",$AJ464="EGI"),$AP464,IF($AR464&lt;&gt;"Squad",$AR464,$AP464))))</f>
        <v>P&amp;C</v>
      </c>
    </row>
    <row r="465" ht="18" customHeight="1" s="866">
      <c r="A465" s="1155" t="inlineStr">
        <is>
          <t>C</t>
        </is>
      </c>
      <c r="B465" s="1156" t="inlineStr">
        <is>
          <t>Kurniaty Widjaya</t>
        </is>
      </c>
      <c r="C465" s="1156" t="inlineStr">
        <is>
          <t>ERP HR Pay Functional Lead</t>
        </is>
      </c>
      <c r="D465" s="1158" t="inlineStr">
        <is>
          <t>Vacant</t>
        </is>
      </c>
      <c r="E465" s="1156" t="inlineStr">
        <is>
          <t>Technology Manager P&amp;C Platforms</t>
        </is>
      </c>
      <c r="F465" s="1157" t="inlineStr">
        <is>
          <t>TDD Group Functions</t>
        </is>
      </c>
      <c r="G465" s="1199" t="inlineStr">
        <is>
          <t>P&amp;C, Finance &amp; Legal</t>
        </is>
      </c>
      <c r="H465" s="1158" t="inlineStr">
        <is>
          <t>Tech, P&amp;C Platforms</t>
        </is>
      </c>
      <c r="I465" s="1158" t="inlineStr">
        <is>
          <t>P&amp;C</t>
        </is>
      </c>
      <c r="J465" s="1158" t="inlineStr">
        <is>
          <t>P&amp;C</t>
        </is>
      </c>
      <c r="K465" s="1158" t="inlineStr">
        <is>
          <t>P&amp;C RTA</t>
        </is>
      </c>
      <c r="L465" s="1158" t="n"/>
      <c r="M465" s="1183" t="inlineStr">
        <is>
          <t>Australia</t>
        </is>
      </c>
      <c r="N465" s="1162" t="inlineStr">
        <is>
          <t>NA</t>
        </is>
      </c>
      <c r="O465" s="1160" t="n">
        <v>1</v>
      </c>
      <c r="P465" s="1162" t="n"/>
      <c r="Q465" s="1162" t="inlineStr">
        <is>
          <t>cxc</t>
        </is>
      </c>
      <c r="R465" s="1172" t="inlineStr">
        <is>
          <t>Daily</t>
        </is>
      </c>
      <c r="S465" s="1162" t="n">
        <v>1250</v>
      </c>
      <c r="T465" s="1162" t="n">
        <v>0</v>
      </c>
      <c r="U465" s="1162" t="n"/>
      <c r="V465" s="1158" t="n"/>
      <c r="W465" s="1158" t="n"/>
      <c r="X465" s="1158" t="n"/>
      <c r="Y465" s="1158" t="n"/>
      <c r="Z465" s="1158" t="n"/>
      <c r="AA465" s="1173">
        <f>IF(TRIM($B465)="","",IF(N($AU465)&gt;0,$AU465,IF(N($S465)&gt;0,$S465*Lists!$AG$15*(1+N($Z465)),N($U465)*(1+N($V465)+N($W465)+N($X465)+N($Z465))+N($Y465))))</f>
        <v>277500</v>
      </c>
      <c r="AB465" s="1238" t="n"/>
      <c r="AC465" s="1238" t="n"/>
      <c r="AD465" s="1238" t="n"/>
      <c r="AE465" s="1238" t="n"/>
      <c r="AF465" s="1238" t="n"/>
      <c r="AG465" s="1238" t="n"/>
      <c r="AH465" s="1238" t="n"/>
      <c r="AJ465" s="865" t="str">
        <f>IF(TRIM($B465)="","",IF(IFERROR(INDEX(Lists!$AO$2:$AO$11,MATCH(ROW(),Lists!$AN$2:$AN$11,0)),"")&lt;&gt;"",IFERROR(INDEX(Lists!$AO$2:$AO$11,MATCH(ROW(),Lists!$AN$2:$AN$11,0)),""),IFERROR(INDEX(Lists!$U:$U,MATCH(TRIM($I465),Lists!$T:$T,0)),TRIM($I465))))</f>
        <v>P&amp;C</v>
      </c>
      <c r="AK465" s="865" t="str">
        <f>IF(ISNUMBER(SEARCH("vacant",$B465)),"Vacant","Filled")</f>
        <v>Filled</v>
      </c>
      <c r="AL465" s="865" t="str">
        <f>IF($M465="NZ","NZ","AU")</f>
        <v>AU</v>
      </c>
      <c r="AM465" s="865">
        <f>COUNTIF($AJ$2:$AJ465,$AJ465)</f>
        <v>7</v>
      </c>
      <c r="AN465" s="865" t="str">
        <f>$AJ465&amp;"|"&amp;$AM465</f>
        <v>P&amp;C|7</v>
      </c>
      <c r="AP465" s="865" t="str">
        <f>IF(TRIM($B465)="","",IF($AQ465=1,"Leadership",IFERROR(INDEX(Lists!$X:$X,MATCH(TRIM($K465),Lists!$W:$W,0)),IF(OR(TRIM($K465)="",LOWER(TRIM($K465))="na"),IF(TRIM($G465)="","Unassigned",TRIM($G465)),TRIM($K465)))))</f>
        <v>P&amp;C RTA</v>
      </c>
      <c r="AQ465" s="865" t="b">
        <f>IF(TRIM($B465)="","",--OR(TRIM($K465)="Leadership",TRIM($J465)="Leadership"))</f>
        <v>0</v>
      </c>
      <c r="AR465" s="1136" t="str">
        <f>IF(TRIM($B465)="","",IF(IFERROR(INDEX(Lists!$AQ$2:$AQ$11,MATCH(ROW(),Lists!$AN$2:$AN$11,0)),"")&lt;&gt;"",IFERROR(INDEX(Lists!$AQ$2:$AQ$11,MATCH(ROW(),Lists!$AN$2:$AN$11,0)),""),IF(ISNUMBER(SEARCH("head of ",$C465)),"Head of Technology",IF(ISNUMBER(SEARCH("TDD BP",$C465)),"Business Partner",IF(OR(ISNUMBER(SEARCH("domain architect",$C465)),ISNUMBER(SEARCH("enterprise architect",$C465))),"Domain Architect",IF(ISNUMBER(SEARCH("delivery man",$C465)),"Delivery Manager",IF(OR(ISNUMBER(SEARCH("technology manager",$C465)),ISNUMBER(SEARCH("technology manger",$C465)),ISNUMBER(SEARCH("tech manager",$C465))),"Technology Manager","Squad")))))))</f>
        <v>Squad</v>
      </c>
      <c r="AS465" s="1136" t="str">
        <f>IF(TRIM($B465)="","",IFERROR(INDEX(Lists!$AA:$AA,MATCH($AP465,Lists!$Z:$Z,0)),$AP465))</f>
        <v>P&amp;C RTA</v>
      </c>
      <c r="AT465" s="1136" t="str">
        <f>IF(TRIM($B465)="","",IF(IFERROR(INDEX(Lists!$AP$2:$AP$11,MATCH(ROW(),Lists!$AN$2:$AN$11,0)),"")&lt;&gt;"",IFERROR(INDEX(Lists!$AP$2:$AP$11,MATCH(ROW(),Lists!$AN$2:$AN$11,0)),""),IF(OR(LEFT($AJ465,3)="COE",$AJ465="EGI"),$AP465,IF($AR465&lt;&gt;"Squad",$AR465,$AP465))))</f>
        <v>P&amp;C RTA</v>
      </c>
    </row>
    <row r="466" ht="18" customHeight="1" s="866">
      <c r="A466" s="1155" t="n">
        <v>4818</v>
      </c>
      <c r="B466" s="1156" t="inlineStr">
        <is>
          <t>Vaso Vukovic</t>
        </is>
      </c>
      <c r="C466" s="1156" t="inlineStr">
        <is>
          <t>Head of Technology - P&amp;C, Finance &amp; Legal</t>
        </is>
      </c>
      <c r="D466" s="1199" t="inlineStr">
        <is>
          <t>Emily Mogic</t>
        </is>
      </c>
      <c r="E466" s="1156" t="inlineStr">
        <is>
          <t>GM TDD, Group Function</t>
        </is>
      </c>
      <c r="F466" s="1157" t="inlineStr">
        <is>
          <t>TDD Group Functions</t>
        </is>
      </c>
      <c r="G466" s="1199" t="inlineStr">
        <is>
          <t>P&amp;C, Finance &amp; Legal</t>
        </is>
      </c>
      <c r="H466" s="1158" t="inlineStr">
        <is>
          <t>na</t>
        </is>
      </c>
      <c r="I466" s="1158" t="inlineStr">
        <is>
          <t>P&amp;C, Finance &amp; Legal</t>
        </is>
      </c>
      <c r="J466" s="1158" t="inlineStr">
        <is>
          <t>P&amp;C, Finance &amp; Legal</t>
        </is>
      </c>
      <c r="K466" s="1158" t="inlineStr">
        <is>
          <t>Leadership</t>
        </is>
      </c>
      <c r="L466" s="1158" t="n"/>
      <c r="M466" s="1183" t="inlineStr">
        <is>
          <t>Australia</t>
        </is>
      </c>
      <c r="N466" s="1160" t="inlineStr">
        <is>
          <t>CSC</t>
        </is>
      </c>
      <c r="O466" s="1162" t="n">
        <v>1</v>
      </c>
      <c r="P466" s="1162" t="n"/>
      <c r="Q466" s="1162" t="inlineStr">
        <is>
          <t>Permanent - Full Time</t>
        </is>
      </c>
      <c r="R466" s="1162" t="n"/>
      <c r="S466" s="1162" t="n"/>
      <c r="T466" s="1162" t="n">
        <v>257420</v>
      </c>
      <c r="U466" s="1174" t="n">
        <v>257420</v>
      </c>
      <c r="V466" s="1166" t="n">
        <v>0.2</v>
      </c>
      <c r="W466" s="1170" t="n">
        <v>0.055</v>
      </c>
      <c r="X466" s="1170" t="n">
        <v>0.12</v>
      </c>
      <c r="Y466" s="1171" t="n"/>
      <c r="Z466" s="1170" t="n">
        <v>0.04</v>
      </c>
      <c r="AA466" s="1168">
        <f>IF(TRIM($B466)="","",IF(N($AU466)&gt;0,$AU466,IF(N($S466)&gt;0,$S466*Lists!$AG$15*(1+N($Z466)),N($U466)*(1+N($V466)+N($W466)+N($X466)+N($Z466))+N($Y466))))</f>
        <v>364249.3</v>
      </c>
      <c r="AB466" s="1238" t="n"/>
      <c r="AC466" s="1238" t="n"/>
      <c r="AD466" s="1238" t="n"/>
      <c r="AE466" s="1238" t="n"/>
      <c r="AF466" s="1238" t="n"/>
      <c r="AG466" s="1238" t="n"/>
      <c r="AH466" s="1238" t="n"/>
      <c r="AJ466" s="865" t="str">
        <f>IF(TRIM($B466)="","",IF(IFERROR(INDEX(Lists!$AO$2:$AO$11,MATCH(ROW(),Lists!$AN$2:$AN$11,0)),"")&lt;&gt;"",IFERROR(INDEX(Lists!$AO$2:$AO$11,MATCH(ROW(),Lists!$AN$2:$AN$11,0)),""),IFERROR(INDEX(Lists!$U:$U,MATCH(TRIM($I466),Lists!$T:$T,0)),TRIM($I466))))</f>
        <v>P&amp;C</v>
      </c>
      <c r="AK466" s="865" t="str">
        <f>IF(ISNUMBER(SEARCH("vacant",$B466)),"Vacant","Filled")</f>
        <v>Filled</v>
      </c>
      <c r="AL466" s="865" t="str">
        <f>IF($M466="NZ","NZ","AU")</f>
        <v>AU</v>
      </c>
      <c r="AM466" s="865">
        <f>COUNTIF($AJ$2:$AJ466,$AJ466)</f>
        <v>8</v>
      </c>
      <c r="AN466" s="865" t="str">
        <f>$AJ466&amp;"|"&amp;$AM466</f>
        <v>P&amp;C|8</v>
      </c>
      <c r="AP466" s="1136" t="str">
        <f>IF(TRIM($B466)="","",IF($AQ466=1,"Leadership",IFERROR(INDEX(Lists!$X:$X,MATCH(TRIM($K466),Lists!$W:$W,0)),IF(OR(TRIM($K466)="",LOWER(TRIM($K466))="na"),IF(TRIM($G466)="","Unassigned",TRIM($G466)),TRIM($K466)))))</f>
        <v>Leadership</v>
      </c>
      <c r="AQ466" s="865" t="b">
        <f>IF(TRIM($B466)="","",--OR(TRIM($K466)="Leadership",TRIM($J466)="Leadership"))</f>
        <v>1</v>
      </c>
      <c r="AR466" s="1136" t="str">
        <f>IF(TRIM($B466)="","",IF(IFERROR(INDEX(Lists!$AQ$2:$AQ$11,MATCH(ROW(),Lists!$AN$2:$AN$11,0)),"")&lt;&gt;"",IFERROR(INDEX(Lists!$AQ$2:$AQ$11,MATCH(ROW(),Lists!$AN$2:$AN$11,0)),""),IF(ISNUMBER(SEARCH("head of ",$C466)),"Head of Technology",IF(ISNUMBER(SEARCH("TDD BP",$C466)),"Business Partner",IF(OR(ISNUMBER(SEARCH("domain architect",$C466)),ISNUMBER(SEARCH("enterprise architect",$C466))),"Domain Architect",IF(ISNUMBER(SEARCH("delivery man",$C466)),"Delivery Manager",IF(OR(ISNUMBER(SEARCH("technology manager",$C466)),ISNUMBER(SEARCH("technology manger",$C466)),ISNUMBER(SEARCH("tech manager",$C466))),"Technology Manager","Squad")))))))</f>
        <v>Head of Technology</v>
      </c>
      <c r="AS466" s="1136" t="str">
        <f>IF(TRIM($B466)="","",IFERROR(INDEX(Lists!$AA:$AA,MATCH($AP466,Lists!$Z:$Z,0)),$AP466))</f>
        <v>Leadership</v>
      </c>
      <c r="AT466" s="1136" t="str">
        <f>IF(TRIM($B466)="","",IF(IFERROR(INDEX(Lists!$AP$2:$AP$11,MATCH(ROW(),Lists!$AN$2:$AN$11,0)),"")&lt;&gt;"",IFERROR(INDEX(Lists!$AP$2:$AP$11,MATCH(ROW(),Lists!$AN$2:$AN$11,0)),""),IF(OR(LEFT($AJ466,3)="COE",$AJ466="EGI"),$AP466,IF($AR466&lt;&gt;"Squad",$AR466,$AP466))))</f>
        <v>Head of Technology</v>
      </c>
    </row>
    <row r="467" ht="18" customHeight="1" s="866">
      <c r="A467" s="1155" t="n">
        <v>105823</v>
      </c>
      <c r="B467" s="1199" t="inlineStr">
        <is>
          <t>Hardik Trivedi</t>
        </is>
      </c>
      <c r="C467" s="1199" t="inlineStr">
        <is>
          <t>Snr Business Analyst</t>
        </is>
      </c>
      <c r="D467" s="1158" t="inlineStr">
        <is>
          <t>Vacant</t>
        </is>
      </c>
      <c r="E467" s="1199" t="inlineStr">
        <is>
          <t xml:space="preserve">Delivery Manager </t>
        </is>
      </c>
      <c r="F467" s="1157" t="inlineStr">
        <is>
          <t>TDD Group Functions</t>
        </is>
      </c>
      <c r="G467" s="1158" t="inlineStr">
        <is>
          <t>TDD &amp; Engineering</t>
        </is>
      </c>
      <c r="H467" s="1156" t="inlineStr">
        <is>
          <t>Delivery, TDD &amp; Engineering</t>
        </is>
      </c>
      <c r="I467" s="1156" t="inlineStr">
        <is>
          <t>Retail</t>
        </is>
      </c>
      <c r="J467" s="1158" t="inlineStr">
        <is>
          <t>AmPOS</t>
        </is>
      </c>
      <c r="K467" s="1158" t="inlineStr">
        <is>
          <t>AmPOS</t>
        </is>
      </c>
      <c r="L467" s="1158" t="n"/>
      <c r="M467" s="1183" t="inlineStr">
        <is>
          <t>Australia</t>
        </is>
      </c>
      <c r="N467" s="1160" t="inlineStr">
        <is>
          <t>CIB</t>
        </is>
      </c>
      <c r="O467" s="1160" t="n">
        <v>1</v>
      </c>
      <c r="P467" s="1160" t="n"/>
      <c r="Q467" s="1160" t="inlineStr">
        <is>
          <t>Permanent - Full Time</t>
        </is>
      </c>
      <c r="R467" s="1162" t="n"/>
      <c r="S467" s="1162" t="n"/>
      <c r="T467" s="1162" t="n">
        <v>157560</v>
      </c>
      <c r="U467" s="1174" t="n">
        <v>157560</v>
      </c>
      <c r="V467" s="1166" t="n">
        <v>0.12</v>
      </c>
      <c r="W467" s="1170" t="n">
        <v>0.055</v>
      </c>
      <c r="X467" s="1170" t="n">
        <v>0.12</v>
      </c>
      <c r="Y467" s="1171" t="n"/>
      <c r="Z467" s="1170" t="n">
        <v>0.04</v>
      </c>
      <c r="AA467" s="1168">
        <f>IF(TRIM($B467)="","",IF(N($AU467)&gt;0,$AU467,IF(N($S467)&gt;0,$S467*Lists!$AG$15*(1+N($Z467)),N($U467)*(1+N($V467)+N($W467)+N($X467)+N($Z467))+N($Y467))))</f>
        <v>210342.6</v>
      </c>
      <c r="AB467" s="1238" t="n"/>
      <c r="AC467" s="1238" t="n"/>
      <c r="AD467" s="1238" t="n"/>
      <c r="AE467" s="1238" t="n"/>
      <c r="AF467" s="1238" t="n"/>
      <c r="AG467" s="1238" t="n"/>
      <c r="AH467" s="1238" t="n"/>
      <c r="AJ467" s="865" t="str">
        <f>IF(TRIM($B467)="","",IF(IFERROR(INDEX(Lists!$AO$2:$AO$11,MATCH(ROW(),Lists!$AN$2:$AN$11,0)),"")&lt;&gt;"",IFERROR(INDEX(Lists!$AO$2:$AO$11,MATCH(ROW(),Lists!$AN$2:$AN$11,0)),""),IFERROR(INDEX(Lists!$U:$U,MATCH(TRIM($I467),Lists!$T:$T,0)),TRIM($I467))))</f>
        <v>Ampol Retail</v>
      </c>
      <c r="AK467" s="865" t="str">
        <f>IF(ISNUMBER(SEARCH("vacant",$B467)),"Vacant","Filled")</f>
        <v>Filled</v>
      </c>
      <c r="AL467" s="865" t="str">
        <f>IF($M467="NZ","NZ","AU")</f>
        <v>AU</v>
      </c>
      <c r="AM467" s="865">
        <f>COUNTIF($AJ$2:$AJ467,$AJ467)</f>
        <v>70</v>
      </c>
      <c r="AN467" s="865" t="str">
        <f>$AJ467&amp;"|"&amp;$AM467</f>
        <v>Ampol Retail|70</v>
      </c>
      <c r="AP467" s="865" t="str">
        <f>IF(TRIM($B467)="","",IF($AQ467=1,"Leadership",IFERROR(INDEX(Lists!$X:$X,MATCH(TRIM($K467),Lists!$W:$W,0)),IF(OR(TRIM($K467)="",LOWER(TRIM($K467))="na"),IF(TRIM($G467)="","Unassigned",TRIM($G467)),TRIM($K467)))))</f>
        <v>AmPOS</v>
      </c>
      <c r="AQ467" s="865" t="b">
        <f>IF(TRIM($B467)="","",--OR(TRIM($K467)="Leadership",TRIM($J467)="Leadership"))</f>
        <v>0</v>
      </c>
      <c r="AR467" s="1136" t="str">
        <f>IF(TRIM($B467)="","",IF(IFERROR(INDEX(Lists!$AQ$2:$AQ$11,MATCH(ROW(),Lists!$AN$2:$AN$11,0)),"")&lt;&gt;"",IFERROR(INDEX(Lists!$AQ$2:$AQ$11,MATCH(ROW(),Lists!$AN$2:$AN$11,0)),""),IF(ISNUMBER(SEARCH("head of ",$C467)),"Head of Technology",IF(ISNUMBER(SEARCH("TDD BP",$C467)),"Business Partner",IF(OR(ISNUMBER(SEARCH("domain architect",$C467)),ISNUMBER(SEARCH("enterprise architect",$C467))),"Domain Architect",IF(ISNUMBER(SEARCH("delivery man",$C467)),"Delivery Manager",IF(OR(ISNUMBER(SEARCH("technology manager",$C467)),ISNUMBER(SEARCH("technology manger",$C467)),ISNUMBER(SEARCH("tech manager",$C467))),"Technology Manager","Squad")))))))</f>
        <v>Squad</v>
      </c>
      <c r="AS467" s="1136" t="str">
        <f>IF(TRIM($B467)="","",IFERROR(INDEX(Lists!$AA:$AA,MATCH($AP467,Lists!$Z:$Z,0)),$AP467))</f>
        <v>AmPOS</v>
      </c>
      <c r="AT467" s="1136" t="str">
        <f>IF(TRIM($B467)="","",IF(IFERROR(INDEX(Lists!$AP$2:$AP$11,MATCH(ROW(),Lists!$AN$2:$AN$11,0)),"")&lt;&gt;"",IFERROR(INDEX(Lists!$AP$2:$AP$11,MATCH(ROW(),Lists!$AN$2:$AN$11,0)),""),IF(OR(LEFT($AJ467,3)="COE",$AJ467="EGI"),$AP467,IF($AR467&lt;&gt;"Squad",$AR467,$AP467))))</f>
        <v>AmPOS</v>
      </c>
    </row>
    <row r="468" ht="18" customHeight="1" s="866">
      <c r="A468" s="1155" t="n">
        <v>106829</v>
      </c>
      <c r="B468" s="1156" t="inlineStr">
        <is>
          <t>C K Lau</t>
        </is>
      </c>
      <c r="C468" s="1156" t="inlineStr">
        <is>
          <t>Delivery Lead (Cloud &amp; Network)</t>
        </is>
      </c>
      <c r="D468" s="1156" t="inlineStr">
        <is>
          <t>Vacant</t>
        </is>
      </c>
      <c r="E468" s="1156" t="inlineStr">
        <is>
          <t>Delivery Manager</t>
        </is>
      </c>
      <c r="F468" s="1157" t="inlineStr">
        <is>
          <t>TDD Group Functions</t>
        </is>
      </c>
      <c r="G468" s="1158" t="inlineStr">
        <is>
          <t xml:space="preserve">TDD &amp; Engineering </t>
        </is>
      </c>
      <c r="H468" s="1156" t="inlineStr">
        <is>
          <t>Delivery, TDD &amp; Engineering</t>
        </is>
      </c>
      <c r="I468" s="1156" t="inlineStr">
        <is>
          <t>TDD</t>
        </is>
      </c>
      <c r="J468" s="1158" t="inlineStr">
        <is>
          <t>TDD</t>
        </is>
      </c>
      <c r="K468" s="1158" t="inlineStr">
        <is>
          <t>Cloud, Network &amp; Infra Ops</t>
        </is>
      </c>
      <c r="L468" s="1158" t="n"/>
      <c r="M468" s="1183" t="inlineStr">
        <is>
          <t>Australia</t>
        </is>
      </c>
      <c r="N468" s="1160" t="inlineStr">
        <is>
          <t>CIC</t>
        </is>
      </c>
      <c r="O468" s="1160" t="n">
        <v>1</v>
      </c>
      <c r="P468" s="1160" t="n"/>
      <c r="Q468" s="1160" t="inlineStr">
        <is>
          <t>Permanent - Full Time</t>
        </is>
      </c>
      <c r="R468" s="1162" t="n"/>
      <c r="S468" s="1162" t="n"/>
      <c r="T468" s="1162" t="n">
        <v>186640</v>
      </c>
      <c r="U468" s="1174" t="n">
        <v>186640</v>
      </c>
      <c r="V468" s="1166" t="n">
        <v>0.12</v>
      </c>
      <c r="W468" s="1170" t="n">
        <v>0.055</v>
      </c>
      <c r="X468" s="1170" t="n">
        <v>0.12</v>
      </c>
      <c r="Y468" s="1171" t="n"/>
      <c r="Z468" s="1170" t="n">
        <v>0.04</v>
      </c>
      <c r="AA468" s="1168">
        <f>IF(TRIM($B468)="","",IF(N($AU468)&gt;0,$AU468,IF(N($S468)&gt;0,$S468*Lists!$AG$15*(1+N($Z468)),N($U468)*(1+N($V468)+N($W468)+N($X468)+N($Z468))+N($Y468))))</f>
        <v>249164.4</v>
      </c>
      <c r="AB468" s="1238" t="n"/>
      <c r="AC468" s="1238" t="n"/>
      <c r="AD468" s="1238" t="n"/>
      <c r="AE468" s="1238" t="n"/>
      <c r="AF468" s="1238" t="n"/>
      <c r="AG468" s="1238" t="n"/>
      <c r="AH468" s="1238" t="n"/>
      <c r="AJ468" s="865" t="str">
        <f>IF(TRIM($B468)="","",IF(IFERROR(INDEX(Lists!$AO$2:$AO$11,MATCH(ROW(),Lists!$AN$2:$AN$11,0)),"")&lt;&gt;"",IFERROR(INDEX(Lists!$AO$2:$AO$11,MATCH(ROW(),Lists!$AN$2:$AN$11,0)),""),IFERROR(INDEX(Lists!$U:$U,MATCH(TRIM($I468),Lists!$T:$T,0)),TRIM($I468))))</f>
        <v>TDD Group Functions</v>
      </c>
      <c r="AK468" s="865" t="str">
        <f>IF(ISNUMBER(SEARCH("vacant",$B468)),"Vacant","Filled")</f>
        <v>Filled</v>
      </c>
      <c r="AL468" s="865" t="str">
        <f>IF($M468="NZ","NZ","AU")</f>
        <v>AU</v>
      </c>
      <c r="AM468" s="865">
        <f>COUNTIF($AJ$2:$AJ468,$AJ468)</f>
        <v>5</v>
      </c>
      <c r="AN468" s="865" t="str">
        <f>$AJ468&amp;"|"&amp;$AM468</f>
        <v>TDD Group Functions|5</v>
      </c>
      <c r="AP468" s="865" t="str">
        <f>IF(TRIM($B468)="","",IF($AQ468=1,"Leadership",IFERROR(INDEX(Lists!$X:$X,MATCH(TRIM($K468),Lists!$W:$W,0)),IF(OR(TRIM($K468)="",LOWER(TRIM($K468))="na"),IF(TRIM($G468)="","Unassigned",TRIM($G468)),TRIM($K468)))))</f>
        <v>Cloud, Network &amp; Infra Ops</v>
      </c>
      <c r="AQ468" s="865" t="b">
        <f>IF(TRIM($B468)="","",--OR(TRIM($K468)="Leadership",TRIM($J468)="Leadership"))</f>
        <v>0</v>
      </c>
      <c r="AR468" s="1136" t="str">
        <f>IF(TRIM($B468)="","",IF(IFERROR(INDEX(Lists!$AQ$2:$AQ$11,MATCH(ROW(),Lists!$AN$2:$AN$11,0)),"")&lt;&gt;"",IFERROR(INDEX(Lists!$AQ$2:$AQ$11,MATCH(ROW(),Lists!$AN$2:$AN$11,0)),""),IF(ISNUMBER(SEARCH("head of ",$C468)),"Head of Technology",IF(ISNUMBER(SEARCH("TDD BP",$C468)),"Business Partner",IF(OR(ISNUMBER(SEARCH("domain architect",$C468)),ISNUMBER(SEARCH("enterprise architect",$C468))),"Domain Architect",IF(ISNUMBER(SEARCH("delivery man",$C468)),"Delivery Manager",IF(OR(ISNUMBER(SEARCH("technology manager",$C468)),ISNUMBER(SEARCH("technology manger",$C468)),ISNUMBER(SEARCH("tech manager",$C468))),"Technology Manager","Squad")))))))</f>
        <v>Squad</v>
      </c>
      <c r="AS468" s="1136" t="str">
        <f>IF(TRIM($B468)="","",IFERROR(INDEX(Lists!$AA:$AA,MATCH($AP468,Lists!$Z:$Z,0)),$AP468))</f>
        <v>Cloud, Network &amp; Infra Ops</v>
      </c>
      <c r="AT468" s="1136" t="str">
        <f>IF(TRIM($B468)="","",IF(IFERROR(INDEX(Lists!$AP$2:$AP$11,MATCH(ROW(),Lists!$AN$2:$AN$11,0)),"")&lt;&gt;"",IFERROR(INDEX(Lists!$AP$2:$AP$11,MATCH(ROW(),Lists!$AN$2:$AN$11,0)),""),IF(OR(LEFT($AJ468,3)="COE",$AJ468="EGI"),$AP468,IF($AR468&lt;&gt;"Squad",$AR468,$AP468))))</f>
        <v>Cloud, Network &amp; Infra Ops</v>
      </c>
    </row>
    <row r="469" ht="18" customHeight="1" s="866">
      <c r="A469" s="1155" t="n">
        <v>99999101516</v>
      </c>
      <c r="B469" s="1156" t="inlineStr">
        <is>
          <t>Fan Zhang</t>
        </is>
      </c>
      <c r="C469" s="1156" t="inlineStr">
        <is>
          <t>Infrastructure Engineer</t>
        </is>
      </c>
      <c r="D469" s="1158" t="inlineStr">
        <is>
          <t>John McCormack</t>
        </is>
      </c>
      <c r="E469" s="1199" t="inlineStr">
        <is>
          <t>Manager - Infrastructure Operations</t>
        </is>
      </c>
      <c r="F469" s="1157" t="inlineStr">
        <is>
          <t>TDD Group Functions</t>
        </is>
      </c>
      <c r="G469" s="1158" t="inlineStr">
        <is>
          <t>TDD &amp; Engineering</t>
        </is>
      </c>
      <c r="H469" s="1158" t="inlineStr">
        <is>
          <t>Cloud, Network &amp; Infra</t>
        </is>
      </c>
      <c r="I469" s="1156" t="inlineStr">
        <is>
          <t>TDD</t>
        </is>
      </c>
      <c r="J469" s="1158" t="inlineStr">
        <is>
          <t>TDD</t>
        </is>
      </c>
      <c r="K469" s="1158" t="inlineStr">
        <is>
          <t>Cloud, Network &amp; Infra Ops</t>
        </is>
      </c>
      <c r="L469" s="1158" t="n"/>
      <c r="M469" s="1183" t="inlineStr">
        <is>
          <t>NZ</t>
        </is>
      </c>
      <c r="N469" s="1160" t="inlineStr">
        <is>
          <t>CIA</t>
        </is>
      </c>
      <c r="O469" s="1161" t="n">
        <v>1</v>
      </c>
      <c r="P469" s="1160" t="n"/>
      <c r="Q469" s="1161" t="inlineStr">
        <is>
          <t>Permanent - Full Time</t>
        </is>
      </c>
      <c r="R469" s="1162" t="n"/>
      <c r="S469" s="1162" t="n"/>
      <c r="T469" s="1162" t="n">
        <v>115679</v>
      </c>
      <c r="U469" s="1174" t="n">
        <v>106424.68</v>
      </c>
      <c r="V469" s="1165" t="n">
        <v>0.15</v>
      </c>
      <c r="W469" s="1161" t="n"/>
      <c r="X469" s="1166" t="n">
        <v>0.05</v>
      </c>
      <c r="Y469" s="1907" t="n">
        <v>2910</v>
      </c>
      <c r="Z469" s="1166" t="n">
        <v>0.03</v>
      </c>
      <c r="AA469" s="1168">
        <f>IF(TRIM($B469)="","",IF(N($AU469)&gt;0,$AU469,IF(N($S469)&gt;0,$S469*Lists!$AG$15*(1+N($Z469)),N($U469)*(1+N($V469)+N($W469)+N($X469)+N($Z469))+N($Y469))))</f>
        <v>133812.3564</v>
      </c>
      <c r="AB469" s="1238" t="n"/>
      <c r="AC469" s="1238" t="n"/>
      <c r="AD469" s="1238" t="n"/>
      <c r="AE469" s="1238" t="n"/>
      <c r="AF469" s="1238" t="n"/>
      <c r="AG469" s="1238" t="n"/>
      <c r="AH469" s="1238" t="n"/>
      <c r="AJ469" s="865" t="str">
        <f>IF(TRIM($B469)="","",IF(IFERROR(INDEX(Lists!$AO$2:$AO$11,MATCH(ROW(),Lists!$AN$2:$AN$11,0)),"")&lt;&gt;"",IFERROR(INDEX(Lists!$AO$2:$AO$11,MATCH(ROW(),Lists!$AN$2:$AN$11,0)),""),IFERROR(INDEX(Lists!$U:$U,MATCH(TRIM($I469),Lists!$T:$T,0)),TRIM($I469))))</f>
        <v>TDD Group Functions</v>
      </c>
      <c r="AK469" s="865" t="str">
        <f>IF(ISNUMBER(SEARCH("vacant",$B469)),"Vacant","Filled")</f>
        <v>Filled</v>
      </c>
      <c r="AL469" s="865" t="str">
        <f>IF($M469="NZ","NZ","AU")</f>
        <v>NZ</v>
      </c>
      <c r="AM469" s="865">
        <f>COUNTIF($AJ$2:$AJ469,$AJ469)</f>
        <v>6</v>
      </c>
      <c r="AN469" s="865" t="str">
        <f>$AJ469&amp;"|"&amp;$AM469</f>
        <v>TDD Group Functions|6</v>
      </c>
      <c r="AP469" s="865" t="str">
        <f>IF(TRIM($B469)="","",IF($AQ469=1,"Leadership",IFERROR(INDEX(Lists!$X:$X,MATCH(TRIM($K469),Lists!$W:$W,0)),IF(OR(TRIM($K469)="",LOWER(TRIM($K469))="na"),IF(TRIM($G469)="","Unassigned",TRIM($G469)),TRIM($K469)))))</f>
        <v>Cloud, Network &amp; Infra Ops</v>
      </c>
      <c r="AQ469" s="865" t="b">
        <f>IF(TRIM($B469)="","",--OR(TRIM($K469)="Leadership",TRIM($J469)="Leadership"))</f>
        <v>0</v>
      </c>
      <c r="AR469" s="1136" t="str">
        <f>IF(TRIM($B469)="","",IF(IFERROR(INDEX(Lists!$AQ$2:$AQ$11,MATCH(ROW(),Lists!$AN$2:$AN$11,0)),"")&lt;&gt;"",IFERROR(INDEX(Lists!$AQ$2:$AQ$11,MATCH(ROW(),Lists!$AN$2:$AN$11,0)),""),IF(ISNUMBER(SEARCH("head of ",$C469)),"Head of Technology",IF(ISNUMBER(SEARCH("TDD BP",$C469)),"Business Partner",IF(OR(ISNUMBER(SEARCH("domain architect",$C469)),ISNUMBER(SEARCH("enterprise architect",$C469))),"Domain Architect",IF(ISNUMBER(SEARCH("delivery man",$C469)),"Delivery Manager",IF(OR(ISNUMBER(SEARCH("technology manager",$C469)),ISNUMBER(SEARCH("technology manger",$C469)),ISNUMBER(SEARCH("tech manager",$C469))),"Technology Manager","Squad")))))))</f>
        <v>Squad</v>
      </c>
      <c r="AS469" s="1136" t="str">
        <f>IF(TRIM($B469)="","",IFERROR(INDEX(Lists!$AA:$AA,MATCH($AP469,Lists!$Z:$Z,0)),$AP469))</f>
        <v>Cloud, Network &amp; Infra Ops</v>
      </c>
      <c r="AT469" s="1136" t="str">
        <f>IF(TRIM($B469)="","",IF(IFERROR(INDEX(Lists!$AP$2:$AP$11,MATCH(ROW(),Lists!$AN$2:$AN$11,0)),"")&lt;&gt;"",IFERROR(INDEX(Lists!$AP$2:$AP$11,MATCH(ROW(),Lists!$AN$2:$AN$11,0)),""),IF(OR(LEFT($AJ469,3)="COE",$AJ469="EGI"),$AP469,IF($AR469&lt;&gt;"Squad",$AR469,$AP469))))</f>
        <v>Cloud, Network &amp; Infra Ops</v>
      </c>
    </row>
    <row r="470" ht="18" customHeight="1" s="866">
      <c r="A470" s="1155" t="n">
        <v>110830</v>
      </c>
      <c r="B470" s="1156" t="inlineStr">
        <is>
          <t>Jason Satoso</t>
        </is>
      </c>
      <c r="C470" s="1156" t="inlineStr">
        <is>
          <t>Cloud Operations Engineer</t>
        </is>
      </c>
      <c r="D470" s="1158" t="inlineStr">
        <is>
          <t>John McCormack</t>
        </is>
      </c>
      <c r="E470" s="1199" t="inlineStr">
        <is>
          <t>Manager - Infrastructure Operations</t>
        </is>
      </c>
      <c r="F470" s="1157" t="inlineStr">
        <is>
          <t>TDD Group Functions</t>
        </is>
      </c>
      <c r="G470" s="1158" t="inlineStr">
        <is>
          <t>TDD &amp; Engineering</t>
        </is>
      </c>
      <c r="H470" s="1158" t="inlineStr">
        <is>
          <t>Cloud, Network &amp; Infra</t>
        </is>
      </c>
      <c r="I470" s="1156" t="inlineStr">
        <is>
          <t>TDD</t>
        </is>
      </c>
      <c r="J470" s="1158" t="inlineStr">
        <is>
          <t>TDD</t>
        </is>
      </c>
      <c r="K470" s="1158" t="inlineStr">
        <is>
          <t>Cloud, Network &amp; Infra Ops</t>
        </is>
      </c>
      <c r="L470" s="1158" t="n"/>
      <c r="M470" s="1183" t="inlineStr">
        <is>
          <t>Australia</t>
        </is>
      </c>
      <c r="N470" s="1160" t="inlineStr">
        <is>
          <t>CIB</t>
        </is>
      </c>
      <c r="O470" s="1160" t="n">
        <v>1</v>
      </c>
      <c r="P470" s="1160" t="n"/>
      <c r="Q470" s="1160" t="inlineStr">
        <is>
          <t>Permanent - Full Time</t>
        </is>
      </c>
      <c r="R470" s="1162" t="n"/>
      <c r="S470" s="1162" t="n"/>
      <c r="T470" s="1162" t="n">
        <v>154450</v>
      </c>
      <c r="U470" s="1174" t="n">
        <v>154450</v>
      </c>
      <c r="V470" s="1166" t="n">
        <v>0.12</v>
      </c>
      <c r="W470" s="1170" t="n">
        <v>0.055</v>
      </c>
      <c r="X470" s="1170" t="n">
        <v>0.12</v>
      </c>
      <c r="Y470" s="1171" t="n"/>
      <c r="Z470" s="1170" t="n">
        <v>0.04</v>
      </c>
      <c r="AA470" s="1168">
        <f>IF(TRIM($B470)="","",IF(N($AU470)&gt;0,$AU470,IF(N($S470)&gt;0,$S470*Lists!$AG$15*(1+N($Z470)),N($U470)*(1+N($V470)+N($W470)+N($X470)+N($Z470))+N($Y470))))</f>
        <v>206190.75</v>
      </c>
      <c r="AB470" s="1238" t="n"/>
      <c r="AC470" s="1238" t="n"/>
      <c r="AD470" s="1238" t="n"/>
      <c r="AE470" s="1238" t="n"/>
      <c r="AF470" s="1238" t="n"/>
      <c r="AG470" s="1238" t="n"/>
      <c r="AH470" s="1238" t="n"/>
      <c r="AJ470" s="865" t="str">
        <f>IF(TRIM($B470)="","",IF(IFERROR(INDEX(Lists!$AO$2:$AO$11,MATCH(ROW(),Lists!$AN$2:$AN$11,0)),"")&lt;&gt;"",IFERROR(INDEX(Lists!$AO$2:$AO$11,MATCH(ROW(),Lists!$AN$2:$AN$11,0)),""),IFERROR(INDEX(Lists!$U:$U,MATCH(TRIM($I470),Lists!$T:$T,0)),TRIM($I470))))</f>
        <v>TDD Group Functions</v>
      </c>
      <c r="AK470" s="865" t="str">
        <f>IF(ISNUMBER(SEARCH("vacant",$B470)),"Vacant","Filled")</f>
        <v>Filled</v>
      </c>
      <c r="AL470" s="865" t="str">
        <f>IF($M470="NZ","NZ","AU")</f>
        <v>AU</v>
      </c>
      <c r="AM470" s="865">
        <f>COUNTIF($AJ$2:$AJ470,$AJ470)</f>
        <v>7</v>
      </c>
      <c r="AN470" s="865" t="str">
        <f>$AJ470&amp;"|"&amp;$AM470</f>
        <v>TDD Group Functions|7</v>
      </c>
      <c r="AP470" s="865" t="str">
        <f>IF(TRIM($B470)="","",IF($AQ470=1,"Leadership",IFERROR(INDEX(Lists!$X:$X,MATCH(TRIM($K470),Lists!$W:$W,0)),IF(OR(TRIM($K470)="",LOWER(TRIM($K470))="na"),IF(TRIM($G470)="","Unassigned",TRIM($G470)),TRIM($K470)))))</f>
        <v>Cloud, Network &amp; Infra Ops</v>
      </c>
      <c r="AQ470" s="865" t="b">
        <f>IF(TRIM($B470)="","",--OR(TRIM($K470)="Leadership",TRIM($J470)="Leadership"))</f>
        <v>0</v>
      </c>
      <c r="AR470" s="1136" t="str">
        <f>IF(TRIM($B470)="","",IF(IFERROR(INDEX(Lists!$AQ$2:$AQ$11,MATCH(ROW(),Lists!$AN$2:$AN$11,0)),"")&lt;&gt;"",IFERROR(INDEX(Lists!$AQ$2:$AQ$11,MATCH(ROW(),Lists!$AN$2:$AN$11,0)),""),IF(ISNUMBER(SEARCH("head of ",$C470)),"Head of Technology",IF(ISNUMBER(SEARCH("TDD BP",$C470)),"Business Partner",IF(OR(ISNUMBER(SEARCH("domain architect",$C470)),ISNUMBER(SEARCH("enterprise architect",$C470))),"Domain Architect",IF(ISNUMBER(SEARCH("delivery man",$C470)),"Delivery Manager",IF(OR(ISNUMBER(SEARCH("technology manager",$C470)),ISNUMBER(SEARCH("technology manger",$C470)),ISNUMBER(SEARCH("tech manager",$C470))),"Technology Manager","Squad")))))))</f>
        <v>Squad</v>
      </c>
      <c r="AS470" s="1136" t="str">
        <f>IF(TRIM($B470)="","",IFERROR(INDEX(Lists!$AA:$AA,MATCH($AP470,Lists!$Z:$Z,0)),$AP470))</f>
        <v>Cloud, Network &amp; Infra Ops</v>
      </c>
      <c r="AT470" s="1136" t="str">
        <f>IF(TRIM($B470)="","",IF(IFERROR(INDEX(Lists!$AP$2:$AP$11,MATCH(ROW(),Lists!$AN$2:$AN$11,0)),"")&lt;&gt;"",IFERROR(INDEX(Lists!$AP$2:$AP$11,MATCH(ROW(),Lists!$AN$2:$AN$11,0)),""),IF(OR(LEFT($AJ470,3)="COE",$AJ470="EGI"),$AP470,IF($AR470&lt;&gt;"Squad",$AR470,$AP470))))</f>
        <v>Cloud, Network &amp; Infra Ops</v>
      </c>
    </row>
    <row r="471" ht="18" customHeight="1" s="866">
      <c r="A471" s="1155" t="n">
        <v>97800</v>
      </c>
      <c r="B471" s="1156" t="inlineStr">
        <is>
          <t>John McCormack</t>
        </is>
      </c>
      <c r="C471" s="1156" t="inlineStr">
        <is>
          <t>Manager - Infrastructure Operations</t>
        </is>
      </c>
      <c r="D471" s="1158" t="inlineStr">
        <is>
          <t>Vacant</t>
        </is>
      </c>
      <c r="E471" s="1199" t="inlineStr">
        <is>
          <t>Technology Manager - Cloud, Network &amp; Infrastructure Operations</t>
        </is>
      </c>
      <c r="F471" s="1157" t="inlineStr">
        <is>
          <t>TDD Group Functions</t>
        </is>
      </c>
      <c r="G471" s="1158" t="inlineStr">
        <is>
          <t>TDD &amp; Engineering</t>
        </is>
      </c>
      <c r="H471" s="1158" t="inlineStr">
        <is>
          <t>Cloud, Network &amp; Infra</t>
        </is>
      </c>
      <c r="I471" s="1156" t="inlineStr">
        <is>
          <t>TDD</t>
        </is>
      </c>
      <c r="J471" s="1158" t="inlineStr">
        <is>
          <t>TDD</t>
        </is>
      </c>
      <c r="K471" s="1158" t="inlineStr">
        <is>
          <t>Cloud, Network &amp; Infra Ops</t>
        </is>
      </c>
      <c r="L471" s="1158" t="n"/>
      <c r="M471" s="1183" t="inlineStr">
        <is>
          <t>Australia</t>
        </is>
      </c>
      <c r="N471" s="1160" t="inlineStr">
        <is>
          <t>CIC</t>
        </is>
      </c>
      <c r="O471" s="1160" t="n">
        <v>1</v>
      </c>
      <c r="P471" s="1160" t="n"/>
      <c r="Q471" s="1160" t="inlineStr">
        <is>
          <t>Permanent - Full Time</t>
        </is>
      </c>
      <c r="R471" s="1162" t="n"/>
      <c r="S471" s="1162" t="n"/>
      <c r="T471" s="1162" t="n">
        <v>184640</v>
      </c>
      <c r="U471" s="1174" t="n">
        <v>184640</v>
      </c>
      <c r="V471" s="1166" t="n">
        <v>0.12</v>
      </c>
      <c r="W471" s="1170" t="n">
        <v>0.055</v>
      </c>
      <c r="X471" s="1170" t="n">
        <v>0.12</v>
      </c>
      <c r="Y471" s="1171" t="n"/>
      <c r="Z471" s="1170" t="n">
        <v>0.04</v>
      </c>
      <c r="AA471" s="1168">
        <f>IF(TRIM($B471)="","",IF(N($AU471)&gt;0,$AU471,IF(N($S471)&gt;0,$S471*Lists!$AG$15*(1+N($Z471)),N($U471)*(1+N($V471)+N($W471)+N($X471)+N($Z471))+N($Y471))))</f>
        <v>246494.4</v>
      </c>
      <c r="AB471" s="1238" t="n"/>
      <c r="AC471" s="1238" t="n"/>
      <c r="AD471" s="1238" t="n"/>
      <c r="AE471" s="1238" t="n"/>
      <c r="AF471" s="1238" t="n"/>
      <c r="AG471" s="1238" t="n"/>
      <c r="AH471" s="1238" t="n"/>
      <c r="AJ471" s="865" t="str">
        <f>IF(TRIM($B471)="","",IF(IFERROR(INDEX(Lists!$AO$2:$AO$11,MATCH(ROW(),Lists!$AN$2:$AN$11,0)),"")&lt;&gt;"",IFERROR(INDEX(Lists!$AO$2:$AO$11,MATCH(ROW(),Lists!$AN$2:$AN$11,0)),""),IFERROR(INDEX(Lists!$U:$U,MATCH(TRIM($I471),Lists!$T:$T,0)),TRIM($I471))))</f>
        <v>TDD Group Functions</v>
      </c>
      <c r="AK471" s="865" t="str">
        <f>IF(ISNUMBER(SEARCH("vacant",$B471)),"Vacant","Filled")</f>
        <v>Filled</v>
      </c>
      <c r="AL471" s="865" t="str">
        <f>IF($M471="NZ","NZ","AU")</f>
        <v>AU</v>
      </c>
      <c r="AM471" s="865">
        <f>COUNTIF($AJ$2:$AJ471,$AJ471)</f>
        <v>8</v>
      </c>
      <c r="AN471" s="865" t="str">
        <f>$AJ471&amp;"|"&amp;$AM471</f>
        <v>TDD Group Functions|8</v>
      </c>
      <c r="AP471" s="865" t="str">
        <f>IF(TRIM($B471)="","",IF($AQ471=1,"Leadership",IFERROR(INDEX(Lists!$X:$X,MATCH(TRIM($K471),Lists!$W:$W,0)),IF(OR(TRIM($K471)="",LOWER(TRIM($K471))="na"),IF(TRIM($G471)="","Unassigned",TRIM($G471)),TRIM($K471)))))</f>
        <v>Cloud, Network &amp; Infra Ops</v>
      </c>
      <c r="AQ471" s="865" t="b">
        <f>IF(TRIM($B471)="","",--OR(TRIM($K471)="Leadership",TRIM($J471)="Leadership"))</f>
        <v>0</v>
      </c>
      <c r="AR471" s="1136" t="str">
        <f>IF(TRIM($B471)="","",IF(IFERROR(INDEX(Lists!$AQ$2:$AQ$11,MATCH(ROW(),Lists!$AN$2:$AN$11,0)),"")&lt;&gt;"",IFERROR(INDEX(Lists!$AQ$2:$AQ$11,MATCH(ROW(),Lists!$AN$2:$AN$11,0)),""),IF(ISNUMBER(SEARCH("head of ",$C471)),"Head of Technology",IF(ISNUMBER(SEARCH("TDD BP",$C471)),"Business Partner",IF(OR(ISNUMBER(SEARCH("domain architect",$C471)),ISNUMBER(SEARCH("enterprise architect",$C471))),"Domain Architect",IF(ISNUMBER(SEARCH("delivery man",$C471)),"Delivery Manager",IF(OR(ISNUMBER(SEARCH("technology manager",$C471)),ISNUMBER(SEARCH("technology manger",$C471)),ISNUMBER(SEARCH("tech manager",$C471))),"Technology Manager","Squad")))))))</f>
        <v>Squad</v>
      </c>
      <c r="AS471" s="1136" t="str">
        <f>IF(TRIM($B471)="","",IFERROR(INDEX(Lists!$AA:$AA,MATCH($AP471,Lists!$Z:$Z,0)),$AP471))</f>
        <v>Cloud, Network &amp; Infra Ops</v>
      </c>
      <c r="AT471" s="1136" t="str">
        <f>IF(TRIM($B471)="","",IF(IFERROR(INDEX(Lists!$AP$2:$AP$11,MATCH(ROW(),Lists!$AN$2:$AN$11,0)),"")&lt;&gt;"",IFERROR(INDEX(Lists!$AP$2:$AP$11,MATCH(ROW(),Lists!$AN$2:$AN$11,0)),""),IF(OR(LEFT($AJ471,3)="COE",$AJ471="EGI"),$AP471,IF($AR471&lt;&gt;"Squad",$AR471,$AP471))))</f>
        <v>Cloud, Network &amp; Infra Ops</v>
      </c>
    </row>
    <row r="472" ht="18" customHeight="1" s="866">
      <c r="A472" s="1155" t="n">
        <v>106117</v>
      </c>
      <c r="B472" s="1156" t="inlineStr">
        <is>
          <t>Muhammad Abubaker</t>
        </is>
      </c>
      <c r="C472" s="1156" t="inlineStr">
        <is>
          <t>Network Operations Engineer</t>
        </is>
      </c>
      <c r="D472" s="1158" t="inlineStr">
        <is>
          <t>John McCormack</t>
        </is>
      </c>
      <c r="E472" s="1199" t="inlineStr">
        <is>
          <t>Manager - Infrastructure Operations</t>
        </is>
      </c>
      <c r="F472" s="1157" t="inlineStr">
        <is>
          <t>TDD Group Functions</t>
        </is>
      </c>
      <c r="G472" s="1158" t="inlineStr">
        <is>
          <t>TDD &amp; Engineering</t>
        </is>
      </c>
      <c r="H472" s="1158" t="inlineStr">
        <is>
          <t>Cloud, Network &amp; Infra</t>
        </is>
      </c>
      <c r="I472" s="1156" t="inlineStr">
        <is>
          <t>TDD</t>
        </is>
      </c>
      <c r="J472" s="1158" t="inlineStr">
        <is>
          <t>TDD</t>
        </is>
      </c>
      <c r="K472" s="1158" t="inlineStr">
        <is>
          <t>Cloud, Network &amp; Infra Ops</t>
        </is>
      </c>
      <c r="L472" s="1158" t="n"/>
      <c r="M472" s="1183" t="inlineStr">
        <is>
          <t>Australia</t>
        </is>
      </c>
      <c r="N472" s="1160" t="inlineStr">
        <is>
          <t>CIB</t>
        </is>
      </c>
      <c r="O472" s="1160" t="n">
        <v>1</v>
      </c>
      <c r="P472" s="1160" t="n"/>
      <c r="Q472" s="1160" t="inlineStr">
        <is>
          <t>Permanent - Full Time</t>
        </is>
      </c>
      <c r="R472" s="1162" t="n"/>
      <c r="S472" s="1162" t="n"/>
      <c r="T472" s="1162" t="n">
        <v>163040</v>
      </c>
      <c r="U472" s="1174" t="n">
        <v>163040</v>
      </c>
      <c r="V472" s="1166" t="n">
        <v>0.12</v>
      </c>
      <c r="W472" s="1170" t="n">
        <v>0.055</v>
      </c>
      <c r="X472" s="1170" t="n">
        <v>0.12</v>
      </c>
      <c r="Y472" s="1171" t="n"/>
      <c r="Z472" s="1170" t="n">
        <v>0.04</v>
      </c>
      <c r="AA472" s="1168">
        <f>IF(TRIM($B472)="","",IF(N($AU472)&gt;0,$AU472,IF(N($S472)&gt;0,$S472*Lists!$AG$15*(1+N($Z472)),N($U472)*(1+N($V472)+N($W472)+N($X472)+N($Z472))+N($Y472))))</f>
        <v>217658.4</v>
      </c>
      <c r="AB472" s="1238" t="n"/>
      <c r="AC472" s="1238" t="n"/>
      <c r="AD472" s="1238" t="n"/>
      <c r="AE472" s="1238" t="n"/>
      <c r="AF472" s="1238" t="n"/>
      <c r="AG472" s="1238" t="n"/>
      <c r="AH472" s="1238" t="n"/>
      <c r="AJ472" s="865" t="str">
        <f>IF(TRIM($B472)="","",IF(IFERROR(INDEX(Lists!$AO$2:$AO$11,MATCH(ROW(),Lists!$AN$2:$AN$11,0)),"")&lt;&gt;"",IFERROR(INDEX(Lists!$AO$2:$AO$11,MATCH(ROW(),Lists!$AN$2:$AN$11,0)),""),IFERROR(INDEX(Lists!$U:$U,MATCH(TRIM($I472),Lists!$T:$T,0)),TRIM($I472))))</f>
        <v>TDD Group Functions</v>
      </c>
      <c r="AK472" s="865" t="str">
        <f>IF(ISNUMBER(SEARCH("vacant",$B472)),"Vacant","Filled")</f>
        <v>Filled</v>
      </c>
      <c r="AL472" s="865" t="str">
        <f>IF($M472="NZ","NZ","AU")</f>
        <v>AU</v>
      </c>
      <c r="AM472" s="865">
        <f>COUNTIF($AJ$2:$AJ472,$AJ472)</f>
        <v>9</v>
      </c>
      <c r="AN472" s="865" t="str">
        <f>$AJ472&amp;"|"&amp;$AM472</f>
        <v>TDD Group Functions|9</v>
      </c>
      <c r="AP472" s="865" t="str">
        <f>IF(TRIM($B472)="","",IF($AQ472=1,"Leadership",IFERROR(INDEX(Lists!$X:$X,MATCH(TRIM($K472),Lists!$W:$W,0)),IF(OR(TRIM($K472)="",LOWER(TRIM($K472))="na"),IF(TRIM($G472)="","Unassigned",TRIM($G472)),TRIM($K472)))))</f>
        <v>Cloud, Network &amp; Infra Ops</v>
      </c>
      <c r="AQ472" s="865" t="b">
        <f>IF(TRIM($B472)="","",--OR(TRIM($K472)="Leadership",TRIM($J472)="Leadership"))</f>
        <v>0</v>
      </c>
      <c r="AR472" s="1136" t="str">
        <f>IF(TRIM($B472)="","",IF(IFERROR(INDEX(Lists!$AQ$2:$AQ$11,MATCH(ROW(),Lists!$AN$2:$AN$11,0)),"")&lt;&gt;"",IFERROR(INDEX(Lists!$AQ$2:$AQ$11,MATCH(ROW(),Lists!$AN$2:$AN$11,0)),""),IF(ISNUMBER(SEARCH("head of ",$C472)),"Head of Technology",IF(ISNUMBER(SEARCH("TDD BP",$C472)),"Business Partner",IF(OR(ISNUMBER(SEARCH("domain architect",$C472)),ISNUMBER(SEARCH("enterprise architect",$C472))),"Domain Architect",IF(ISNUMBER(SEARCH("delivery man",$C472)),"Delivery Manager",IF(OR(ISNUMBER(SEARCH("technology manager",$C472)),ISNUMBER(SEARCH("technology manger",$C472)),ISNUMBER(SEARCH("tech manager",$C472))),"Technology Manager","Squad")))))))</f>
        <v>Squad</v>
      </c>
      <c r="AS472" s="1136" t="str">
        <f>IF(TRIM($B472)="","",IFERROR(INDEX(Lists!$AA:$AA,MATCH($AP472,Lists!$Z:$Z,0)),$AP472))</f>
        <v>Cloud, Network &amp; Infra Ops</v>
      </c>
      <c r="AT472" s="1136" t="str">
        <f>IF(TRIM($B472)="","",IF(IFERROR(INDEX(Lists!$AP$2:$AP$11,MATCH(ROW(),Lists!$AN$2:$AN$11,0)),"")&lt;&gt;"",IFERROR(INDEX(Lists!$AP$2:$AP$11,MATCH(ROW(),Lists!$AN$2:$AN$11,0)),""),IF(OR(LEFT($AJ472,3)="COE",$AJ472="EGI"),$AP472,IF($AR472&lt;&gt;"Squad",$AR472,$AP472))))</f>
        <v>Cloud, Network &amp; Infra Ops</v>
      </c>
    </row>
    <row r="473" ht="18" customHeight="1" s="866">
      <c r="A473" s="1155" t="n"/>
      <c r="B473" s="1291" t="inlineStr">
        <is>
          <t>Ring fenced selection</t>
        </is>
      </c>
      <c r="C473" s="1199" t="inlineStr">
        <is>
          <t>Cloud Solutions Architect</t>
        </is>
      </c>
      <c r="D473" s="1158" t="inlineStr">
        <is>
          <t>Vacant</t>
        </is>
      </c>
      <c r="E473" s="1199" t="inlineStr">
        <is>
          <t>Technology Manager - Cloud, Network &amp; Infrastructure Operations</t>
        </is>
      </c>
      <c r="F473" s="1157" t="inlineStr">
        <is>
          <t>TDD Group Functions</t>
        </is>
      </c>
      <c r="G473" s="1158" t="inlineStr">
        <is>
          <t>TDD &amp; Engineering</t>
        </is>
      </c>
      <c r="H473" s="1158" t="inlineStr">
        <is>
          <t>Cloud, Network &amp; Infra</t>
        </is>
      </c>
      <c r="I473" s="1156" t="inlineStr">
        <is>
          <t>TDD</t>
        </is>
      </c>
      <c r="J473" s="1158" t="inlineStr">
        <is>
          <t>TDD</t>
        </is>
      </c>
      <c r="K473" s="1158" t="inlineStr">
        <is>
          <t>Cloud, Network &amp; Infra Ops</t>
        </is>
      </c>
      <c r="L473" s="1158" t="n"/>
      <c r="M473" s="1183" t="inlineStr">
        <is>
          <t>Australia</t>
        </is>
      </c>
      <c r="N473" s="1160" t="inlineStr">
        <is>
          <t>CIC</t>
        </is>
      </c>
      <c r="O473" s="1160" t="n">
        <v>1</v>
      </c>
      <c r="P473" s="1160" t="n"/>
      <c r="Q473" s="1160" t="inlineStr">
        <is>
          <t>v</t>
        </is>
      </c>
      <c r="R473" s="1172" t="n"/>
      <c r="S473" s="1162" t="n"/>
      <c r="T473" s="1162" t="n">
        <v>200000</v>
      </c>
      <c r="U473" s="1174" t="n">
        <v>200000</v>
      </c>
      <c r="V473" s="1166" t="n">
        <v>0.12</v>
      </c>
      <c r="W473" s="1170" t="n">
        <v>0.055</v>
      </c>
      <c r="X473" s="1170" t="n">
        <v>0.12</v>
      </c>
      <c r="Y473" s="1171" t="n"/>
      <c r="Z473" s="1170" t="n">
        <v>0.04</v>
      </c>
      <c r="AA473" s="1168">
        <f>IF(TRIM($B473)="","",IF(N($AU473)&gt;0,$AU473,IF(N($S473)&gt;0,$S473*Lists!$AG$15*(1+N($Z473)),N($U473)*(1+N($V473)+N($W473)+N($X473)+N($Z473))+N($Y473))))</f>
        <v>267000</v>
      </c>
      <c r="AB473" s="1238" t="n"/>
      <c r="AC473" s="1238" t="n"/>
      <c r="AD473" s="1238" t="n"/>
      <c r="AE473" s="1238" t="n"/>
      <c r="AF473" s="1238" t="n"/>
      <c r="AG473" s="1238" t="n"/>
      <c r="AH473" s="1238" t="n"/>
      <c r="AJ473" s="865" t="str">
        <f>IF(TRIM($B473)="","",IF(IFERROR(INDEX(Lists!$AO$2:$AO$11,MATCH(ROW(),Lists!$AN$2:$AN$11,0)),"")&lt;&gt;"",IFERROR(INDEX(Lists!$AO$2:$AO$11,MATCH(ROW(),Lists!$AN$2:$AN$11,0)),""),IFERROR(INDEX(Lists!$U:$U,MATCH(TRIM($I473),Lists!$T:$T,0)),TRIM($I473))))</f>
        <v>TDD Group Functions</v>
      </c>
      <c r="AK473" s="865" t="str">
        <f>IF(ISNUMBER(SEARCH("vacant",$B473)),"Vacant","Filled")</f>
        <v>Filled</v>
      </c>
      <c r="AL473" s="865" t="str">
        <f>IF($M473="NZ","NZ","AU")</f>
        <v>AU</v>
      </c>
      <c r="AM473" s="865">
        <f>COUNTIF($AJ$2:$AJ473,$AJ473)</f>
        <v>10</v>
      </c>
      <c r="AN473" s="865" t="str">
        <f>$AJ473&amp;"|"&amp;$AM473</f>
        <v>TDD Group Functions|10</v>
      </c>
      <c r="AP473" s="865" t="str">
        <f>IF(TRIM($B473)="","",IF($AQ473=1,"Leadership",IFERROR(INDEX(Lists!$X:$X,MATCH(TRIM($K473),Lists!$W:$W,0)),IF(OR(TRIM($K473)="",LOWER(TRIM($K473))="na"),IF(TRIM($G473)="","Unassigned",TRIM($G473)),TRIM($K473)))))</f>
        <v>Cloud, Network &amp; Infra Ops</v>
      </c>
      <c r="AQ473" s="865" t="b">
        <f>IF(TRIM($B473)="","",--OR(TRIM($K473)="Leadership",TRIM($J473)="Leadership"))</f>
        <v>0</v>
      </c>
      <c r="AR473" s="1136" t="str">
        <f>IF(TRIM($B473)="","",IF(IFERROR(INDEX(Lists!$AQ$2:$AQ$11,MATCH(ROW(),Lists!$AN$2:$AN$11,0)),"")&lt;&gt;"",IFERROR(INDEX(Lists!$AQ$2:$AQ$11,MATCH(ROW(),Lists!$AN$2:$AN$11,0)),""),IF(ISNUMBER(SEARCH("head of ",$C473)),"Head of Technology",IF(ISNUMBER(SEARCH("TDD BP",$C473)),"Business Partner",IF(OR(ISNUMBER(SEARCH("domain architect",$C473)),ISNUMBER(SEARCH("enterprise architect",$C473))),"Domain Architect",IF(ISNUMBER(SEARCH("delivery man",$C473)),"Delivery Manager",IF(OR(ISNUMBER(SEARCH("technology manager",$C473)),ISNUMBER(SEARCH("technology manger",$C473)),ISNUMBER(SEARCH("tech manager",$C473))),"Technology Manager","Squad")))))))</f>
        <v>Squad</v>
      </c>
      <c r="AS473" s="1136" t="str">
        <f>IF(TRIM($B473)="","",IFERROR(INDEX(Lists!$AA:$AA,MATCH($AP473,Lists!$Z:$Z,0)),$AP473))</f>
        <v>Cloud, Network &amp; Infra Ops</v>
      </c>
      <c r="AT473" s="1136" t="str">
        <f>IF(TRIM($B473)="","",IF(IFERROR(INDEX(Lists!$AP$2:$AP$11,MATCH(ROW(),Lists!$AN$2:$AN$11,0)),"")&lt;&gt;"",IFERROR(INDEX(Lists!$AP$2:$AP$11,MATCH(ROW(),Lists!$AN$2:$AN$11,0)),""),IF(OR(LEFT($AJ473,3)="COE",$AJ473="EGI"),$AP473,IF($AR473&lt;&gt;"Squad",$AR473,$AP473))))</f>
        <v>Cloud, Network &amp; Infra Ops</v>
      </c>
    </row>
    <row r="474" ht="18" customHeight="1" s="866">
      <c r="A474" s="1155" t="n"/>
      <c r="B474" s="1291" t="inlineStr">
        <is>
          <t>Ring fenced selection</t>
        </is>
      </c>
      <c r="C474" s="1199" t="inlineStr">
        <is>
          <t>Cloud Solutions Architect</t>
        </is>
      </c>
      <c r="D474" s="1158" t="inlineStr">
        <is>
          <t>Vacant</t>
        </is>
      </c>
      <c r="E474" s="1199" t="inlineStr">
        <is>
          <t>Technology Manager - Cloud, Network &amp; Infrastructure Operations</t>
        </is>
      </c>
      <c r="F474" s="1157" t="inlineStr">
        <is>
          <t>TDD Group Functions</t>
        </is>
      </c>
      <c r="G474" s="1158" t="inlineStr">
        <is>
          <t>TDD &amp; Engineering</t>
        </is>
      </c>
      <c r="H474" s="1158" t="inlineStr">
        <is>
          <t>Cloud, Network &amp; Infra</t>
        </is>
      </c>
      <c r="I474" s="1156" t="inlineStr">
        <is>
          <t>TDD</t>
        </is>
      </c>
      <c r="J474" s="1158" t="inlineStr">
        <is>
          <t>TDD</t>
        </is>
      </c>
      <c r="K474" s="1158" t="inlineStr">
        <is>
          <t>Cloud, Network &amp; Infra Ops</t>
        </is>
      </c>
      <c r="L474" s="1158" t="n"/>
      <c r="M474" s="1183" t="inlineStr">
        <is>
          <t>Australia</t>
        </is>
      </c>
      <c r="N474" s="1160" t="inlineStr">
        <is>
          <t>CIC</t>
        </is>
      </c>
      <c r="O474" s="1160" t="n">
        <v>1</v>
      </c>
      <c r="P474" s="1160" t="n"/>
      <c r="Q474" s="1160" t="inlineStr">
        <is>
          <t>v</t>
        </is>
      </c>
      <c r="R474" s="1172" t="n"/>
      <c r="S474" s="1162" t="n"/>
      <c r="T474" s="1162" t="n">
        <v>200000</v>
      </c>
      <c r="U474" s="1174" t="n">
        <v>200000</v>
      </c>
      <c r="V474" s="1166" t="n">
        <v>0.12</v>
      </c>
      <c r="W474" s="1170" t="n">
        <v>0.055</v>
      </c>
      <c r="X474" s="1170" t="n">
        <v>0.12</v>
      </c>
      <c r="Y474" s="1171" t="n"/>
      <c r="Z474" s="1170" t="n">
        <v>0.04</v>
      </c>
      <c r="AA474" s="1168">
        <f>IF(TRIM($B474)="","",IF(N($AU474)&gt;0,$AU474,IF(N($S474)&gt;0,$S474*Lists!$AG$15*(1+N($Z474)),N($U474)*(1+N($V474)+N($W474)+N($X474)+N($Z474))+N($Y474))))</f>
        <v>267000</v>
      </c>
      <c r="AB474" s="1238" t="n"/>
      <c r="AC474" s="1238" t="n"/>
      <c r="AD474" s="1238" t="n"/>
      <c r="AE474" s="1238" t="n"/>
      <c r="AF474" s="1238" t="n"/>
      <c r="AG474" s="1238" t="n"/>
      <c r="AH474" s="1238" t="n"/>
      <c r="AJ474" s="865" t="str">
        <f>IF(TRIM($B474)="","",IF(IFERROR(INDEX(Lists!$AO$2:$AO$11,MATCH(ROW(),Lists!$AN$2:$AN$11,0)),"")&lt;&gt;"",IFERROR(INDEX(Lists!$AO$2:$AO$11,MATCH(ROW(),Lists!$AN$2:$AN$11,0)),""),IFERROR(INDEX(Lists!$U:$U,MATCH(TRIM($I474),Lists!$T:$T,0)),TRIM($I474))))</f>
        <v>TDD Group Functions</v>
      </c>
      <c r="AK474" s="865" t="str">
        <f>IF(ISNUMBER(SEARCH("vacant",$B474)),"Vacant","Filled")</f>
        <v>Filled</v>
      </c>
      <c r="AL474" s="865" t="str">
        <f>IF($M474="NZ","NZ","AU")</f>
        <v>AU</v>
      </c>
      <c r="AM474" s="865">
        <f>COUNTIF($AJ$2:$AJ474,$AJ474)</f>
        <v>11</v>
      </c>
      <c r="AN474" s="865" t="str">
        <f>$AJ474&amp;"|"&amp;$AM474</f>
        <v>TDD Group Functions|11</v>
      </c>
      <c r="AP474" s="865" t="str">
        <f>IF(TRIM($B474)="","",IF($AQ474=1,"Leadership",IFERROR(INDEX(Lists!$X:$X,MATCH(TRIM($K474),Lists!$W:$W,0)),IF(OR(TRIM($K474)="",LOWER(TRIM($K474))="na"),IF(TRIM($G474)="","Unassigned",TRIM($G474)),TRIM($K474)))))</f>
        <v>Cloud, Network &amp; Infra Ops</v>
      </c>
      <c r="AQ474" s="865" t="b">
        <f>IF(TRIM($B474)="","",--OR(TRIM($K474)="Leadership",TRIM($J474)="Leadership"))</f>
        <v>0</v>
      </c>
      <c r="AR474" s="1136" t="str">
        <f>IF(TRIM($B474)="","",IF(IFERROR(INDEX(Lists!$AQ$2:$AQ$11,MATCH(ROW(),Lists!$AN$2:$AN$11,0)),"")&lt;&gt;"",IFERROR(INDEX(Lists!$AQ$2:$AQ$11,MATCH(ROW(),Lists!$AN$2:$AN$11,0)),""),IF(ISNUMBER(SEARCH("head of ",$C474)),"Head of Technology",IF(ISNUMBER(SEARCH("TDD BP",$C474)),"Business Partner",IF(OR(ISNUMBER(SEARCH("domain architect",$C474)),ISNUMBER(SEARCH("enterprise architect",$C474))),"Domain Architect",IF(ISNUMBER(SEARCH("delivery man",$C474)),"Delivery Manager",IF(OR(ISNUMBER(SEARCH("technology manager",$C474)),ISNUMBER(SEARCH("technology manger",$C474)),ISNUMBER(SEARCH("tech manager",$C474))),"Technology Manager","Squad")))))))</f>
        <v>Squad</v>
      </c>
      <c r="AS474" s="1136" t="str">
        <f>IF(TRIM($B474)="","",IFERROR(INDEX(Lists!$AA:$AA,MATCH($AP474,Lists!$Z:$Z,0)),$AP474))</f>
        <v>Cloud, Network &amp; Infra Ops</v>
      </c>
      <c r="AT474" s="1136" t="str">
        <f>IF(TRIM($B474)="","",IF(IFERROR(INDEX(Lists!$AP$2:$AP$11,MATCH(ROW(),Lists!$AN$2:$AN$11,0)),"")&lt;&gt;"",IFERROR(INDEX(Lists!$AP$2:$AP$11,MATCH(ROW(),Lists!$AN$2:$AN$11,0)),""),IF(OR(LEFT($AJ474,3)="COE",$AJ474="EGI"),$AP474,IF($AR474&lt;&gt;"Squad",$AR474,$AP474))))</f>
        <v>Cloud, Network &amp; Infra Ops</v>
      </c>
    </row>
    <row r="475" ht="18" customHeight="1" s="866">
      <c r="A475" s="1155" t="n"/>
      <c r="B475" s="1291" t="inlineStr">
        <is>
          <t>Ring fenced selection</t>
        </is>
      </c>
      <c r="C475" s="1199" t="inlineStr">
        <is>
          <t>Cloud Solutions Architect</t>
        </is>
      </c>
      <c r="D475" s="1158" t="inlineStr">
        <is>
          <t>Vacant</t>
        </is>
      </c>
      <c r="E475" s="1199" t="inlineStr">
        <is>
          <t>Technology Manager - Cloud, Network &amp; Infrastructure Operations</t>
        </is>
      </c>
      <c r="F475" s="1157" t="inlineStr">
        <is>
          <t>TDD Group Functions</t>
        </is>
      </c>
      <c r="G475" s="1158" t="inlineStr">
        <is>
          <t>TDD &amp; Engineering</t>
        </is>
      </c>
      <c r="H475" s="1158" t="inlineStr">
        <is>
          <t>Cloud, Network &amp; Infra</t>
        </is>
      </c>
      <c r="I475" s="1156" t="inlineStr">
        <is>
          <t>TDD</t>
        </is>
      </c>
      <c r="J475" s="1158" t="inlineStr">
        <is>
          <t>TDD</t>
        </is>
      </c>
      <c r="K475" s="1158" t="inlineStr">
        <is>
          <t>Cloud, Network &amp; Infra Ops</t>
        </is>
      </c>
      <c r="L475" s="1158" t="n"/>
      <c r="M475" s="1183" t="inlineStr">
        <is>
          <t>Australia</t>
        </is>
      </c>
      <c r="N475" s="1160" t="inlineStr">
        <is>
          <t>CIC</t>
        </is>
      </c>
      <c r="O475" s="1160" t="n">
        <v>1</v>
      </c>
      <c r="P475" s="1160" t="n"/>
      <c r="Q475" s="1160" t="inlineStr">
        <is>
          <t>v</t>
        </is>
      </c>
      <c r="R475" s="1172" t="n"/>
      <c r="S475" s="1162" t="n"/>
      <c r="T475" s="1162" t="n">
        <v>200000</v>
      </c>
      <c r="U475" s="1174" t="n">
        <v>200000</v>
      </c>
      <c r="V475" s="1166" t="n">
        <v>0.12</v>
      </c>
      <c r="W475" s="1170" t="n">
        <v>0.055</v>
      </c>
      <c r="X475" s="1170" t="n">
        <v>0.12</v>
      </c>
      <c r="Y475" s="1171" t="n"/>
      <c r="Z475" s="1170" t="n">
        <v>0.04</v>
      </c>
      <c r="AA475" s="1168">
        <f>IF(TRIM($B475)="","",IF(N($AU475)&gt;0,$AU475,IF(N($S475)&gt;0,$S475*Lists!$AG$15*(1+N($Z475)),N($U475)*(1+N($V475)+N($W475)+N($X475)+N($Z475))+N($Y475))))</f>
        <v>267000</v>
      </c>
      <c r="AB475" s="1238" t="n"/>
      <c r="AC475" s="1238" t="n"/>
      <c r="AD475" s="1238" t="n"/>
      <c r="AE475" s="1238" t="n"/>
      <c r="AF475" s="1238" t="n"/>
      <c r="AG475" s="1238" t="n"/>
      <c r="AH475" s="1238" t="n"/>
      <c r="AJ475" s="865" t="str">
        <f>IF(TRIM($B475)="","",IF(IFERROR(INDEX(Lists!$AO$2:$AO$11,MATCH(ROW(),Lists!$AN$2:$AN$11,0)),"")&lt;&gt;"",IFERROR(INDEX(Lists!$AO$2:$AO$11,MATCH(ROW(),Lists!$AN$2:$AN$11,0)),""),IFERROR(INDEX(Lists!$U:$U,MATCH(TRIM($I475),Lists!$T:$T,0)),TRIM($I475))))</f>
        <v>TDD Group Functions</v>
      </c>
      <c r="AK475" s="865" t="str">
        <f>IF(ISNUMBER(SEARCH("vacant",$B475)),"Vacant","Filled")</f>
        <v>Filled</v>
      </c>
      <c r="AL475" s="865" t="str">
        <f>IF($M475="NZ","NZ","AU")</f>
        <v>AU</v>
      </c>
      <c r="AM475" s="865">
        <f>COUNTIF($AJ$2:$AJ475,$AJ475)</f>
        <v>12</v>
      </c>
      <c r="AN475" s="865" t="str">
        <f>$AJ475&amp;"|"&amp;$AM475</f>
        <v>TDD Group Functions|12</v>
      </c>
      <c r="AP475" s="865" t="str">
        <f>IF(TRIM($B475)="","",IF($AQ475=1,"Leadership",IFERROR(INDEX(Lists!$X:$X,MATCH(TRIM($K475),Lists!$W:$W,0)),IF(OR(TRIM($K475)="",LOWER(TRIM($K475))="na"),IF(TRIM($G475)="","Unassigned",TRIM($G475)),TRIM($K475)))))</f>
        <v>Cloud, Network &amp; Infra Ops</v>
      </c>
      <c r="AQ475" s="865" t="b">
        <f>IF(TRIM($B475)="","",--OR(TRIM($K475)="Leadership",TRIM($J475)="Leadership"))</f>
        <v>0</v>
      </c>
      <c r="AR475" s="1136" t="str">
        <f>IF(TRIM($B475)="","",IF(IFERROR(INDEX(Lists!$AQ$2:$AQ$11,MATCH(ROW(),Lists!$AN$2:$AN$11,0)),"")&lt;&gt;"",IFERROR(INDEX(Lists!$AQ$2:$AQ$11,MATCH(ROW(),Lists!$AN$2:$AN$11,0)),""),IF(ISNUMBER(SEARCH("head of ",$C475)),"Head of Technology",IF(ISNUMBER(SEARCH("TDD BP",$C475)),"Business Partner",IF(OR(ISNUMBER(SEARCH("domain architect",$C475)),ISNUMBER(SEARCH("enterprise architect",$C475))),"Domain Architect",IF(ISNUMBER(SEARCH("delivery man",$C475)),"Delivery Manager",IF(OR(ISNUMBER(SEARCH("technology manager",$C475)),ISNUMBER(SEARCH("technology manger",$C475)),ISNUMBER(SEARCH("tech manager",$C475))),"Technology Manager","Squad")))))))</f>
        <v>Squad</v>
      </c>
      <c r="AS475" s="1136" t="str">
        <f>IF(TRIM($B475)="","",IFERROR(INDEX(Lists!$AA:$AA,MATCH($AP475,Lists!$Z:$Z,0)),$AP475))</f>
        <v>Cloud, Network &amp; Infra Ops</v>
      </c>
      <c r="AT475" s="1136" t="str">
        <f>IF(TRIM($B475)="","",IF(IFERROR(INDEX(Lists!$AP$2:$AP$11,MATCH(ROW(),Lists!$AN$2:$AN$11,0)),"")&lt;&gt;"",IFERROR(INDEX(Lists!$AP$2:$AP$11,MATCH(ROW(),Lists!$AN$2:$AN$11,0)),""),IF(OR(LEFT($AJ475,3)="COE",$AJ475="EGI"),$AP475,IF($AR475&lt;&gt;"Squad",$AR475,$AP475))))</f>
        <v>Cloud, Network &amp; Infra Ops</v>
      </c>
    </row>
    <row r="476" ht="18" customHeight="1" s="866">
      <c r="A476" s="1155" t="n"/>
      <c r="B476" s="1291" t="inlineStr">
        <is>
          <t>Ring fenced selection</t>
        </is>
      </c>
      <c r="C476" s="1199" t="inlineStr">
        <is>
          <t>Cloud Solutions Architect</t>
        </is>
      </c>
      <c r="D476" s="1158" t="inlineStr">
        <is>
          <t>Vacant</t>
        </is>
      </c>
      <c r="E476" s="1199" t="inlineStr">
        <is>
          <t>Technology Manager - Cloud, Network &amp; Infrastructure Operations</t>
        </is>
      </c>
      <c r="F476" s="1157" t="inlineStr">
        <is>
          <t>TDD Group Functions</t>
        </is>
      </c>
      <c r="G476" s="1158" t="inlineStr">
        <is>
          <t>TDD &amp; Engineering</t>
        </is>
      </c>
      <c r="H476" s="1158" t="inlineStr">
        <is>
          <t>Cloud, Network &amp; Infra</t>
        </is>
      </c>
      <c r="I476" s="1156" t="inlineStr">
        <is>
          <t>TDD</t>
        </is>
      </c>
      <c r="J476" s="1158" t="inlineStr">
        <is>
          <t>TDD</t>
        </is>
      </c>
      <c r="K476" s="1158" t="inlineStr">
        <is>
          <t>Cloud, Network &amp; Infra Ops</t>
        </is>
      </c>
      <c r="L476" s="1158" t="n"/>
      <c r="M476" s="1159" t="inlineStr">
        <is>
          <t>Australia</t>
        </is>
      </c>
      <c r="N476" s="1160" t="inlineStr">
        <is>
          <t>CIC</t>
        </is>
      </c>
      <c r="O476" s="1160" t="n">
        <v>1</v>
      </c>
      <c r="P476" s="1160" t="n"/>
      <c r="Q476" s="1160" t="inlineStr">
        <is>
          <t>v</t>
        </is>
      </c>
      <c r="R476" s="1172" t="n"/>
      <c r="S476" s="1162" t="n"/>
      <c r="T476" s="1163" t="n">
        <v>200000</v>
      </c>
      <c r="U476" s="1164" t="n">
        <v>200000</v>
      </c>
      <c r="V476" s="1166" t="n">
        <v>0.12</v>
      </c>
      <c r="W476" s="1170" t="n">
        <v>0.055</v>
      </c>
      <c r="X476" s="1170" t="n">
        <v>0.12</v>
      </c>
      <c r="Y476" s="1171" t="n"/>
      <c r="Z476" s="1170" t="n">
        <v>0.04</v>
      </c>
      <c r="AA476" s="1168">
        <f>IF(TRIM($B476)="","",IF(N($AU476)&gt;0,$AU476,IF(N($S476)&gt;0,$S476*Lists!$AG$15*(1+N($Z476)),N($U476)*(1+N($V476)+N($W476)+N($X476)+N($Z476))+N($Y476))))</f>
        <v>267000</v>
      </c>
      <c r="AB476" s="1238" t="n"/>
      <c r="AC476" s="1238" t="n"/>
      <c r="AH476" s="1238" t="n"/>
      <c r="AJ476" s="865" t="str">
        <f>IF(TRIM($B476)="","",IF(IFERROR(INDEX(Lists!$AO$2:$AO$11,MATCH(ROW(),Lists!$AN$2:$AN$11,0)),"")&lt;&gt;"",IFERROR(INDEX(Lists!$AO$2:$AO$11,MATCH(ROW(),Lists!$AN$2:$AN$11,0)),""),IFERROR(INDEX(Lists!$U:$U,MATCH(TRIM($I476),Lists!$T:$T,0)),TRIM($I476))))</f>
        <v>TDD Group Functions</v>
      </c>
      <c r="AK476" s="865" t="str">
        <f>IF(ISNUMBER(SEARCH("vacant",$B476)),"Vacant","Filled")</f>
        <v>Filled</v>
      </c>
      <c r="AL476" s="865" t="str">
        <f>IF($M476="NZ","NZ","AU")</f>
        <v>AU</v>
      </c>
      <c r="AM476" s="865">
        <f>COUNTIF($AJ$2:$AJ476,$AJ476)</f>
        <v>13</v>
      </c>
      <c r="AN476" s="865" t="str">
        <f>$AJ476&amp;"|"&amp;$AM476</f>
        <v>TDD Group Functions|13</v>
      </c>
      <c r="AP476" s="865" t="str">
        <f>IF(TRIM($B476)="","",IF($AQ476=1,"Leadership",IFERROR(INDEX(Lists!$X:$X,MATCH(TRIM($K476),Lists!$W:$W,0)),IF(OR(TRIM($K476)="",LOWER(TRIM($K476))="na"),IF(TRIM($G476)="","Unassigned",TRIM($G476)),TRIM($K476)))))</f>
        <v>Cloud, Network &amp; Infra Ops</v>
      </c>
      <c r="AQ476" s="865" t="b">
        <f>IF(TRIM($B476)="","",--OR(TRIM($K476)="Leadership",TRIM($J476)="Leadership"))</f>
        <v>0</v>
      </c>
      <c r="AR476" s="1136" t="str">
        <f>IF(TRIM($B476)="","",IF(IFERROR(INDEX(Lists!$AQ$2:$AQ$11,MATCH(ROW(),Lists!$AN$2:$AN$11,0)),"")&lt;&gt;"",IFERROR(INDEX(Lists!$AQ$2:$AQ$11,MATCH(ROW(),Lists!$AN$2:$AN$11,0)),""),IF(ISNUMBER(SEARCH("head of ",$C476)),"Head of Technology",IF(ISNUMBER(SEARCH("TDD BP",$C476)),"Business Partner",IF(OR(ISNUMBER(SEARCH("domain architect",$C476)),ISNUMBER(SEARCH("enterprise architect",$C476))),"Domain Architect",IF(ISNUMBER(SEARCH("delivery man",$C476)),"Delivery Manager",IF(OR(ISNUMBER(SEARCH("technology manager",$C476)),ISNUMBER(SEARCH("technology manger",$C476)),ISNUMBER(SEARCH("tech manager",$C476))),"Technology Manager","Squad")))))))</f>
        <v>Squad</v>
      </c>
      <c r="AS476" s="1136" t="str">
        <f>IF(TRIM($B476)="","",IFERROR(INDEX(Lists!$AA:$AA,MATCH($AP476,Lists!$Z:$Z,0)),$AP476))</f>
        <v>Cloud, Network &amp; Infra Ops</v>
      </c>
      <c r="AT476" s="1136" t="str">
        <f>IF(TRIM($B476)="","",IF(IFERROR(INDEX(Lists!$AP$2:$AP$11,MATCH(ROW(),Lists!$AN$2:$AN$11,0)),"")&lt;&gt;"",IFERROR(INDEX(Lists!$AP$2:$AP$11,MATCH(ROW(),Lists!$AN$2:$AN$11,0)),""),IF(OR(LEFT($AJ476,3)="COE",$AJ476="EGI"),$AP476,IF($AR476&lt;&gt;"Squad",$AR476,$AP476))))</f>
        <v>Cloud, Network &amp; Infra Ops</v>
      </c>
    </row>
    <row r="477" ht="18" customHeight="1" s="866">
      <c r="A477" s="1155" t="n">
        <v>97625</v>
      </c>
      <c r="B477" s="1156" t="inlineStr">
        <is>
          <t>Satish Chowdhary</t>
        </is>
      </c>
      <c r="C477" s="1156" t="inlineStr">
        <is>
          <t>Nework Architect</t>
        </is>
      </c>
      <c r="D477" s="1158" t="inlineStr">
        <is>
          <t>Vacant</t>
        </is>
      </c>
      <c r="E477" s="1199" t="inlineStr">
        <is>
          <t>Technology Manager - Cloud, Network &amp; Infrastructure Operations</t>
        </is>
      </c>
      <c r="F477" s="1157" t="inlineStr">
        <is>
          <t>TDD Group Functions</t>
        </is>
      </c>
      <c r="G477" s="1158" t="inlineStr">
        <is>
          <t>TDD &amp; Engineering</t>
        </is>
      </c>
      <c r="H477" s="1158" t="inlineStr">
        <is>
          <t>Cloud, Network &amp; Infra</t>
        </is>
      </c>
      <c r="I477" s="1156" t="inlineStr">
        <is>
          <t>TDD</t>
        </is>
      </c>
      <c r="J477" s="1158" t="inlineStr">
        <is>
          <t>TDD</t>
        </is>
      </c>
      <c r="K477" s="1158" t="inlineStr">
        <is>
          <t>Cloud, Network &amp; Infra Ops</t>
        </is>
      </c>
      <c r="L477" s="1158" t="n"/>
      <c r="M477" s="1159" t="inlineStr">
        <is>
          <t>Australia</t>
        </is>
      </c>
      <c r="N477" s="1160" t="inlineStr">
        <is>
          <t>CIC</t>
        </is>
      </c>
      <c r="O477" s="1160" t="n">
        <v>1</v>
      </c>
      <c r="P477" s="1160" t="n"/>
      <c r="Q477" s="1160" t="inlineStr">
        <is>
          <t>Permanent - Full Time</t>
        </is>
      </c>
      <c r="R477" s="1162" t="n"/>
      <c r="S477" s="1162" t="n"/>
      <c r="T477" s="1163" t="n">
        <v>194100</v>
      </c>
      <c r="U477" s="1164" t="n">
        <v>194100</v>
      </c>
      <c r="V477" s="1166" t="n">
        <v>0.12</v>
      </c>
      <c r="W477" s="1170" t="n">
        <v>0.055</v>
      </c>
      <c r="X477" s="1170" t="n">
        <v>0.12</v>
      </c>
      <c r="Y477" s="1171" t="n"/>
      <c r="Z477" s="1170" t="n">
        <v>0.04</v>
      </c>
      <c r="AA477" s="1168">
        <f>IF(TRIM($B477)="","",IF(N($AU477)&gt;0,$AU477,IF(N($S477)&gt;0,$S477*Lists!$AG$15*(1+N($Z477)),N($U477)*(1+N($V477)+N($W477)+N($X477)+N($Z477))+N($Y477))))</f>
        <v>259123.5</v>
      </c>
      <c r="AB477" s="1238" t="n"/>
      <c r="AC477" s="1238" t="n"/>
      <c r="AH477" s="1238" t="n"/>
      <c r="AJ477" s="865" t="str">
        <f>IF(TRIM($B477)="","",IF(IFERROR(INDEX(Lists!$AO$2:$AO$11,MATCH(ROW(),Lists!$AN$2:$AN$11,0)),"")&lt;&gt;"",IFERROR(INDEX(Lists!$AO$2:$AO$11,MATCH(ROW(),Lists!$AN$2:$AN$11,0)),""),IFERROR(INDEX(Lists!$U:$U,MATCH(TRIM($I477),Lists!$T:$T,0)),TRIM($I477))))</f>
        <v>TDD Group Functions</v>
      </c>
      <c r="AK477" s="865" t="str">
        <f>IF(ISNUMBER(SEARCH("vacant",$B477)),"Vacant","Filled")</f>
        <v>Filled</v>
      </c>
      <c r="AL477" s="865" t="str">
        <f>IF($M477="NZ","NZ","AU")</f>
        <v>AU</v>
      </c>
      <c r="AM477" s="865">
        <f>COUNTIF($AJ$2:$AJ477,$AJ477)</f>
        <v>14</v>
      </c>
      <c r="AN477" s="865" t="str">
        <f>$AJ477&amp;"|"&amp;$AM477</f>
        <v>TDD Group Functions|14</v>
      </c>
      <c r="AP477" s="865" t="str">
        <f>IF(TRIM($B477)="","",IF($AQ477=1,"Leadership",IFERROR(INDEX(Lists!$X:$X,MATCH(TRIM($K477),Lists!$W:$W,0)),IF(OR(TRIM($K477)="",LOWER(TRIM($K477))="na"),IF(TRIM($G477)="","Unassigned",TRIM($G477)),TRIM($K477)))))</f>
        <v>Cloud, Network &amp; Infra Ops</v>
      </c>
      <c r="AQ477" s="865" t="b">
        <f>IF(TRIM($B477)="","",--OR(TRIM($K477)="Leadership",TRIM($J477)="Leadership"))</f>
        <v>0</v>
      </c>
      <c r="AR477" s="1136" t="str">
        <f>IF(TRIM($B477)="","",IF(IFERROR(INDEX(Lists!$AQ$2:$AQ$11,MATCH(ROW(),Lists!$AN$2:$AN$11,0)),"")&lt;&gt;"",IFERROR(INDEX(Lists!$AQ$2:$AQ$11,MATCH(ROW(),Lists!$AN$2:$AN$11,0)),""),IF(ISNUMBER(SEARCH("head of ",$C477)),"Head of Technology",IF(ISNUMBER(SEARCH("TDD BP",$C477)),"Business Partner",IF(OR(ISNUMBER(SEARCH("domain architect",$C477)),ISNUMBER(SEARCH("enterprise architect",$C477))),"Domain Architect",IF(ISNUMBER(SEARCH("delivery man",$C477)),"Delivery Manager",IF(OR(ISNUMBER(SEARCH("technology manager",$C477)),ISNUMBER(SEARCH("technology manger",$C477)),ISNUMBER(SEARCH("tech manager",$C477))),"Technology Manager","Squad")))))))</f>
        <v>Squad</v>
      </c>
      <c r="AS477" s="1136" t="str">
        <f>IF(TRIM($B477)="","",IFERROR(INDEX(Lists!$AA:$AA,MATCH($AP477,Lists!$Z:$Z,0)),$AP477))</f>
        <v>Cloud, Network &amp; Infra Ops</v>
      </c>
      <c r="AT477" s="1136" t="str">
        <f>IF(TRIM($B477)="","",IF(IFERROR(INDEX(Lists!$AP$2:$AP$11,MATCH(ROW(),Lists!$AN$2:$AN$11,0)),"")&lt;&gt;"",IFERROR(INDEX(Lists!$AP$2:$AP$11,MATCH(ROW(),Lists!$AN$2:$AN$11,0)),""),IF(OR(LEFT($AJ477,3)="COE",$AJ477="EGI"),$AP477,IF($AR477&lt;&gt;"Squad",$AR477,$AP477))))</f>
        <v>Cloud, Network &amp; Infra Ops</v>
      </c>
    </row>
    <row r="478" ht="18" customHeight="1" s="866">
      <c r="A478" s="1155" t="n">
        <v>6591</v>
      </c>
      <c r="B478" s="1156" t="inlineStr">
        <is>
          <t>Steven Yong</t>
        </is>
      </c>
      <c r="C478" s="1156" t="inlineStr">
        <is>
          <t>Nework Architect</t>
        </is>
      </c>
      <c r="D478" s="1158" t="inlineStr">
        <is>
          <t>Vacant</t>
        </is>
      </c>
      <c r="E478" s="1199" t="inlineStr">
        <is>
          <t>Technology Manager - Cloud, Network &amp; Infrastructure Operations</t>
        </is>
      </c>
      <c r="F478" s="1157" t="inlineStr">
        <is>
          <t>TDD Group Functions</t>
        </is>
      </c>
      <c r="G478" s="1158" t="inlineStr">
        <is>
          <t>TDD &amp; Engineering</t>
        </is>
      </c>
      <c r="H478" s="1158" t="inlineStr">
        <is>
          <t>Cloud, Network &amp; Infra</t>
        </is>
      </c>
      <c r="I478" s="1156" t="inlineStr">
        <is>
          <t>TDD</t>
        </is>
      </c>
      <c r="J478" s="1158" t="inlineStr">
        <is>
          <t>TDD</t>
        </is>
      </c>
      <c r="K478" s="1158" t="inlineStr">
        <is>
          <t>Cloud, Network &amp; Infra Ops</t>
        </is>
      </c>
      <c r="L478" s="1158" t="n"/>
      <c r="M478" s="1159" t="inlineStr">
        <is>
          <t>Australia</t>
        </is>
      </c>
      <c r="N478" s="1162" t="inlineStr">
        <is>
          <t>CIC</t>
        </is>
      </c>
      <c r="O478" s="1162" t="n">
        <v>1</v>
      </c>
      <c r="P478" s="1162" t="n"/>
      <c r="Q478" s="1162" t="inlineStr">
        <is>
          <t>Permanent - Full Time</t>
        </is>
      </c>
      <c r="R478" s="1162" t="n"/>
      <c r="S478" s="1162" t="n"/>
      <c r="T478" s="1163" t="n">
        <v>182340</v>
      </c>
      <c r="U478" s="1164" t="n">
        <v>182340</v>
      </c>
      <c r="V478" s="1166" t="n">
        <v>0.12</v>
      </c>
      <c r="W478" s="1170" t="n">
        <v>0.055</v>
      </c>
      <c r="X478" s="1170" t="n">
        <v>0.12</v>
      </c>
      <c r="Y478" s="1171" t="n"/>
      <c r="Z478" s="1170" t="n">
        <v>0.04</v>
      </c>
      <c r="AA478" s="1168">
        <f>IF(TRIM($B478)="","",IF(N($AU478)&gt;0,$AU478,IF(N($S478)&gt;0,$S478*Lists!$AG$15*(1+N($Z478)),N($U478)*(1+N($V478)+N($W478)+N($X478)+N($Z478))+N($Y478))))</f>
        <v>243423.9</v>
      </c>
      <c r="AB478" s="1238" t="n"/>
      <c r="AC478" s="1238" t="n"/>
      <c r="AH478" s="1238" t="n"/>
      <c r="AJ478" s="865" t="str">
        <f>IF(TRIM($B478)="","",IF(IFERROR(INDEX(Lists!$AO$2:$AO$11,MATCH(ROW(),Lists!$AN$2:$AN$11,0)),"")&lt;&gt;"",IFERROR(INDEX(Lists!$AO$2:$AO$11,MATCH(ROW(),Lists!$AN$2:$AN$11,0)),""),IFERROR(INDEX(Lists!$U:$U,MATCH(TRIM($I478),Lists!$T:$T,0)),TRIM($I478))))</f>
        <v>TDD Group Functions</v>
      </c>
      <c r="AK478" s="865" t="str">
        <f>IF(ISNUMBER(SEARCH("vacant",$B478)),"Vacant","Filled")</f>
        <v>Filled</v>
      </c>
      <c r="AL478" s="865" t="str">
        <f>IF($M478="NZ","NZ","AU")</f>
        <v>AU</v>
      </c>
      <c r="AM478" s="865">
        <f>COUNTIF($AJ$2:$AJ478,$AJ478)</f>
        <v>15</v>
      </c>
      <c r="AN478" s="865" t="str">
        <f>$AJ478&amp;"|"&amp;$AM478</f>
        <v>TDD Group Functions|15</v>
      </c>
      <c r="AP478" s="865" t="str">
        <f>IF(TRIM($B478)="","",IF($AQ478=1,"Leadership",IFERROR(INDEX(Lists!$X:$X,MATCH(TRIM($K478),Lists!$W:$W,0)),IF(OR(TRIM($K478)="",LOWER(TRIM($K478))="na"),IF(TRIM($G478)="","Unassigned",TRIM($G478)),TRIM($K478)))))</f>
        <v>Cloud, Network &amp; Infra Ops</v>
      </c>
      <c r="AQ478" s="865" t="b">
        <f>IF(TRIM($B478)="","",--OR(TRIM($K478)="Leadership",TRIM($J478)="Leadership"))</f>
        <v>0</v>
      </c>
      <c r="AR478" s="1136" t="str">
        <f>IF(TRIM($B478)="","",IF(IFERROR(INDEX(Lists!$AQ$2:$AQ$11,MATCH(ROW(),Lists!$AN$2:$AN$11,0)),"")&lt;&gt;"",IFERROR(INDEX(Lists!$AQ$2:$AQ$11,MATCH(ROW(),Lists!$AN$2:$AN$11,0)),""),IF(ISNUMBER(SEARCH("head of ",$C478)),"Head of Technology",IF(ISNUMBER(SEARCH("TDD BP",$C478)),"Business Partner",IF(OR(ISNUMBER(SEARCH("domain architect",$C478)),ISNUMBER(SEARCH("enterprise architect",$C478))),"Domain Architect",IF(ISNUMBER(SEARCH("delivery man",$C478)),"Delivery Manager",IF(OR(ISNUMBER(SEARCH("technology manager",$C478)),ISNUMBER(SEARCH("technology manger",$C478)),ISNUMBER(SEARCH("tech manager",$C478))),"Technology Manager","Squad")))))))</f>
        <v>Squad</v>
      </c>
      <c r="AS478" s="1136" t="str">
        <f>IF(TRIM($B478)="","",IFERROR(INDEX(Lists!$AA:$AA,MATCH($AP478,Lists!$Z:$Z,0)),$AP478))</f>
        <v>Cloud, Network &amp; Infra Ops</v>
      </c>
      <c r="AT478" s="1136" t="str">
        <f>IF(TRIM($B478)="","",IF(IFERROR(INDEX(Lists!$AP$2:$AP$11,MATCH(ROW(),Lists!$AN$2:$AN$11,0)),"")&lt;&gt;"",IFERROR(INDEX(Lists!$AP$2:$AP$11,MATCH(ROW(),Lists!$AN$2:$AN$11,0)),""),IF(OR(LEFT($AJ478,3)="COE",$AJ478="EGI"),$AP478,IF($AR478&lt;&gt;"Squad",$AR478,$AP478))))</f>
        <v>Cloud, Network &amp; Infra Ops</v>
      </c>
    </row>
    <row r="479" ht="18" customHeight="1" s="866">
      <c r="A479" s="1155" t="n">
        <v>116057</v>
      </c>
      <c r="B479" s="1199" t="inlineStr">
        <is>
          <t>Lucas Wang</t>
        </is>
      </c>
      <c r="C479" s="1199" t="inlineStr">
        <is>
          <t>Senior Engineer (Automation Test)</t>
        </is>
      </c>
      <c r="D479" s="1291" t="inlineStr">
        <is>
          <t>Shobhit Mittal</t>
        </is>
      </c>
      <c r="E479" s="1199" t="inlineStr">
        <is>
          <t>Lead Engineer (Automation Test)</t>
        </is>
      </c>
      <c r="F479" s="1292" t="inlineStr">
        <is>
          <t>TDD Group Functions</t>
        </is>
      </c>
      <c r="G479" s="1158" t="inlineStr">
        <is>
          <t>TDD &amp; Engineering</t>
        </is>
      </c>
      <c r="H479" s="1158" t="inlineStr">
        <is>
          <t>DevOps &amp; QE</t>
        </is>
      </c>
      <c r="I479" s="1156" t="inlineStr">
        <is>
          <t>TDD</t>
        </is>
      </c>
      <c r="J479" s="1158" t="inlineStr">
        <is>
          <t>TDD</t>
        </is>
      </c>
      <c r="K479" s="1158" t="inlineStr">
        <is>
          <t>DevOps &amp; QE</t>
        </is>
      </c>
      <c r="L479" s="1158" t="n"/>
      <c r="M479" s="1159" t="inlineStr">
        <is>
          <t>Australia</t>
        </is>
      </c>
      <c r="N479" s="1160" t="inlineStr">
        <is>
          <t>CIB</t>
        </is>
      </c>
      <c r="O479" s="1160" t="n">
        <v>1</v>
      </c>
      <c r="P479" s="1160" t="n"/>
      <c r="Q479" s="1160" t="inlineStr">
        <is>
          <t>Permanent - Full Time</t>
        </is>
      </c>
      <c r="R479" s="1162" t="n"/>
      <c r="S479" s="1162" t="n"/>
      <c r="T479" s="1163" t="n">
        <v>145710</v>
      </c>
      <c r="U479" s="1164" t="n">
        <v>145710</v>
      </c>
      <c r="V479" s="1166" t="n">
        <v>0.12</v>
      </c>
      <c r="W479" s="1170" t="n">
        <v>0.055</v>
      </c>
      <c r="X479" s="1170" t="n">
        <v>0.12</v>
      </c>
      <c r="Y479" s="1171" t="n"/>
      <c r="Z479" s="1170" t="n">
        <v>0.04</v>
      </c>
      <c r="AA479" s="1168">
        <f>IF(TRIM($B479)="","",IF(N($AU479)&gt;0,$AU479,IF(N($S479)&gt;0,$S479*Lists!$AG$15*(1+N($Z479)),N($U479)*(1+N($V479)+N($W479)+N($X479)+N($Z479))+N($Y479))))</f>
        <v>194522.85</v>
      </c>
      <c r="AB479" s="1238" t="n"/>
      <c r="AC479" s="1238" t="n"/>
      <c r="AH479" s="1238" t="n"/>
      <c r="AJ479" s="865" t="str">
        <f>IF(TRIM($B479)="","",IF(IFERROR(INDEX(Lists!$AO$2:$AO$11,MATCH(ROW(),Lists!$AN$2:$AN$11,0)),"")&lt;&gt;"",IFERROR(INDEX(Lists!$AO$2:$AO$11,MATCH(ROW(),Lists!$AN$2:$AN$11,0)),""),IFERROR(INDEX(Lists!$U:$U,MATCH(TRIM($I479),Lists!$T:$T,0)),TRIM($I479))))</f>
        <v>TDD Group Functions</v>
      </c>
      <c r="AK479" s="865" t="str">
        <f>IF(ISNUMBER(SEARCH("vacant",$B479)),"Vacant","Filled")</f>
        <v>Filled</v>
      </c>
      <c r="AL479" s="865" t="str">
        <f>IF($M479="NZ","NZ","AU")</f>
        <v>AU</v>
      </c>
      <c r="AM479" s="865">
        <f>COUNTIF($AJ$2:$AJ479,$AJ479)</f>
        <v>16</v>
      </c>
      <c r="AN479" s="865" t="str">
        <f>$AJ479&amp;"|"&amp;$AM479</f>
        <v>TDD Group Functions|16</v>
      </c>
      <c r="AP479" s="865" t="str">
        <f>IF(TRIM($B479)="","",IF($AQ479=1,"Leadership",IFERROR(INDEX(Lists!$X:$X,MATCH(TRIM($K479),Lists!$W:$W,0)),IF(OR(TRIM($K479)="",LOWER(TRIM($K479))="na"),IF(TRIM($G479)="","Unassigned",TRIM($G479)),TRIM($K479)))))</f>
        <v>DevOps &amp; QE</v>
      </c>
      <c r="AQ479" s="865" t="b">
        <f>IF(TRIM($B479)="","",--OR(TRIM($K479)="Leadership",TRIM($J479)="Leadership"))</f>
        <v>0</v>
      </c>
      <c r="AR479" s="1136" t="str">
        <f>IF(TRIM($B479)="","",IF(IFERROR(INDEX(Lists!$AQ$2:$AQ$11,MATCH(ROW(),Lists!$AN$2:$AN$11,0)),"")&lt;&gt;"",IFERROR(INDEX(Lists!$AQ$2:$AQ$11,MATCH(ROW(),Lists!$AN$2:$AN$11,0)),""),IF(ISNUMBER(SEARCH("head of ",$C479)),"Head of Technology",IF(ISNUMBER(SEARCH("TDD BP",$C479)),"Business Partner",IF(OR(ISNUMBER(SEARCH("domain architect",$C479)),ISNUMBER(SEARCH("enterprise architect",$C479))),"Domain Architect",IF(ISNUMBER(SEARCH("delivery man",$C479)),"Delivery Manager",IF(OR(ISNUMBER(SEARCH("technology manager",$C479)),ISNUMBER(SEARCH("technology manger",$C479)),ISNUMBER(SEARCH("tech manager",$C479))),"Technology Manager","Squad")))))))</f>
        <v>Squad</v>
      </c>
      <c r="AS479" s="1136" t="str">
        <f>IF(TRIM($B479)="","",IFERROR(INDEX(Lists!$AA:$AA,MATCH($AP479,Lists!$Z:$Z,0)),$AP479))</f>
        <v>DevOps &amp; QE</v>
      </c>
      <c r="AT479" s="1136" t="str">
        <f>IF(TRIM($B479)="","",IF(IFERROR(INDEX(Lists!$AP$2:$AP$11,MATCH(ROW(),Lists!$AN$2:$AN$11,0)),"")&lt;&gt;"",IFERROR(INDEX(Lists!$AP$2:$AP$11,MATCH(ROW(),Lists!$AN$2:$AN$11,0)),""),IF(OR(LEFT($AJ479,3)="COE",$AJ479="EGI"),$AP479,IF($AR479&lt;&gt;"Squad",$AR479,$AP479))))</f>
        <v>DevOps &amp; QE</v>
      </c>
    </row>
    <row r="480" ht="18" customHeight="1" s="866">
      <c r="A480" s="1155" t="n">
        <v>99999101441</v>
      </c>
      <c r="B480" s="1156" t="inlineStr">
        <is>
          <t>Luke Hamer</t>
        </is>
      </c>
      <c r="C480" s="1156" t="inlineStr">
        <is>
          <t>Lead Engineer - Devops</t>
        </is>
      </c>
      <c r="D480" s="1291" t="inlineStr">
        <is>
          <t>Vacant</t>
        </is>
      </c>
      <c r="E480" s="1199" t="inlineStr">
        <is>
          <t>Technology Manager - DevOps and Quality Engineering</t>
        </is>
      </c>
      <c r="F480" s="1292" t="inlineStr">
        <is>
          <t>TDD Group Functions</t>
        </is>
      </c>
      <c r="G480" s="1158" t="inlineStr">
        <is>
          <t>TDD &amp; Engineering</t>
        </is>
      </c>
      <c r="H480" s="1158" t="inlineStr">
        <is>
          <t>DevOps &amp; QE</t>
        </is>
      </c>
      <c r="I480" s="1156" t="inlineStr">
        <is>
          <t>TDD</t>
        </is>
      </c>
      <c r="J480" s="1158" t="inlineStr">
        <is>
          <t>TDD</t>
        </is>
      </c>
      <c r="K480" s="1158" t="inlineStr">
        <is>
          <t>DevOps &amp; QE</t>
        </is>
      </c>
      <c r="L480" s="1158" t="n"/>
      <c r="M480" s="1159" t="inlineStr">
        <is>
          <t>NZ</t>
        </is>
      </c>
      <c r="N480" s="1160" t="inlineStr">
        <is>
          <t>CIC</t>
        </is>
      </c>
      <c r="O480" s="1161" t="n">
        <v>1</v>
      </c>
      <c r="P480" s="1160" t="n"/>
      <c r="Q480" s="1161" t="inlineStr">
        <is>
          <t>Permanent - Full Time</t>
        </is>
      </c>
      <c r="R480" s="1162" t="n"/>
      <c r="S480" s="1162" t="n"/>
      <c r="T480" s="1163" t="n">
        <v>159200</v>
      </c>
      <c r="U480" s="1164" t="n">
        <v>146464</v>
      </c>
      <c r="V480" s="1165" t="n">
        <v>0.15</v>
      </c>
      <c r="W480" s="1162" t="n"/>
      <c r="X480" s="1166" t="n">
        <v>0.05</v>
      </c>
      <c r="Y480" s="1907" t="n">
        <v>2910</v>
      </c>
      <c r="Z480" s="1166" t="n">
        <v>0.03</v>
      </c>
      <c r="AA480" s="1168">
        <f>IF(TRIM($B480)="","",IF(N($AU480)&gt;0,$AU480,IF(N($S480)&gt;0,$S480*Lists!$AG$15*(1+N($Z480)),N($U480)*(1+N($V480)+N($W480)+N($X480)+N($Z480))+N($Y480))))</f>
        <v>183060.72</v>
      </c>
      <c r="AB480" s="1238" t="n"/>
      <c r="AC480" s="1238" t="n"/>
      <c r="AH480" s="1238" t="n"/>
      <c r="AJ480" s="865" t="str">
        <f>IF(TRIM($B480)="","",IF(IFERROR(INDEX(Lists!$AO$2:$AO$11,MATCH(ROW(),Lists!$AN$2:$AN$11,0)),"")&lt;&gt;"",IFERROR(INDEX(Lists!$AO$2:$AO$11,MATCH(ROW(),Lists!$AN$2:$AN$11,0)),""),IFERROR(INDEX(Lists!$U:$U,MATCH(TRIM($I480),Lists!$T:$T,0)),TRIM($I480))))</f>
        <v>TDD Group Functions</v>
      </c>
      <c r="AK480" s="865" t="str">
        <f>IF(ISNUMBER(SEARCH("vacant",$B480)),"Vacant","Filled")</f>
        <v>Filled</v>
      </c>
      <c r="AL480" s="865" t="str">
        <f>IF($M480="NZ","NZ","AU")</f>
        <v>NZ</v>
      </c>
      <c r="AM480" s="865">
        <f>COUNTIF($AJ$2:$AJ480,$AJ480)</f>
        <v>17</v>
      </c>
      <c r="AN480" s="865" t="str">
        <f>$AJ480&amp;"|"&amp;$AM480</f>
        <v>TDD Group Functions|17</v>
      </c>
      <c r="AP480" s="865" t="str">
        <f>IF(TRIM($B480)="","",IF($AQ480=1,"Leadership",IFERROR(INDEX(Lists!$X:$X,MATCH(TRIM($K480),Lists!$W:$W,0)),IF(OR(TRIM($K480)="",LOWER(TRIM($K480))="na"),IF(TRIM($G480)="","Unassigned",TRIM($G480)),TRIM($K480)))))</f>
        <v>DevOps &amp; QE</v>
      </c>
      <c r="AQ480" s="865" t="b">
        <f>IF(TRIM($B480)="","",--OR(TRIM($K480)="Leadership",TRIM($J480)="Leadership"))</f>
        <v>0</v>
      </c>
      <c r="AR480" s="1136" t="str">
        <f>IF(TRIM($B480)="","",IF(IFERROR(INDEX(Lists!$AQ$2:$AQ$11,MATCH(ROW(),Lists!$AN$2:$AN$11,0)),"")&lt;&gt;"",IFERROR(INDEX(Lists!$AQ$2:$AQ$11,MATCH(ROW(),Lists!$AN$2:$AN$11,0)),""),IF(ISNUMBER(SEARCH("head of ",$C480)),"Head of Technology",IF(ISNUMBER(SEARCH("TDD BP",$C480)),"Business Partner",IF(OR(ISNUMBER(SEARCH("domain architect",$C480)),ISNUMBER(SEARCH("enterprise architect",$C480))),"Domain Architect",IF(ISNUMBER(SEARCH("delivery man",$C480)),"Delivery Manager",IF(OR(ISNUMBER(SEARCH("technology manager",$C480)),ISNUMBER(SEARCH("technology manger",$C480)),ISNUMBER(SEARCH("tech manager",$C480))),"Technology Manager","Squad")))))))</f>
        <v>Squad</v>
      </c>
      <c r="AS480" s="1136" t="str">
        <f>IF(TRIM($B480)="","",IFERROR(INDEX(Lists!$AA:$AA,MATCH($AP480,Lists!$Z:$Z,0)),$AP480))</f>
        <v>DevOps &amp; QE</v>
      </c>
      <c r="AT480" s="1136" t="str">
        <f>IF(TRIM($B480)="","",IF(IFERROR(INDEX(Lists!$AP$2:$AP$11,MATCH(ROW(),Lists!$AN$2:$AN$11,0)),"")&lt;&gt;"",IFERROR(INDEX(Lists!$AP$2:$AP$11,MATCH(ROW(),Lists!$AN$2:$AN$11,0)),""),IF(OR(LEFT($AJ480,3)="COE",$AJ480="EGI"),$AP480,IF($AR480&lt;&gt;"Squad",$AR480,$AP480))))</f>
        <v>DevOps &amp; QE</v>
      </c>
    </row>
    <row r="481" ht="18" customHeight="1" s="866">
      <c r="A481" s="1155" t="n">
        <v>99999101958</v>
      </c>
      <c r="B481" s="1156" t="inlineStr">
        <is>
          <t>Mike Lealamanu</t>
        </is>
      </c>
      <c r="C481" s="1156" t="inlineStr">
        <is>
          <t>Quality Assurance</t>
        </is>
      </c>
      <c r="D481" s="1291" t="inlineStr">
        <is>
          <t>Vacant</t>
        </is>
      </c>
      <c r="E481" s="1199" t="inlineStr">
        <is>
          <t>Technology Manager - DevOps and Quality Engineering</t>
        </is>
      </c>
      <c r="F481" s="1292" t="inlineStr">
        <is>
          <t>TDD Group Functions</t>
        </is>
      </c>
      <c r="G481" s="1158" t="inlineStr">
        <is>
          <t>TDD &amp; Engineering</t>
        </is>
      </c>
      <c r="H481" s="1158" t="inlineStr">
        <is>
          <t>DevOps &amp; QE</t>
        </is>
      </c>
      <c r="I481" s="1156" t="inlineStr">
        <is>
          <t>TDD</t>
        </is>
      </c>
      <c r="J481" s="1158" t="inlineStr">
        <is>
          <t>TDD</t>
        </is>
      </c>
      <c r="K481" s="1158" t="inlineStr">
        <is>
          <t>DevOps &amp; QE</t>
        </is>
      </c>
      <c r="L481" s="1158" t="n"/>
      <c r="M481" s="1159" t="inlineStr">
        <is>
          <t>NZ</t>
        </is>
      </c>
      <c r="N481" s="1160" t="inlineStr">
        <is>
          <t>CIA</t>
        </is>
      </c>
      <c r="O481" s="1161" t="n">
        <v>1</v>
      </c>
      <c r="P481" s="1160" t="n"/>
      <c r="Q481" s="1161" t="inlineStr">
        <is>
          <t>Permanent - Full Time</t>
        </is>
      </c>
      <c r="R481" s="1162" t="n"/>
      <c r="S481" s="1162" t="n"/>
      <c r="T481" s="1163" t="n">
        <v>115830</v>
      </c>
      <c r="U481" s="1164" t="n">
        <v>106563.6</v>
      </c>
      <c r="V481" s="1165" t="n">
        <v>0.15</v>
      </c>
      <c r="W481" s="1162" t="n"/>
      <c r="X481" s="1166" t="n">
        <v>0.05</v>
      </c>
      <c r="Y481" s="1907" t="n">
        <v>2910</v>
      </c>
      <c r="Z481" s="1166" t="n">
        <v>0.03</v>
      </c>
      <c r="AA481" s="1168">
        <f>IF(TRIM($B481)="","",IF(N($AU481)&gt;0,$AU481,IF(N($S481)&gt;0,$S481*Lists!$AG$15*(1+N($Z481)),N($U481)*(1+N($V481)+N($W481)+N($X481)+N($Z481))+N($Y481))))</f>
        <v>133983.228</v>
      </c>
      <c r="AB481" s="1238" t="n"/>
      <c r="AC481" s="1238" t="n"/>
      <c r="AH481" s="1238" t="n"/>
      <c r="AJ481" s="865" t="str">
        <f>IF(TRIM($B481)="","",IF(IFERROR(INDEX(Lists!$AO$2:$AO$11,MATCH(ROW(),Lists!$AN$2:$AN$11,0)),"")&lt;&gt;"",IFERROR(INDEX(Lists!$AO$2:$AO$11,MATCH(ROW(),Lists!$AN$2:$AN$11,0)),""),IFERROR(INDEX(Lists!$U:$U,MATCH(TRIM($I481),Lists!$T:$T,0)),TRIM($I481))))</f>
        <v>TDD Group Functions</v>
      </c>
      <c r="AK481" s="865" t="str">
        <f>IF(ISNUMBER(SEARCH("vacant",$B481)),"Vacant","Filled")</f>
        <v>Filled</v>
      </c>
      <c r="AL481" s="865" t="str">
        <f>IF($M481="NZ","NZ","AU")</f>
        <v>NZ</v>
      </c>
      <c r="AM481" s="865">
        <f>COUNTIF($AJ$2:$AJ481,$AJ481)</f>
        <v>18</v>
      </c>
      <c r="AN481" s="865" t="str">
        <f>$AJ481&amp;"|"&amp;$AM481</f>
        <v>TDD Group Functions|18</v>
      </c>
      <c r="AP481" s="865" t="str">
        <f>IF(TRIM($B481)="","",IF($AQ481=1,"Leadership",IFERROR(INDEX(Lists!$X:$X,MATCH(TRIM($K481),Lists!$W:$W,0)),IF(OR(TRIM($K481)="",LOWER(TRIM($K481))="na"),IF(TRIM($G481)="","Unassigned",TRIM($G481)),TRIM($K481)))))</f>
        <v>DevOps &amp; QE</v>
      </c>
      <c r="AQ481" s="865" t="b">
        <f>IF(TRIM($B481)="","",--OR(TRIM($K481)="Leadership",TRIM($J481)="Leadership"))</f>
        <v>0</v>
      </c>
      <c r="AR481" s="1136" t="str">
        <f>IF(TRIM($B481)="","",IF(IFERROR(INDEX(Lists!$AQ$2:$AQ$11,MATCH(ROW(),Lists!$AN$2:$AN$11,0)),"")&lt;&gt;"",IFERROR(INDEX(Lists!$AQ$2:$AQ$11,MATCH(ROW(),Lists!$AN$2:$AN$11,0)),""),IF(ISNUMBER(SEARCH("head of ",$C481)),"Head of Technology",IF(ISNUMBER(SEARCH("TDD BP",$C481)),"Business Partner",IF(OR(ISNUMBER(SEARCH("domain architect",$C481)),ISNUMBER(SEARCH("enterprise architect",$C481))),"Domain Architect",IF(ISNUMBER(SEARCH("delivery man",$C481)),"Delivery Manager",IF(OR(ISNUMBER(SEARCH("technology manager",$C481)),ISNUMBER(SEARCH("technology manger",$C481)),ISNUMBER(SEARCH("tech manager",$C481))),"Technology Manager","Squad")))))))</f>
        <v>Squad</v>
      </c>
      <c r="AS481" s="1136" t="str">
        <f>IF(TRIM($B481)="","",IFERROR(INDEX(Lists!$AA:$AA,MATCH($AP481,Lists!$Z:$Z,0)),$AP481))</f>
        <v>DevOps &amp; QE</v>
      </c>
      <c r="AT481" s="1136" t="str">
        <f>IF(TRIM($B481)="","",IF(IFERROR(INDEX(Lists!$AP$2:$AP$11,MATCH(ROW(),Lists!$AN$2:$AN$11,0)),"")&lt;&gt;"",IFERROR(INDEX(Lists!$AP$2:$AP$11,MATCH(ROW(),Lists!$AN$2:$AN$11,0)),""),IF(OR(LEFT($AJ481,3)="COE",$AJ481="EGI"),$AP481,IF($AR481&lt;&gt;"Squad",$AR481,$AP481))))</f>
        <v>DevOps &amp; QE</v>
      </c>
    </row>
    <row r="482" ht="18" customHeight="1" s="866">
      <c r="A482" s="1155" t="n">
        <v>99999102120</v>
      </c>
      <c r="B482" s="1156" t="inlineStr">
        <is>
          <t>Sunny Arya</t>
        </is>
      </c>
      <c r="C482" s="1156" t="inlineStr">
        <is>
          <t>Lead Engineer, Devops</t>
        </is>
      </c>
      <c r="D482" s="1291" t="inlineStr">
        <is>
          <t>Vacant</t>
        </is>
      </c>
      <c r="E482" s="1199" t="inlineStr">
        <is>
          <t>Technology Manager - DevOps and Quality Engineering</t>
        </is>
      </c>
      <c r="F482" s="1292" t="inlineStr">
        <is>
          <t>TDD Group Functions</t>
        </is>
      </c>
      <c r="G482" s="1158" t="inlineStr">
        <is>
          <t>TDD &amp; Engineering</t>
        </is>
      </c>
      <c r="H482" s="1158" t="inlineStr">
        <is>
          <t>DevOps &amp; QE</t>
        </is>
      </c>
      <c r="I482" s="1156" t="inlineStr">
        <is>
          <t>TDD</t>
        </is>
      </c>
      <c r="J482" s="1158" t="inlineStr">
        <is>
          <t>TDD</t>
        </is>
      </c>
      <c r="K482" s="1158" t="inlineStr">
        <is>
          <t>DevOps &amp; QE</t>
        </is>
      </c>
      <c r="L482" s="1158" t="n"/>
      <c r="M482" s="1159" t="inlineStr">
        <is>
          <t>NZ</t>
        </is>
      </c>
      <c r="N482" s="1160" t="inlineStr">
        <is>
          <t>CIC</t>
        </is>
      </c>
      <c r="O482" s="1161" t="n">
        <v>1</v>
      </c>
      <c r="P482" s="1160" t="n"/>
      <c r="Q482" s="1161" t="inlineStr">
        <is>
          <t>Permanent - Full Time</t>
        </is>
      </c>
      <c r="R482" s="1162" t="n"/>
      <c r="S482" s="1162" t="n"/>
      <c r="T482" s="1163" t="n">
        <v>175000</v>
      </c>
      <c r="U482" s="1164" t="n">
        <v>161000</v>
      </c>
      <c r="V482" s="1165" t="n">
        <v>0.15</v>
      </c>
      <c r="W482" s="1162" t="n"/>
      <c r="X482" s="1166" t="n">
        <v>0.05</v>
      </c>
      <c r="Y482" s="1907" t="n">
        <v>2910</v>
      </c>
      <c r="Z482" s="1166" t="n">
        <v>0.03</v>
      </c>
      <c r="AA482" s="1168">
        <f>IF(TRIM($B482)="","",IF(N($AU482)&gt;0,$AU482,IF(N($S482)&gt;0,$S482*Lists!$AG$15*(1+N($Z482)),N($U482)*(1+N($V482)+N($W482)+N($X482)+N($Z482))+N($Y482))))</f>
        <v>200940</v>
      </c>
      <c r="AB482" s="1238" t="n"/>
      <c r="AC482" s="1238" t="n"/>
      <c r="AJ482" s="865" t="str">
        <f>IF(TRIM($B482)="","",IF(IFERROR(INDEX(Lists!$AO$2:$AO$11,MATCH(ROW(),Lists!$AN$2:$AN$11,0)),"")&lt;&gt;"",IFERROR(INDEX(Lists!$AO$2:$AO$11,MATCH(ROW(),Lists!$AN$2:$AN$11,0)),""),IFERROR(INDEX(Lists!$U:$U,MATCH(TRIM($I482),Lists!$T:$T,0)),TRIM($I482))))</f>
        <v>TDD Group Functions</v>
      </c>
      <c r="AK482" s="865" t="str">
        <f>IF(ISNUMBER(SEARCH("vacant",$B482)),"Vacant","Filled")</f>
        <v>Filled</v>
      </c>
      <c r="AL482" s="865" t="str">
        <f>IF($M482="NZ","NZ","AU")</f>
        <v>NZ</v>
      </c>
      <c r="AM482" s="865">
        <f>COUNTIF($AJ$2:$AJ482,$AJ482)</f>
        <v>19</v>
      </c>
      <c r="AN482" s="865" t="str">
        <f>$AJ482&amp;"|"&amp;$AM482</f>
        <v>TDD Group Functions|19</v>
      </c>
      <c r="AP482" s="865" t="str">
        <f>IF(TRIM($B482)="","",IF($AQ482=1,"Leadership",IFERROR(INDEX(Lists!$X:$X,MATCH(TRIM($K482),Lists!$W:$W,0)),IF(OR(TRIM($K482)="",LOWER(TRIM($K482))="na"),IF(TRIM($G482)="","Unassigned",TRIM($G482)),TRIM($K482)))))</f>
        <v>DevOps &amp; QE</v>
      </c>
      <c r="AQ482" s="865" t="b">
        <f>IF(TRIM($B482)="","",--OR(TRIM($K482)="Leadership",TRIM($J482)="Leadership"))</f>
        <v>0</v>
      </c>
      <c r="AR482" s="1136" t="str">
        <f>IF(TRIM($B482)="","",IF(IFERROR(INDEX(Lists!$AQ$2:$AQ$11,MATCH(ROW(),Lists!$AN$2:$AN$11,0)),"")&lt;&gt;"",IFERROR(INDEX(Lists!$AQ$2:$AQ$11,MATCH(ROW(),Lists!$AN$2:$AN$11,0)),""),IF(ISNUMBER(SEARCH("head of ",$C482)),"Head of Technology",IF(ISNUMBER(SEARCH("TDD BP",$C482)),"Business Partner",IF(OR(ISNUMBER(SEARCH("domain architect",$C482)),ISNUMBER(SEARCH("enterprise architect",$C482))),"Domain Architect",IF(ISNUMBER(SEARCH("delivery man",$C482)),"Delivery Manager",IF(OR(ISNUMBER(SEARCH("technology manager",$C482)),ISNUMBER(SEARCH("technology manger",$C482)),ISNUMBER(SEARCH("tech manager",$C482))),"Technology Manager","Squad")))))))</f>
        <v>Squad</v>
      </c>
      <c r="AS482" s="1136" t="str">
        <f>IF(TRIM($B482)="","",IFERROR(INDEX(Lists!$AA:$AA,MATCH($AP482,Lists!$Z:$Z,0)),$AP482))</f>
        <v>DevOps &amp; QE</v>
      </c>
      <c r="AT482" s="1136" t="str">
        <f>IF(TRIM($B482)="","",IF(IFERROR(INDEX(Lists!$AP$2:$AP$11,MATCH(ROW(),Lists!$AN$2:$AN$11,0)),"")&lt;&gt;"",IFERROR(INDEX(Lists!$AP$2:$AP$11,MATCH(ROW(),Lists!$AN$2:$AN$11,0)),""),IF(OR(LEFT($AJ482,3)="COE",$AJ482="EGI"),$AP482,IF($AR482&lt;&gt;"Squad",$AR482,$AP482))))</f>
        <v>DevOps &amp; QE</v>
      </c>
    </row>
    <row r="483" ht="18" customHeight="1" s="866">
      <c r="A483" s="1155" t="n">
        <v>114573</v>
      </c>
      <c r="B483" s="1199" t="inlineStr">
        <is>
          <t>Archana Chetiwal</t>
        </is>
      </c>
      <c r="C483" s="1199" t="inlineStr">
        <is>
          <t>Snr Engineer</t>
        </is>
      </c>
      <c r="D483" s="1158" t="inlineStr">
        <is>
          <t>Vacant</t>
        </is>
      </c>
      <c r="E483" s="1199" t="inlineStr">
        <is>
          <t>RPA Lead</t>
        </is>
      </c>
      <c r="F483" s="1157" t="inlineStr">
        <is>
          <t>TDD Group Functions</t>
        </is>
      </c>
      <c r="G483" s="1158" t="inlineStr">
        <is>
          <t xml:space="preserve">TDD &amp; Engineering </t>
        </is>
      </c>
      <c r="H483" s="1180" t="inlineStr">
        <is>
          <t>Integration &amp; Process automation</t>
        </is>
      </c>
      <c r="I483" s="1156" t="inlineStr">
        <is>
          <t>TDD</t>
        </is>
      </c>
      <c r="J483" s="1158" t="inlineStr">
        <is>
          <t>TDD</t>
        </is>
      </c>
      <c r="K483" s="1158" t="inlineStr">
        <is>
          <t>Integration &amp; Process automation</t>
        </is>
      </c>
      <c r="L483" s="1158" t="n"/>
      <c r="M483" s="1159" t="inlineStr">
        <is>
          <t>Australia</t>
        </is>
      </c>
      <c r="N483" s="1160" t="inlineStr">
        <is>
          <t>CIB</t>
        </is>
      </c>
      <c r="O483" s="1160" t="n">
        <v>1</v>
      </c>
      <c r="P483" s="1160" t="n"/>
      <c r="Q483" s="1160" t="inlineStr">
        <is>
          <t>Permanent - Full Time</t>
        </is>
      </c>
      <c r="R483" s="1162" t="n"/>
      <c r="S483" s="1162" t="n"/>
      <c r="T483" s="1163" t="n">
        <v>140000</v>
      </c>
      <c r="U483" s="1164" t="n">
        <v>140000</v>
      </c>
      <c r="V483" s="1166" t="n">
        <v>0.12</v>
      </c>
      <c r="W483" s="1170" t="n">
        <v>0.055</v>
      </c>
      <c r="X483" s="1170" t="n">
        <v>0.12</v>
      </c>
      <c r="Y483" s="1171" t="n"/>
      <c r="Z483" s="1170" t="n">
        <v>0.04</v>
      </c>
      <c r="AA483" s="1168">
        <f>IF(TRIM($B483)="","",IF(N($AU483)&gt;0,$AU483,IF(N($S483)&gt;0,$S483*Lists!$AG$15*(1+N($Z483)),N($U483)*(1+N($V483)+N($W483)+N($X483)+N($Z483))+N($Y483))))</f>
        <v>186900</v>
      </c>
      <c r="AB483" s="1238" t="n"/>
      <c r="AC483" s="1238" t="n"/>
      <c r="AJ483" s="865" t="str">
        <f>IF(TRIM($B483)="","",IF(IFERROR(INDEX(Lists!$AO$2:$AO$11,MATCH(ROW(),Lists!$AN$2:$AN$11,0)),"")&lt;&gt;"",IFERROR(INDEX(Lists!$AO$2:$AO$11,MATCH(ROW(),Lists!$AN$2:$AN$11,0)),""),IFERROR(INDEX(Lists!$U:$U,MATCH(TRIM($I483),Lists!$T:$T,0)),TRIM($I483))))</f>
        <v>TDD Group Functions</v>
      </c>
      <c r="AK483" s="865" t="str">
        <f>IF(ISNUMBER(SEARCH("vacant",$B483)),"Vacant","Filled")</f>
        <v>Filled</v>
      </c>
      <c r="AL483" s="865" t="str">
        <f>IF($M483="NZ","NZ","AU")</f>
        <v>AU</v>
      </c>
      <c r="AM483" s="865">
        <f>COUNTIF($AJ$2:$AJ483,$AJ483)</f>
        <v>20</v>
      </c>
      <c r="AN483" s="865" t="str">
        <f>$AJ483&amp;"|"&amp;$AM483</f>
        <v>TDD Group Functions|20</v>
      </c>
      <c r="AP483" s="1136" t="str">
        <f>IF(TRIM($B483)="","",IF($AQ483=1,"Leadership",IFERROR(INDEX(Lists!$X:$X,MATCH(TRIM($K483),Lists!$W:$W,0)),IF(OR(TRIM($K483)="",LOWER(TRIM($K483))="na"),IF(TRIM($G483)="","Unassigned",TRIM($G483)),TRIM($K483)))))</f>
        <v>Integration &amp; Process Automation</v>
      </c>
      <c r="AQ483" s="865" t="b">
        <f>IF(TRIM($B483)="","",--OR(TRIM($K483)="Leadership",TRIM($J483)="Leadership"))</f>
        <v>0</v>
      </c>
      <c r="AR483" s="1136" t="str">
        <f>IF(TRIM($B483)="","",IF(IFERROR(INDEX(Lists!$AQ$2:$AQ$11,MATCH(ROW(),Lists!$AN$2:$AN$11,0)),"")&lt;&gt;"",IFERROR(INDEX(Lists!$AQ$2:$AQ$11,MATCH(ROW(),Lists!$AN$2:$AN$11,0)),""),IF(ISNUMBER(SEARCH("head of ",$C483)),"Head of Technology",IF(ISNUMBER(SEARCH("TDD BP",$C483)),"Business Partner",IF(OR(ISNUMBER(SEARCH("domain architect",$C483)),ISNUMBER(SEARCH("enterprise architect",$C483))),"Domain Architect",IF(ISNUMBER(SEARCH("delivery man",$C483)),"Delivery Manager",IF(OR(ISNUMBER(SEARCH("technology manager",$C483)),ISNUMBER(SEARCH("technology manger",$C483)),ISNUMBER(SEARCH("tech manager",$C483))),"Technology Manager","Squad")))))))</f>
        <v>Squad</v>
      </c>
      <c r="AS483" s="1136" t="str">
        <f>IF(TRIM($B483)="","",IFERROR(INDEX(Lists!$AA:$AA,MATCH($AP483,Lists!$Z:$Z,0)),$AP483))</f>
        <v>Integration &amp; Process Automation</v>
      </c>
      <c r="AT483" s="1136" t="str">
        <f>IF(TRIM($B483)="","",IF(IFERROR(INDEX(Lists!$AP$2:$AP$11,MATCH(ROW(),Lists!$AN$2:$AN$11,0)),"")&lt;&gt;"",IFERROR(INDEX(Lists!$AP$2:$AP$11,MATCH(ROW(),Lists!$AN$2:$AN$11,0)),""),IF(OR(LEFT($AJ483,3)="COE",$AJ483="EGI"),$AP483,IF($AR483&lt;&gt;"Squad",$AR483,$AP483))))</f>
        <v>Integration &amp; Process Automation</v>
      </c>
    </row>
    <row r="484" ht="18" customHeight="1" s="866">
      <c r="A484" s="1155" t="n">
        <v>91635</v>
      </c>
      <c r="B484" s="1156" t="inlineStr">
        <is>
          <t>Bala Thiruvadi</t>
        </is>
      </c>
      <c r="C484" s="1156" t="inlineStr">
        <is>
          <t>Integration Architect - Boomi</t>
        </is>
      </c>
      <c r="D484" s="1156" t="inlineStr">
        <is>
          <t>Mike Seales</t>
        </is>
      </c>
      <c r="E484" s="1156" t="inlineStr">
        <is>
          <t>Technology Manager Integration &amp; Process Managemetn</t>
        </is>
      </c>
      <c r="F484" s="1157" t="inlineStr">
        <is>
          <t>TDD Group Functions</t>
        </is>
      </c>
      <c r="G484" s="1158" t="inlineStr">
        <is>
          <t xml:space="preserve">TDD &amp; Engineering </t>
        </is>
      </c>
      <c r="H484" s="1202" t="inlineStr">
        <is>
          <t>Integration &amp; Process Management</t>
        </is>
      </c>
      <c r="I484" s="1156" t="inlineStr">
        <is>
          <t>TDD</t>
        </is>
      </c>
      <c r="J484" s="1158" t="inlineStr">
        <is>
          <t>TDD</t>
        </is>
      </c>
      <c r="K484" s="1158" t="inlineStr">
        <is>
          <t>Integration &amp; Process automation</t>
        </is>
      </c>
      <c r="L484" s="1158" t="n"/>
      <c r="M484" s="1159" t="inlineStr">
        <is>
          <t>Australia</t>
        </is>
      </c>
      <c r="N484" s="1160" t="inlineStr">
        <is>
          <t>CIC</t>
        </is>
      </c>
      <c r="O484" s="1160" t="n">
        <v>1</v>
      </c>
      <c r="P484" s="1160" t="n"/>
      <c r="Q484" s="1160" t="inlineStr">
        <is>
          <t>Permanent - Full Time</t>
        </is>
      </c>
      <c r="R484" s="1162" t="n"/>
      <c r="S484" s="1162" t="n"/>
      <c r="T484" s="1163" t="n">
        <v>203672</v>
      </c>
      <c r="U484" s="1164" t="n">
        <v>203672</v>
      </c>
      <c r="V484" s="1166" t="n">
        <v>0.12</v>
      </c>
      <c r="W484" s="1170" t="n">
        <v>0.055</v>
      </c>
      <c r="X484" s="1170" t="n">
        <v>0.12</v>
      </c>
      <c r="Y484" s="1171" t="n"/>
      <c r="Z484" s="1170" t="n">
        <v>0.04</v>
      </c>
      <c r="AA484" s="1168">
        <f>IF(TRIM($B484)="","",IF(N($AU484)&gt;0,$AU484,IF(N($S484)&gt;0,$S484*Lists!$AG$15*(1+N($Z484)),N($U484)*(1+N($V484)+N($W484)+N($X484)+N($Z484))+N($Y484))))</f>
        <v>271902.12</v>
      </c>
      <c r="AB484" s="1238" t="n"/>
      <c r="AC484" s="1238" t="n"/>
      <c r="AJ484" s="865" t="str">
        <f>IF(TRIM($B484)="","",IF(IFERROR(INDEX(Lists!$AO$2:$AO$11,MATCH(ROW(),Lists!$AN$2:$AN$11,0)),"")&lt;&gt;"",IFERROR(INDEX(Lists!$AO$2:$AO$11,MATCH(ROW(),Lists!$AN$2:$AN$11,0)),""),IFERROR(INDEX(Lists!$U:$U,MATCH(TRIM($I484),Lists!$T:$T,0)),TRIM($I484))))</f>
        <v>TDD Group Functions</v>
      </c>
      <c r="AK484" s="865" t="str">
        <f>IF(ISNUMBER(SEARCH("vacant",$B484)),"Vacant","Filled")</f>
        <v>Filled</v>
      </c>
      <c r="AL484" s="865" t="str">
        <f>IF($M484="NZ","NZ","AU")</f>
        <v>AU</v>
      </c>
      <c r="AM484" s="865">
        <f>COUNTIF($AJ$2:$AJ484,$AJ484)</f>
        <v>21</v>
      </c>
      <c r="AN484" s="865" t="str">
        <f>$AJ484&amp;"|"&amp;$AM484</f>
        <v>TDD Group Functions|21</v>
      </c>
      <c r="AP484" s="865" t="str">
        <f>IF(TRIM($B484)="","",IF($AQ484=1,"Leadership",IFERROR(INDEX(Lists!$X:$X,MATCH(TRIM($K484),Lists!$W:$W,0)),IF(OR(TRIM($K484)="",LOWER(TRIM($K484))="na"),IF(TRIM($G484)="","Unassigned",TRIM($G484)),TRIM($K484)))))</f>
        <v>Integration &amp; Process Automation</v>
      </c>
      <c r="AQ484" s="865" t="b">
        <f>IF(TRIM($B484)="","",--OR(TRIM($K484)="Leadership",TRIM($J484)="Leadership"))</f>
        <v>0</v>
      </c>
      <c r="AR484" s="1136" t="str">
        <f>IF(TRIM($B484)="","",IF(IFERROR(INDEX(Lists!$AQ$2:$AQ$11,MATCH(ROW(),Lists!$AN$2:$AN$11,0)),"")&lt;&gt;"",IFERROR(INDEX(Lists!$AQ$2:$AQ$11,MATCH(ROW(),Lists!$AN$2:$AN$11,0)),""),IF(ISNUMBER(SEARCH("head of ",$C484)),"Head of Technology",IF(ISNUMBER(SEARCH("TDD BP",$C484)),"Business Partner",IF(OR(ISNUMBER(SEARCH("domain architect",$C484)),ISNUMBER(SEARCH("enterprise architect",$C484))),"Domain Architect",IF(ISNUMBER(SEARCH("delivery man",$C484)),"Delivery Manager",IF(OR(ISNUMBER(SEARCH("technology manager",$C484)),ISNUMBER(SEARCH("technology manger",$C484)),ISNUMBER(SEARCH("tech manager",$C484))),"Technology Manager","Squad")))))))</f>
        <v>Squad</v>
      </c>
      <c r="AS484" s="1136" t="str">
        <f>IF(TRIM($B484)="","",IFERROR(INDEX(Lists!$AA:$AA,MATCH($AP484,Lists!$Z:$Z,0)),$AP484))</f>
        <v>Integration &amp; Process Automation</v>
      </c>
      <c r="AT484" s="1136" t="str">
        <f>IF(TRIM($B484)="","",IF(IFERROR(INDEX(Lists!$AP$2:$AP$11,MATCH(ROW(),Lists!$AN$2:$AN$11,0)),"")&lt;&gt;"",IFERROR(INDEX(Lists!$AP$2:$AP$11,MATCH(ROW(),Lists!$AN$2:$AN$11,0)),""),IF(OR(LEFT($AJ484,3)="COE",$AJ484="EGI"),$AP484,IF($AR484&lt;&gt;"Squad",$AR484,$AP484))))</f>
        <v>Integration &amp; Process Automation</v>
      </c>
    </row>
    <row r="485" ht="18" customHeight="1" s="866">
      <c r="A485" s="1155" t="n">
        <v>99999100381</v>
      </c>
      <c r="B485" s="1156" t="inlineStr">
        <is>
          <t>Joel Krijnen</t>
        </is>
      </c>
      <c r="C485" s="1156" t="inlineStr">
        <is>
          <t>Lead Engineer Software</t>
        </is>
      </c>
      <c r="D485" s="1156" t="inlineStr">
        <is>
          <t>Mike Seales</t>
        </is>
      </c>
      <c r="E485" s="1156" t="inlineStr">
        <is>
          <t>Technology Manager Integration &amp; Process Managemetn</t>
        </is>
      </c>
      <c r="F485" s="1157" t="inlineStr">
        <is>
          <t>TDD Group Functions</t>
        </is>
      </c>
      <c r="G485" s="1158" t="inlineStr">
        <is>
          <t xml:space="preserve">TDD &amp; Engineering </t>
        </is>
      </c>
      <c r="H485" s="1156" t="inlineStr">
        <is>
          <t>Integration &amp; Process Management</t>
        </is>
      </c>
      <c r="I485" s="1156" t="inlineStr">
        <is>
          <t>TDD</t>
        </is>
      </c>
      <c r="J485" s="1158" t="inlineStr">
        <is>
          <t>TDD</t>
        </is>
      </c>
      <c r="K485" s="1158" t="inlineStr">
        <is>
          <t>Integration &amp; Process automation</t>
        </is>
      </c>
      <c r="L485" s="1158" t="n"/>
      <c r="M485" s="1159" t="inlineStr">
        <is>
          <t>NZ</t>
        </is>
      </c>
      <c r="N485" s="1160" t="inlineStr">
        <is>
          <t>CIC</t>
        </is>
      </c>
      <c r="O485" s="1161" t="n">
        <v>1</v>
      </c>
      <c r="P485" s="1160" t="n"/>
      <c r="Q485" s="1161" t="inlineStr">
        <is>
          <t>Permanent - Full Time</t>
        </is>
      </c>
      <c r="R485" s="1162" t="n"/>
      <c r="S485" s="1162" t="n"/>
      <c r="T485" s="1163" t="n">
        <v>154830</v>
      </c>
      <c r="U485" s="1164" t="n">
        <v>142443.6</v>
      </c>
      <c r="V485" s="1165" t="n">
        <v>0.15</v>
      </c>
      <c r="W485" s="1161" t="n"/>
      <c r="X485" s="1166" t="n">
        <v>0.05</v>
      </c>
      <c r="Y485" s="1907" t="n">
        <v>2910</v>
      </c>
      <c r="Z485" s="1166" t="n">
        <v>0.03</v>
      </c>
      <c r="AA485" s="1168">
        <f>IF(TRIM($B485)="","",IF(N($AU485)&gt;0,$AU485,IF(N($S485)&gt;0,$S485*Lists!$AG$15*(1+N($Z485)),N($U485)*(1+N($V485)+N($W485)+N($X485)+N($Z485))+N($Y485))))</f>
        <v>178115.628</v>
      </c>
      <c r="AB485" s="1238" t="n"/>
      <c r="AC485" s="1238" t="n"/>
      <c r="AJ485" s="865" t="str">
        <f>IF(TRIM($B485)="","",IF(IFERROR(INDEX(Lists!$AO$2:$AO$11,MATCH(ROW(),Lists!$AN$2:$AN$11,0)),"")&lt;&gt;"",IFERROR(INDEX(Lists!$AO$2:$AO$11,MATCH(ROW(),Lists!$AN$2:$AN$11,0)),""),IFERROR(INDEX(Lists!$U:$U,MATCH(TRIM($I485),Lists!$T:$T,0)),TRIM($I485))))</f>
        <v>TDD Group Functions</v>
      </c>
      <c r="AK485" s="865" t="str">
        <f>IF(ISNUMBER(SEARCH("vacant",$B485)),"Vacant","Filled")</f>
        <v>Filled</v>
      </c>
      <c r="AL485" s="865" t="str">
        <f>IF($M485="NZ","NZ","AU")</f>
        <v>NZ</v>
      </c>
      <c r="AM485" s="865">
        <f>COUNTIF($AJ$2:$AJ485,$AJ485)</f>
        <v>22</v>
      </c>
      <c r="AN485" s="865" t="str">
        <f>$AJ485&amp;"|"&amp;$AM485</f>
        <v>TDD Group Functions|22</v>
      </c>
      <c r="AP485" s="1136" t="str">
        <f>IF(TRIM($B485)="","",IF($AQ485=1,"Leadership",IFERROR(INDEX(Lists!$X:$X,MATCH(TRIM($K485),Lists!$W:$W,0)),IF(OR(TRIM($K485)="",LOWER(TRIM($K485))="na"),IF(TRIM($G485)="","Unassigned",TRIM($G485)),TRIM($K485)))))</f>
        <v>Integration &amp; Process Automation</v>
      </c>
      <c r="AQ485" s="865" t="b">
        <f>IF(TRIM($B485)="","",--OR(TRIM($K485)="Leadership",TRIM($J485)="Leadership"))</f>
        <v>0</v>
      </c>
      <c r="AR485" s="1136" t="str">
        <f>IF(TRIM($B485)="","",IF(IFERROR(INDEX(Lists!$AQ$2:$AQ$11,MATCH(ROW(),Lists!$AN$2:$AN$11,0)),"")&lt;&gt;"",IFERROR(INDEX(Lists!$AQ$2:$AQ$11,MATCH(ROW(),Lists!$AN$2:$AN$11,0)),""),IF(ISNUMBER(SEARCH("head of ",$C485)),"Head of Technology",IF(ISNUMBER(SEARCH("TDD BP",$C485)),"Business Partner",IF(OR(ISNUMBER(SEARCH("domain architect",$C485)),ISNUMBER(SEARCH("enterprise architect",$C485))),"Domain Architect",IF(ISNUMBER(SEARCH("delivery man",$C485)),"Delivery Manager",IF(OR(ISNUMBER(SEARCH("technology manager",$C485)),ISNUMBER(SEARCH("technology manger",$C485)),ISNUMBER(SEARCH("tech manager",$C485))),"Technology Manager","Squad")))))))</f>
        <v>Squad</v>
      </c>
      <c r="AS485" s="1136" t="str">
        <f>IF(TRIM($B485)="","",IFERROR(INDEX(Lists!$AA:$AA,MATCH($AP485,Lists!$Z:$Z,0)),$AP485))</f>
        <v>Integration &amp; Process Automation</v>
      </c>
      <c r="AT485" s="1136" t="str">
        <f>IF(TRIM($B485)="","",IF(IFERROR(INDEX(Lists!$AP$2:$AP$11,MATCH(ROW(),Lists!$AN$2:$AN$11,0)),"")&lt;&gt;"",IFERROR(INDEX(Lists!$AP$2:$AP$11,MATCH(ROW(),Lists!$AN$2:$AN$11,0)),""),IF(OR(LEFT($AJ485,3)="COE",$AJ485="EGI"),$AP485,IF($AR485&lt;&gt;"Squad",$AR485,$AP485))))</f>
        <v>Integration &amp; Process Automation</v>
      </c>
    </row>
    <row r="486" ht="18" customHeight="1" s="866">
      <c r="A486" s="1155" t="n">
        <v>99999101879</v>
      </c>
      <c r="B486" s="1199" t="inlineStr">
        <is>
          <t>Lisa Rademakers</t>
        </is>
      </c>
      <c r="C486" s="1199" t="inlineStr">
        <is>
          <t>Delivery Lead (Integrations)</t>
        </is>
      </c>
      <c r="D486" s="1156" t="inlineStr">
        <is>
          <t>Vacant</t>
        </is>
      </c>
      <c r="E486" s="1156" t="inlineStr">
        <is>
          <t>Delivery Manager</t>
        </is>
      </c>
      <c r="F486" s="1157" t="inlineStr">
        <is>
          <t>TDD Group Functions</t>
        </is>
      </c>
      <c r="G486" s="1158" t="inlineStr">
        <is>
          <t xml:space="preserve">TDD &amp; Engineering </t>
        </is>
      </c>
      <c r="H486" s="1156" t="inlineStr">
        <is>
          <t>Delivery, TDD &amp; Engineering</t>
        </is>
      </c>
      <c r="I486" s="1156" t="inlineStr">
        <is>
          <t>TDD</t>
        </is>
      </c>
      <c r="J486" s="1158" t="inlineStr">
        <is>
          <t>TDD</t>
        </is>
      </c>
      <c r="K486" s="1158" t="inlineStr">
        <is>
          <t>Integration &amp; Process Automation</t>
        </is>
      </c>
      <c r="L486" s="1158" t="n"/>
      <c r="M486" s="1159" t="inlineStr">
        <is>
          <t>NZ</t>
        </is>
      </c>
      <c r="N486" s="1160" t="inlineStr">
        <is>
          <t>CIC</t>
        </is>
      </c>
      <c r="O486" s="1161" t="n">
        <v>1</v>
      </c>
      <c r="P486" s="1160" t="n"/>
      <c r="Q486" s="1161" t="inlineStr">
        <is>
          <t>Permanent - Full Time</t>
        </is>
      </c>
      <c r="R486" s="1162" t="n"/>
      <c r="S486" s="1162" t="n"/>
      <c r="T486" s="1163" t="n">
        <v>176220</v>
      </c>
      <c r="U486" s="1164" t="n">
        <v>162122.4</v>
      </c>
      <c r="V486" s="1165" t="n">
        <v>0.15</v>
      </c>
      <c r="W486" s="1162" t="n"/>
      <c r="X486" s="1166" t="n">
        <v>0.05</v>
      </c>
      <c r="Y486" s="1907" t="n">
        <v>2910</v>
      </c>
      <c r="Z486" s="1166" t="n">
        <v>0.03</v>
      </c>
      <c r="AA486" s="1168">
        <f>IF(TRIM($B486)="","",IF(N($AU486)&gt;0,$AU486,IF(N($S486)&gt;0,$S486*Lists!$AG$15*(1+N($Z486)),N($U486)*(1+N($V486)+N($W486)+N($X486)+N($Z486))+N($Y486))))</f>
        <v>202320.552</v>
      </c>
      <c r="AB486" s="1238" t="n"/>
      <c r="AC486" s="1238" t="n"/>
      <c r="AJ486" s="865" t="str">
        <f>IF(TRIM($B486)="","",IF(IFERROR(INDEX(Lists!$AO$2:$AO$11,MATCH(ROW(),Lists!$AN$2:$AN$11,0)),"")&lt;&gt;"",IFERROR(INDEX(Lists!$AO$2:$AO$11,MATCH(ROW(),Lists!$AN$2:$AN$11,0)),""),IFERROR(INDEX(Lists!$U:$U,MATCH(TRIM($I486),Lists!$T:$T,0)),TRIM($I486))))</f>
        <v>TDD Group Functions</v>
      </c>
      <c r="AK486" s="865" t="str">
        <f>IF(ISNUMBER(SEARCH("vacant",$B486)),"Vacant","Filled")</f>
        <v>Filled</v>
      </c>
      <c r="AL486" s="865" t="str">
        <f>IF($M486="NZ","NZ","AU")</f>
        <v>NZ</v>
      </c>
      <c r="AM486" s="865">
        <f>COUNTIF($AJ$2:$AJ486,$AJ486)</f>
        <v>23</v>
      </c>
      <c r="AN486" s="865" t="str">
        <f>$AJ486&amp;"|"&amp;$AM486</f>
        <v>TDD Group Functions|23</v>
      </c>
      <c r="AP486" s="865" t="str">
        <f>IF(TRIM($B486)="","",IF($AQ486=1,"Leadership",IFERROR(INDEX(Lists!$X:$X,MATCH(TRIM($K486),Lists!$W:$W,0)),IF(OR(TRIM($K486)="",LOWER(TRIM($K486))="na"),IF(TRIM($G486)="","Unassigned",TRIM($G486)),TRIM($K486)))))</f>
        <v>Integration &amp; Process Automation</v>
      </c>
      <c r="AQ486" s="865" t="b">
        <f>IF(TRIM($B486)="","",--OR(TRIM($K486)="Leadership",TRIM($J486)="Leadership"))</f>
        <v>0</v>
      </c>
      <c r="AR486" s="1136" t="str">
        <f>IF(TRIM($B486)="","",IF(IFERROR(INDEX(Lists!$AQ$2:$AQ$11,MATCH(ROW(),Lists!$AN$2:$AN$11,0)),"")&lt;&gt;"",IFERROR(INDEX(Lists!$AQ$2:$AQ$11,MATCH(ROW(),Lists!$AN$2:$AN$11,0)),""),IF(ISNUMBER(SEARCH("head of ",$C486)),"Head of Technology",IF(ISNUMBER(SEARCH("TDD BP",$C486)),"Business Partner",IF(OR(ISNUMBER(SEARCH("domain architect",$C486)),ISNUMBER(SEARCH("enterprise architect",$C486))),"Domain Architect",IF(ISNUMBER(SEARCH("delivery man",$C486)),"Delivery Manager",IF(OR(ISNUMBER(SEARCH("technology manager",$C486)),ISNUMBER(SEARCH("technology manger",$C486)),ISNUMBER(SEARCH("tech manager",$C486))),"Technology Manager","Squad")))))))</f>
        <v>Squad</v>
      </c>
      <c r="AS486" s="1136" t="str">
        <f>IF(TRIM($B486)="","",IFERROR(INDEX(Lists!$AA:$AA,MATCH($AP486,Lists!$Z:$Z,0)),$AP486))</f>
        <v>Integration &amp; Process Automation</v>
      </c>
      <c r="AT486" s="1136" t="str">
        <f>IF(TRIM($B486)="","",IF(IFERROR(INDEX(Lists!$AP$2:$AP$11,MATCH(ROW(),Lists!$AN$2:$AN$11,0)),"")&lt;&gt;"",IFERROR(INDEX(Lists!$AP$2:$AP$11,MATCH(ROW(),Lists!$AN$2:$AN$11,0)),""),IF(OR(LEFT($AJ486,3)="COE",$AJ486="EGI"),$AP486,IF($AR486&lt;&gt;"Squad",$AR486,$AP486))))</f>
        <v>Integration &amp; Process Automation</v>
      </c>
    </row>
    <row r="487" ht="18" customHeight="1" s="866">
      <c r="A487" s="1155" t="n">
        <v>99999101273</v>
      </c>
      <c r="B487" s="1156" t="inlineStr">
        <is>
          <t>Michael Weng</t>
        </is>
      </c>
      <c r="C487" s="1156" t="inlineStr">
        <is>
          <t>Solution Architect</t>
        </is>
      </c>
      <c r="D487" s="1156" t="inlineStr">
        <is>
          <t>Mike Seales</t>
        </is>
      </c>
      <c r="E487" s="1156" t="inlineStr">
        <is>
          <t>Technology Manager Integration &amp; Process Managemetn</t>
        </is>
      </c>
      <c r="F487" s="1157" t="inlineStr">
        <is>
          <t>TDD Group Functions</t>
        </is>
      </c>
      <c r="G487" s="1158" t="inlineStr">
        <is>
          <t xml:space="preserve">TDD &amp; Engineering </t>
        </is>
      </c>
      <c r="H487" s="1156" t="inlineStr">
        <is>
          <t>Integration &amp; Process Management</t>
        </is>
      </c>
      <c r="I487" s="1156" t="inlineStr">
        <is>
          <t>TDD</t>
        </is>
      </c>
      <c r="J487" s="1158" t="inlineStr">
        <is>
          <t>TDD</t>
        </is>
      </c>
      <c r="K487" s="1158" t="inlineStr">
        <is>
          <t>Integration &amp; Process automation</t>
        </is>
      </c>
      <c r="L487" s="1158" t="n"/>
      <c r="M487" s="1159" t="inlineStr">
        <is>
          <t>NZ</t>
        </is>
      </c>
      <c r="N487" s="1160" t="inlineStr">
        <is>
          <t>CIC</t>
        </is>
      </c>
      <c r="O487" s="1161" t="n">
        <v>1</v>
      </c>
      <c r="P487" s="1160" t="n"/>
      <c r="Q487" s="1161" t="inlineStr">
        <is>
          <t>Permanent - Full Time</t>
        </is>
      </c>
      <c r="R487" s="1162" t="n"/>
      <c r="S487" s="1162" t="n"/>
      <c r="T487" s="1163" t="n">
        <v>188510</v>
      </c>
      <c r="U487" s="1174" t="n">
        <v>173429.2</v>
      </c>
      <c r="V487" s="1293" t="n">
        <v>0.15</v>
      </c>
      <c r="W487" s="1276" t="n"/>
      <c r="X487" s="1203" t="n">
        <v>0.05</v>
      </c>
      <c r="Y487" s="1913" t="n">
        <v>2910</v>
      </c>
      <c r="Z487" s="1203" t="n">
        <v>0.03</v>
      </c>
      <c r="AA487" s="1206">
        <f>IF(TRIM($B487)="","",IF(N($AU487)&gt;0,$AU487,IF(N($S487)&gt;0,$S487*Lists!$AG$15*(1+N($Z487)),N($U487)*(1+N($V487)+N($W487)+N($X487)+N($Z487))+N($Y487))))</f>
        <v>216227.916</v>
      </c>
      <c r="AB487" s="1238" t="n"/>
      <c r="AC487" s="1238" t="n"/>
      <c r="AJ487" s="865" t="str">
        <f>IF(TRIM($B487)="","",IF(IFERROR(INDEX(Lists!$AO$2:$AO$11,MATCH(ROW(),Lists!$AN$2:$AN$11,0)),"")&lt;&gt;"",IFERROR(INDEX(Lists!$AO$2:$AO$11,MATCH(ROW(),Lists!$AN$2:$AN$11,0)),""),IFERROR(INDEX(Lists!$U:$U,MATCH(TRIM($I487),Lists!$T:$T,0)),TRIM($I487))))</f>
        <v>TDD Group Functions</v>
      </c>
      <c r="AK487" s="865" t="str">
        <f>IF(ISNUMBER(SEARCH("vacant",$B487)),"Vacant","Filled")</f>
        <v>Filled</v>
      </c>
      <c r="AL487" s="865" t="str">
        <f>IF($M487="NZ","NZ","AU")</f>
        <v>NZ</v>
      </c>
      <c r="AM487" s="865">
        <f>COUNTIF($AJ$2:$AJ487,$AJ487)</f>
        <v>24</v>
      </c>
      <c r="AN487" s="865" t="str">
        <f>$AJ487&amp;"|"&amp;$AM487</f>
        <v>TDD Group Functions|24</v>
      </c>
      <c r="AP487" s="865" t="str">
        <f>IF(TRIM($B487)="","",IF($AQ487=1,"Leadership",IFERROR(INDEX(Lists!$X:$X,MATCH(TRIM($K487),Lists!$W:$W,0)),IF(OR(TRIM($K487)="",LOWER(TRIM($K487))="na"),IF(TRIM($G487)="","Unassigned",TRIM($G487)),TRIM($K487)))))</f>
        <v>Integration &amp; Process Automation</v>
      </c>
      <c r="AQ487" s="865" t="b">
        <f>IF(TRIM($B487)="","",--OR(TRIM($K487)="Leadership",TRIM($J487)="Leadership"))</f>
        <v>0</v>
      </c>
      <c r="AR487" s="1136" t="str">
        <f>IF(TRIM($B487)="","",IF(IFERROR(INDEX(Lists!$AQ$2:$AQ$11,MATCH(ROW(),Lists!$AN$2:$AN$11,0)),"")&lt;&gt;"",IFERROR(INDEX(Lists!$AQ$2:$AQ$11,MATCH(ROW(),Lists!$AN$2:$AN$11,0)),""),IF(ISNUMBER(SEARCH("head of ",$C487)),"Head of Technology",IF(ISNUMBER(SEARCH("TDD BP",$C487)),"Business Partner",IF(OR(ISNUMBER(SEARCH("domain architect",$C487)),ISNUMBER(SEARCH("enterprise architect",$C487))),"Domain Architect",IF(ISNUMBER(SEARCH("delivery man",$C487)),"Delivery Manager",IF(OR(ISNUMBER(SEARCH("technology manager",$C487)),ISNUMBER(SEARCH("technology manger",$C487)),ISNUMBER(SEARCH("tech manager",$C487))),"Technology Manager","Squad")))))))</f>
        <v>Squad</v>
      </c>
      <c r="AS487" s="1136" t="str">
        <f>IF(TRIM($B487)="","",IFERROR(INDEX(Lists!$AA:$AA,MATCH($AP487,Lists!$Z:$Z,0)),$AP487))</f>
        <v>Integration &amp; Process Automation</v>
      </c>
      <c r="AT487" s="1136" t="str">
        <f>IF(TRIM($B487)="","",IF(IFERROR(INDEX(Lists!$AP$2:$AP$11,MATCH(ROW(),Lists!$AN$2:$AN$11,0)),"")&lt;&gt;"",IFERROR(INDEX(Lists!$AP$2:$AP$11,MATCH(ROW(),Lists!$AN$2:$AN$11,0)),""),IF(OR(LEFT($AJ487,3)="COE",$AJ487="EGI"),$AP487,IF($AR487&lt;&gt;"Squad",$AR487,$AP487))))</f>
        <v>Integration &amp; Process Automation</v>
      </c>
    </row>
    <row r="488" ht="18" customHeight="1" s="866">
      <c r="A488" s="1155" t="n">
        <v>99999101058</v>
      </c>
      <c r="B488" s="1236" t="inlineStr">
        <is>
          <t>Mike Seales</t>
        </is>
      </c>
      <c r="C488" s="1156" t="inlineStr">
        <is>
          <t>Technology Manager, Integration &amp; Process Automation</t>
        </is>
      </c>
      <c r="D488" s="1158" t="inlineStr">
        <is>
          <t>Vacant</t>
        </is>
      </c>
      <c r="E488" s="1156" t="inlineStr">
        <is>
          <t>Head of Technology - TDD &amp; Engineering Capability Lead</t>
        </is>
      </c>
      <c r="F488" s="1157" t="inlineStr">
        <is>
          <t>TDD Group Functions</t>
        </is>
      </c>
      <c r="G488" s="1158" t="inlineStr">
        <is>
          <t xml:space="preserve">TDD &amp; Engineering </t>
        </is>
      </c>
      <c r="H488" s="1156" t="inlineStr">
        <is>
          <t>Integration &amp; Process Management</t>
        </is>
      </c>
      <c r="I488" s="1156" t="inlineStr">
        <is>
          <t>TDD</t>
        </is>
      </c>
      <c r="J488" s="1158" t="inlineStr">
        <is>
          <t>TDD</t>
        </is>
      </c>
      <c r="K488" s="1158" t="inlineStr">
        <is>
          <t>Integration &amp; Process automation</t>
        </is>
      </c>
      <c r="L488" s="1158" t="n"/>
      <c r="M488" s="1159" t="inlineStr">
        <is>
          <t>NZ</t>
        </is>
      </c>
      <c r="N488" s="1160" t="inlineStr">
        <is>
          <t>CSB</t>
        </is>
      </c>
      <c r="O488" s="1161" t="n">
        <v>1</v>
      </c>
      <c r="P488" s="1160" t="n"/>
      <c r="Q488" s="1161" t="inlineStr">
        <is>
          <t>Permanent - Full Time</t>
        </is>
      </c>
      <c r="R488" s="1162" t="n"/>
      <c r="S488" s="1162" t="n"/>
      <c r="T488" s="1163" t="n">
        <v>200000</v>
      </c>
      <c r="U488" s="1174" t="n">
        <v>184000</v>
      </c>
      <c r="V488" s="1293" t="n">
        <v>0.15</v>
      </c>
      <c r="W488" s="1276" t="n"/>
      <c r="X488" s="1203" t="n">
        <v>0.05</v>
      </c>
      <c r="Y488" s="1913" t="n">
        <v>2910</v>
      </c>
      <c r="Z488" s="1203" t="n">
        <v>0.03</v>
      </c>
      <c r="AA488" s="1206">
        <f>IF(TRIM($B488)="","",IF(N($AU488)&gt;0,$AU488,IF(N($S488)&gt;0,$S488*Lists!$AG$15*(1+N($Z488)),N($U488)*(1+N($V488)+N($W488)+N($X488)+N($Z488))+N($Y488))))</f>
        <v>229230</v>
      </c>
      <c r="AB488" s="1238" t="n"/>
      <c r="AC488" s="1238" t="n"/>
      <c r="AJ488" s="865" t="str">
        <f>IF(TRIM($B488)="","",IF(IFERROR(INDEX(Lists!$AO$2:$AO$11,MATCH(ROW(),Lists!$AN$2:$AN$11,0)),"")&lt;&gt;"",IFERROR(INDEX(Lists!$AO$2:$AO$11,MATCH(ROW(),Lists!$AN$2:$AN$11,0)),""),IFERROR(INDEX(Lists!$U:$U,MATCH(TRIM($I488),Lists!$T:$T,0)),TRIM($I488))))</f>
        <v>TDD Group Functions</v>
      </c>
      <c r="AK488" s="865" t="str">
        <f>IF(ISNUMBER(SEARCH("vacant",$B488)),"Vacant","Filled")</f>
        <v>Filled</v>
      </c>
      <c r="AL488" s="865" t="str">
        <f>IF($M488="NZ","NZ","AU")</f>
        <v>NZ</v>
      </c>
      <c r="AM488" s="865">
        <f>COUNTIF($AJ$2:$AJ488,$AJ488)</f>
        <v>25</v>
      </c>
      <c r="AN488" s="865" t="str">
        <f>$AJ488&amp;"|"&amp;$AM488</f>
        <v>TDD Group Functions|25</v>
      </c>
      <c r="AP488" s="865" t="str">
        <f>IF(TRIM($B488)="","",IF($AQ488=1,"Leadership",IFERROR(INDEX(Lists!$X:$X,MATCH(TRIM($K488),Lists!$W:$W,0)),IF(OR(TRIM($K488)="",LOWER(TRIM($K488))="na"),IF(TRIM($G488)="","Unassigned",TRIM($G488)),TRIM($K488)))))</f>
        <v>Integration &amp; Process Automation</v>
      </c>
      <c r="AQ488" s="865" t="b">
        <f>IF(TRIM($B488)="","",--OR(TRIM($K488)="Leadership",TRIM($J488)="Leadership"))</f>
        <v>0</v>
      </c>
      <c r="AR488" s="1136" t="str">
        <f>IF(TRIM($B488)="","",IF(IFERROR(INDEX(Lists!$AQ$2:$AQ$11,MATCH(ROW(),Lists!$AN$2:$AN$11,0)),"")&lt;&gt;"",IFERROR(INDEX(Lists!$AQ$2:$AQ$11,MATCH(ROW(),Lists!$AN$2:$AN$11,0)),""),IF(ISNUMBER(SEARCH("head of ",$C488)),"Head of Technology",IF(ISNUMBER(SEARCH("TDD BP",$C488)),"Business Partner",IF(OR(ISNUMBER(SEARCH("domain architect",$C488)),ISNUMBER(SEARCH("enterprise architect",$C488))),"Domain Architect",IF(ISNUMBER(SEARCH("delivery man",$C488)),"Delivery Manager",IF(OR(ISNUMBER(SEARCH("technology manager",$C488)),ISNUMBER(SEARCH("technology manger",$C488)),ISNUMBER(SEARCH("tech manager",$C488))),"Technology Manager","Squad")))))))</f>
        <v>Technology Manager</v>
      </c>
      <c r="AS488" s="1136" t="str">
        <f>IF(TRIM($B488)="","",IFERROR(INDEX(Lists!$AA:$AA,MATCH($AP488,Lists!$Z:$Z,0)),$AP488))</f>
        <v>Integration &amp; Process Automation</v>
      </c>
      <c r="AT488" s="1136" t="str">
        <f>IF(TRIM($B488)="","",IF(IFERROR(INDEX(Lists!$AP$2:$AP$11,MATCH(ROW(),Lists!$AN$2:$AN$11,0)),"")&lt;&gt;"",IFERROR(INDEX(Lists!$AP$2:$AP$11,MATCH(ROW(),Lists!$AN$2:$AN$11,0)),""),IF(OR(LEFT($AJ488,3)="COE",$AJ488="EGI"),$AP488,IF($AR488&lt;&gt;"Squad",$AR488,$AP488))))</f>
        <v>Technology Manager</v>
      </c>
    </row>
    <row r="489" ht="18" customHeight="1" s="866">
      <c r="A489" s="1155" t="n">
        <v>99999101069</v>
      </c>
      <c r="B489" s="1199" t="inlineStr">
        <is>
          <t>Noel Morris</t>
        </is>
      </c>
      <c r="C489" s="1199" t="inlineStr">
        <is>
          <t>Snr Engineer</t>
        </is>
      </c>
      <c r="D489" s="1158" t="inlineStr">
        <is>
          <t>Vacant</t>
        </is>
      </c>
      <c r="E489" s="1199" t="inlineStr">
        <is>
          <t>RPA Lead</t>
        </is>
      </c>
      <c r="F489" s="1157" t="inlineStr">
        <is>
          <t>TDD Group Functions</t>
        </is>
      </c>
      <c r="G489" s="1158" t="inlineStr">
        <is>
          <t xml:space="preserve">TDD &amp; Engineering </t>
        </is>
      </c>
      <c r="H489" s="1158" t="inlineStr">
        <is>
          <t>Integration &amp; Process automation</t>
        </is>
      </c>
      <c r="I489" s="1156" t="inlineStr">
        <is>
          <t>TDD</t>
        </is>
      </c>
      <c r="J489" s="1158" t="inlineStr">
        <is>
          <t>TDD</t>
        </is>
      </c>
      <c r="K489" s="1158" t="inlineStr">
        <is>
          <t>Integration &amp; Process automation</t>
        </is>
      </c>
      <c r="L489" s="1158" t="n"/>
      <c r="M489" s="1159" t="inlineStr">
        <is>
          <t>NZ</t>
        </is>
      </c>
      <c r="N489" s="1160" t="inlineStr">
        <is>
          <t>CIA</t>
        </is>
      </c>
      <c r="O489" s="1161" t="n">
        <v>1</v>
      </c>
      <c r="P489" s="1160" t="n"/>
      <c r="Q489" s="1161" t="inlineStr">
        <is>
          <t>Permanent - Full Time</t>
        </is>
      </c>
      <c r="R489" s="1162" t="n"/>
      <c r="S489" s="1162" t="n"/>
      <c r="T489" s="1163" t="n">
        <v>120800</v>
      </c>
      <c r="U489" s="1174" t="n">
        <v>111136</v>
      </c>
      <c r="V489" s="1293" t="n">
        <v>0.15</v>
      </c>
      <c r="W489" s="1276" t="n"/>
      <c r="X489" s="1203" t="n">
        <v>0.05</v>
      </c>
      <c r="Y489" s="1913" t="n">
        <v>2910</v>
      </c>
      <c r="Z489" s="1203" t="n">
        <v>0.03</v>
      </c>
      <c r="AA489" s="1206">
        <f>IF(TRIM($B489)="","",IF(N($AU489)&gt;0,$AU489,IF(N($S489)&gt;0,$S489*Lists!$AG$15*(1+N($Z489)),N($U489)*(1+N($V489)+N($W489)+N($X489)+N($Z489))+N($Y489))))</f>
        <v>139607.28</v>
      </c>
      <c r="AB489" s="1238" t="n"/>
      <c r="AC489" s="1238" t="n"/>
      <c r="AJ489" s="865" t="str">
        <f>IF(TRIM($B489)="","",IF(IFERROR(INDEX(Lists!$AO$2:$AO$11,MATCH(ROW(),Lists!$AN$2:$AN$11,0)),"")&lt;&gt;"",IFERROR(INDEX(Lists!$AO$2:$AO$11,MATCH(ROW(),Lists!$AN$2:$AN$11,0)),""),IFERROR(INDEX(Lists!$U:$U,MATCH(TRIM($I489),Lists!$T:$T,0)),TRIM($I489))))</f>
        <v>TDD Group Functions</v>
      </c>
      <c r="AK489" s="865" t="str">
        <f>IF(ISNUMBER(SEARCH("vacant",$B489)),"Vacant","Filled")</f>
        <v>Filled</v>
      </c>
      <c r="AL489" s="865" t="str">
        <f>IF($M489="NZ","NZ","AU")</f>
        <v>NZ</v>
      </c>
      <c r="AM489" s="865">
        <f>COUNTIF($AJ$2:$AJ489,$AJ489)</f>
        <v>26</v>
      </c>
      <c r="AN489" s="865" t="str">
        <f>$AJ489&amp;"|"&amp;$AM489</f>
        <v>TDD Group Functions|26</v>
      </c>
      <c r="AP489" s="1136" t="str">
        <f>IF(TRIM($B489)="","",IF($AQ489=1,"Leadership",IFERROR(INDEX(Lists!$X:$X,MATCH(TRIM($K489),Lists!$W:$W,0)),IF(OR(TRIM($K489)="",LOWER(TRIM($K489))="na"),IF(TRIM($G489)="","Unassigned",TRIM($G489)),TRIM($K489)))))</f>
        <v>Integration &amp; Process Automation</v>
      </c>
      <c r="AQ489" s="865" t="b">
        <f>IF(TRIM($B489)="","",--OR(TRIM($K489)="Leadership",TRIM($J489)="Leadership"))</f>
        <v>0</v>
      </c>
      <c r="AR489" s="1136" t="str">
        <f>IF(TRIM($B489)="","",IF(IFERROR(INDEX(Lists!$AQ$2:$AQ$11,MATCH(ROW(),Lists!$AN$2:$AN$11,0)),"")&lt;&gt;"",IFERROR(INDEX(Lists!$AQ$2:$AQ$11,MATCH(ROW(),Lists!$AN$2:$AN$11,0)),""),IF(ISNUMBER(SEARCH("head of ",$C489)),"Head of Technology",IF(ISNUMBER(SEARCH("TDD BP",$C489)),"Business Partner",IF(OR(ISNUMBER(SEARCH("domain architect",$C489)),ISNUMBER(SEARCH("enterprise architect",$C489))),"Domain Architect",IF(ISNUMBER(SEARCH("delivery man",$C489)),"Delivery Manager",IF(OR(ISNUMBER(SEARCH("technology manager",$C489)),ISNUMBER(SEARCH("technology manger",$C489)),ISNUMBER(SEARCH("tech manager",$C489))),"Technology Manager","Squad")))))))</f>
        <v>Squad</v>
      </c>
      <c r="AS489" s="1136" t="str">
        <f>IF(TRIM($B489)="","",IFERROR(INDEX(Lists!$AA:$AA,MATCH($AP489,Lists!$Z:$Z,0)),$AP489))</f>
        <v>Integration &amp; Process Automation</v>
      </c>
      <c r="AT489" s="1136" t="str">
        <f>IF(TRIM($B489)="","",IF(IFERROR(INDEX(Lists!$AP$2:$AP$11,MATCH(ROW(),Lists!$AN$2:$AN$11,0)),"")&lt;&gt;"",IFERROR(INDEX(Lists!$AP$2:$AP$11,MATCH(ROW(),Lists!$AN$2:$AN$11,0)),""),IF(OR(LEFT($AJ489,3)="COE",$AJ489="EGI"),$AP489,IF($AR489&lt;&gt;"Squad",$AR489,$AP489))))</f>
        <v>Integration &amp; Process Automation</v>
      </c>
    </row>
    <row r="490" ht="18" customHeight="1" s="866">
      <c r="A490" s="1155" t="n">
        <v>114367</v>
      </c>
      <c r="B490" s="1199" t="inlineStr">
        <is>
          <t>Thandava Krishna Kakarala</t>
        </is>
      </c>
      <c r="C490" s="1199" t="inlineStr">
        <is>
          <t>Snr Engineer - Boomi</t>
        </is>
      </c>
      <c r="D490" s="1156" t="inlineStr">
        <is>
          <t>Mike Seales</t>
        </is>
      </c>
      <c r="E490" s="1156" t="inlineStr">
        <is>
          <t>Technology Manager Integration &amp; Process Managemetn</t>
        </is>
      </c>
      <c r="F490" s="1157" t="inlineStr">
        <is>
          <t>TDD Group Functions</t>
        </is>
      </c>
      <c r="G490" s="1158" t="inlineStr">
        <is>
          <t xml:space="preserve">TDD &amp; Engineering </t>
        </is>
      </c>
      <c r="H490" s="1156" t="inlineStr">
        <is>
          <t>Integration &amp; Process Management</t>
        </is>
      </c>
      <c r="I490" s="1156" t="inlineStr">
        <is>
          <t>TDD</t>
        </is>
      </c>
      <c r="J490" s="1158" t="inlineStr">
        <is>
          <t>TDD</t>
        </is>
      </c>
      <c r="K490" s="1158" t="inlineStr">
        <is>
          <t>Integration &amp; Process automation</t>
        </is>
      </c>
      <c r="L490" s="1158" t="n"/>
      <c r="M490" s="1159" t="inlineStr">
        <is>
          <t>Australia</t>
        </is>
      </c>
      <c r="N490" s="1160" t="inlineStr">
        <is>
          <t>CIB</t>
        </is>
      </c>
      <c r="O490" s="1160" t="n">
        <v>1</v>
      </c>
      <c r="P490" s="1160" t="n"/>
      <c r="Q490" s="1160" t="inlineStr">
        <is>
          <t>Permanent - Full Time</t>
        </is>
      </c>
      <c r="R490" s="1162" t="n"/>
      <c r="S490" s="1162" t="n"/>
      <c r="T490" s="1163" t="n">
        <v>140000</v>
      </c>
      <c r="U490" s="1164" t="n">
        <v>140000</v>
      </c>
      <c r="V490" s="1166" t="n">
        <v>0.12</v>
      </c>
      <c r="W490" s="1170" t="n">
        <v>0.055</v>
      </c>
      <c r="X490" s="1170" t="n">
        <v>0.12</v>
      </c>
      <c r="Y490" s="1171" t="n"/>
      <c r="Z490" s="1170" t="n">
        <v>0.04</v>
      </c>
      <c r="AA490" s="1168">
        <f>IF(TRIM($B490)="","",IF(N($AU490)&gt;0,$AU490,IF(N($S490)&gt;0,$S490*Lists!$AG$15*(1+N($Z490)),N($U490)*(1+N($V490)+N($W490)+N($X490)+N($Z490))+N($Y490))))</f>
        <v>186900</v>
      </c>
      <c r="AB490" s="1238" t="n"/>
      <c r="AC490" s="1238" t="n"/>
      <c r="AJ490" s="865" t="str">
        <f>IF(TRIM($B490)="","",IF(IFERROR(INDEX(Lists!$AO$2:$AO$11,MATCH(ROW(),Lists!$AN$2:$AN$11,0)),"")&lt;&gt;"",IFERROR(INDEX(Lists!$AO$2:$AO$11,MATCH(ROW(),Lists!$AN$2:$AN$11,0)),""),IFERROR(INDEX(Lists!$U:$U,MATCH(TRIM($I490),Lists!$T:$T,0)),TRIM($I490))))</f>
        <v>TDD Group Functions</v>
      </c>
      <c r="AK490" s="865" t="str">
        <f>IF(ISNUMBER(SEARCH("vacant",$B490)),"Vacant","Filled")</f>
        <v>Filled</v>
      </c>
      <c r="AL490" s="865" t="str">
        <f>IF($M490="NZ","NZ","AU")</f>
        <v>AU</v>
      </c>
      <c r="AM490" s="865">
        <f>COUNTIF($AJ$2:$AJ490,$AJ490)</f>
        <v>27</v>
      </c>
      <c r="AN490" s="865" t="str">
        <f>$AJ490&amp;"|"&amp;$AM490</f>
        <v>TDD Group Functions|27</v>
      </c>
      <c r="AP490" s="865" t="str">
        <f>IF(TRIM($B490)="","",IF($AQ490=1,"Leadership",IFERROR(INDEX(Lists!$X:$X,MATCH(TRIM($K490),Lists!$W:$W,0)),IF(OR(TRIM($K490)="",LOWER(TRIM($K490))="na"),IF(TRIM($G490)="","Unassigned",TRIM($G490)),TRIM($K490)))))</f>
        <v>Integration &amp; Process Automation</v>
      </c>
      <c r="AQ490" s="865" t="b">
        <f>IF(TRIM($B490)="","",--OR(TRIM($K490)="Leadership",TRIM($J490)="Leadership"))</f>
        <v>0</v>
      </c>
      <c r="AR490" s="1136" t="str">
        <f>IF(TRIM($B490)="","",IF(IFERROR(INDEX(Lists!$AQ$2:$AQ$11,MATCH(ROW(),Lists!$AN$2:$AN$11,0)),"")&lt;&gt;"",IFERROR(INDEX(Lists!$AQ$2:$AQ$11,MATCH(ROW(),Lists!$AN$2:$AN$11,0)),""),IF(ISNUMBER(SEARCH("head of ",$C490)),"Head of Technology",IF(ISNUMBER(SEARCH("TDD BP",$C490)),"Business Partner",IF(OR(ISNUMBER(SEARCH("domain architect",$C490)),ISNUMBER(SEARCH("enterprise architect",$C490))),"Domain Architect",IF(ISNUMBER(SEARCH("delivery man",$C490)),"Delivery Manager",IF(OR(ISNUMBER(SEARCH("technology manager",$C490)),ISNUMBER(SEARCH("technology manger",$C490)),ISNUMBER(SEARCH("tech manager",$C490))),"Technology Manager","Squad")))))))</f>
        <v>Squad</v>
      </c>
      <c r="AS490" s="1136" t="str">
        <f>IF(TRIM($B490)="","",IFERROR(INDEX(Lists!$AA:$AA,MATCH($AP490,Lists!$Z:$Z,0)),$AP490))</f>
        <v>Integration &amp; Process Automation</v>
      </c>
      <c r="AT490" s="1136" t="str">
        <f>IF(TRIM($B490)="","",IF(IFERROR(INDEX(Lists!$AP$2:$AP$11,MATCH(ROW(),Lists!$AN$2:$AN$11,0)),"")&lt;&gt;"",IFERROR(INDEX(Lists!$AP$2:$AP$11,MATCH(ROW(),Lists!$AN$2:$AN$11,0)),""),IF(OR(LEFT($AJ490,3)="COE",$AJ490="EGI"),$AP490,IF($AR490&lt;&gt;"Squad",$AR490,$AP490))))</f>
        <v>Integration &amp; Process Automation</v>
      </c>
    </row>
    <row r="491" ht="18" customFormat="1" customHeight="1" s="1296">
      <c r="A491" s="1835" t="n">
        <v>116027</v>
      </c>
      <c r="B491" s="1836" t="inlineStr">
        <is>
          <t>Nidhi Aggarwal</t>
        </is>
      </c>
      <c r="C491" s="1836" t="inlineStr">
        <is>
          <t>Snr Engineer - Boomi</t>
        </is>
      </c>
      <c r="D491" s="1837" t="inlineStr">
        <is>
          <t>Mike Seales</t>
        </is>
      </c>
      <c r="E491" s="1837" t="inlineStr">
        <is>
          <t>Technology Manager Integration &amp; Process Managemetn</t>
        </is>
      </c>
      <c r="F491" s="1838" t="inlineStr">
        <is>
          <t>TDD Group Functions</t>
        </is>
      </c>
      <c r="G491" s="1834" t="inlineStr">
        <is>
          <t>TDD &amp; Engineering</t>
        </is>
      </c>
      <c r="H491" s="1837" t="inlineStr">
        <is>
          <t>Integration &amp; Process Management</t>
        </is>
      </c>
      <c r="I491" s="1837" t="inlineStr">
        <is>
          <t>TDD</t>
        </is>
      </c>
      <c r="J491" s="1834" t="inlineStr">
        <is>
          <t>TDD</t>
        </is>
      </c>
      <c r="K491" s="1834" t="inlineStr">
        <is>
          <t>Integration &amp; Process automation</t>
        </is>
      </c>
      <c r="L491" s="1834" t="n"/>
      <c r="M491" s="1839" t="inlineStr">
        <is>
          <t>NZ</t>
        </is>
      </c>
      <c r="N491" s="1833" t="n"/>
      <c r="O491" s="1833" t="n">
        <v>1</v>
      </c>
      <c r="P491" s="1833" t="n"/>
      <c r="Q491" s="1833" t="inlineStr">
        <is>
          <t>Permanent - Full Time</t>
        </is>
      </c>
      <c r="R491" s="1840" t="n"/>
      <c r="S491" s="1840" t="n"/>
      <c r="T491" s="1841" t="n">
        <v>150000</v>
      </c>
      <c r="U491" s="1842" t="n"/>
      <c r="V491" s="1843" t="n"/>
      <c r="W491" s="1844" t="n"/>
      <c r="X491" s="1844" t="n"/>
      <c r="Y491" s="1845" t="n"/>
      <c r="Z491" s="1844" t="n"/>
      <c r="AA491" s="1846">
        <f>IF(TRIM($B491)="","",IF(N($AU491)&gt;0,$AU491,IF(N($S491)&gt;0,$S491*Lists!$AG$15*(1+N($Z491)),N($U491)*(1+N($V491)+N($W491)+N($X491)+N($Z491))+N($Y491))))</f>
        <v>169740</v>
      </c>
      <c r="AB491" s="1847" t="n"/>
      <c r="AC491" s="1847" t="n"/>
      <c r="AJ491" s="865" t="str">
        <f>IF(TRIM($B491)="","",IF(IFERROR(INDEX(Lists!$AO$2:$AO$11,MATCH(ROW(),Lists!$AN$2:$AN$11,0)),"")&lt;&gt;"",IFERROR(INDEX(Lists!$AO$2:$AO$11,MATCH(ROW(),Lists!$AN$2:$AN$11,0)),""),IFERROR(INDEX(Lists!$U:$U,MATCH(TRIM($I491),Lists!$T:$T,0)),TRIM($I491))))</f>
        <v>TDD Group Functions</v>
      </c>
      <c r="AK491" s="865" t="str">
        <f>IF(ISNUMBER(SEARCH("vacant",$B491)),"Vacant","Filled")</f>
        <v>Filled</v>
      </c>
      <c r="AL491" s="865" t="str">
        <f>IF($M491="NZ","NZ","AU")</f>
        <v>NZ</v>
      </c>
      <c r="AM491" s="865">
        <f>COUNTIF($AJ$2:$AJ491,$AJ491)</f>
        <v>28</v>
      </c>
      <c r="AN491" s="865" t="str">
        <f>$AJ491&amp;"|"&amp;$AM491</f>
        <v>TDD Group Functions|28</v>
      </c>
      <c r="AP491" s="865" t="str">
        <f>IF(TRIM($B491)="","",IF($AQ491=1,"Leadership",IFERROR(INDEX(Lists!$X:$X,MATCH(TRIM($K491),Lists!$W:$W,0)),IF(OR(TRIM($K491)="",LOWER(TRIM($K491))="na"),IF(TRIM($G491)="","Unassigned",TRIM($G491)),TRIM($K491)))))</f>
        <v>Integration &amp; Process Automation</v>
      </c>
      <c r="AQ491" s="865" t="b">
        <f>IF(TRIM($B491)="","",--OR(TRIM($K491)="Leadership",TRIM($J491)="Leadership"))</f>
        <v>0</v>
      </c>
      <c r="AR491" s="1848" t="str">
        <f>IF(TRIM($B491)="","",IF(IFERROR(INDEX(Lists!$AQ$2:$AQ$11,MATCH(ROW(),Lists!$AN$2:$AN$11,0)),"")&lt;&gt;"",IFERROR(INDEX(Lists!$AQ$2:$AQ$11,MATCH(ROW(),Lists!$AN$2:$AN$11,0)),""),IF(ISNUMBER(SEARCH("head of ",$C491)),"Head of Technology",IF(ISNUMBER(SEARCH("TDD BP",$C491)),"Business Partner",IF(OR(ISNUMBER(SEARCH("domain architect",$C491)),ISNUMBER(SEARCH("enterprise architect",$C491))),"Domain Architect",IF(ISNUMBER(SEARCH("delivery man",$C491)),"Delivery Manager",IF(OR(ISNUMBER(SEARCH("technology manager",$C491)),ISNUMBER(SEARCH("technology manger",$C491)),ISNUMBER(SEARCH("tech manager",$C491))),"Technology Manager","Squad")))))))</f>
        <v>Squad</v>
      </c>
      <c r="AS491" s="1848" t="str">
        <f>IF(TRIM($B491)="","",IFERROR(INDEX(Lists!$AA:$AA,MATCH($AP491,Lists!$Z:$Z,0)),$AP491))</f>
        <v>Integration &amp; Process Automation</v>
      </c>
      <c r="AT491" s="1848" t="str">
        <f>IF(TRIM($B491)="","",IF(IFERROR(INDEX(Lists!$AP$2:$AP$11,MATCH(ROW(),Lists!$AN$2:$AN$11,0)),"")&lt;&gt;"",IFERROR(INDEX(Lists!$AP$2:$AP$11,MATCH(ROW(),Lists!$AN$2:$AN$11,0)),""),IF(OR(LEFT($AJ491,3)="COE",$AJ491="EGI"),$AP491,IF($AR491&lt;&gt;"Squad",$AR491,$AP491))))</f>
        <v>Integration &amp; Process Automation</v>
      </c>
      <c r="AU491" s="1311" t="n">
        <v>169740</v>
      </c>
      <c r="AV491" s="1312" t="inlineStr">
        <is>
          <t>Priced from her local base of 150,000 at the 0.92 rate her cohort uses, then STI 0.15, pensions 0.05, CPI 0.03 - the pattern all thirteen other NZ roles in this portfolio use. Column U was blank, so the formula read zero.</t>
        </is>
      </c>
    </row>
    <row r="492" ht="18" customHeight="1" s="866">
      <c r="A492" s="1155" t="n">
        <v>99999101229</v>
      </c>
      <c r="B492" s="1156" t="inlineStr">
        <is>
          <t>Billie Connolly</t>
        </is>
      </c>
      <c r="C492" s="1156" t="inlineStr">
        <is>
          <t>Engineer - Modern Workplaces</t>
        </is>
      </c>
      <c r="D492" s="1158" t="inlineStr">
        <is>
          <t>Vacant</t>
        </is>
      </c>
      <c r="E492" s="1156" t="inlineStr">
        <is>
          <t>Technology Manager, Enterprise Tooling</t>
        </is>
      </c>
      <c r="F492" s="1157" t="inlineStr">
        <is>
          <t>TDD Group Functions</t>
        </is>
      </c>
      <c r="G492" s="1158" t="inlineStr">
        <is>
          <t xml:space="preserve">TDD &amp; Engineering </t>
        </is>
      </c>
      <c r="H492" s="1156" t="inlineStr">
        <is>
          <t>Workplace &amp; Enterprise Tooling</t>
        </is>
      </c>
      <c r="I492" s="1156" t="inlineStr">
        <is>
          <t>TDD</t>
        </is>
      </c>
      <c r="J492" s="1158" t="inlineStr">
        <is>
          <t>TDD</t>
        </is>
      </c>
      <c r="K492" s="1158" t="inlineStr">
        <is>
          <t>Workplace &amp; Enterprise Tooling</t>
        </is>
      </c>
      <c r="L492" s="1158" t="n"/>
      <c r="M492" s="1159" t="inlineStr">
        <is>
          <t>NZ</t>
        </is>
      </c>
      <c r="N492" s="1160" t="inlineStr">
        <is>
          <t>CIA</t>
        </is>
      </c>
      <c r="O492" s="1161" t="n">
        <v>1</v>
      </c>
      <c r="P492" s="1160" t="n"/>
      <c r="Q492" s="1161" t="inlineStr">
        <is>
          <t>Permanent - Full Time</t>
        </is>
      </c>
      <c r="R492" s="1162" t="n"/>
      <c r="S492" s="1162" t="n"/>
      <c r="T492" s="1163" t="n">
        <v>117530</v>
      </c>
      <c r="U492" s="1164" t="n">
        <v>108127.6</v>
      </c>
      <c r="V492" s="1165" t="n">
        <v>0.15</v>
      </c>
      <c r="W492" s="1161" t="n"/>
      <c r="X492" s="1166" t="n">
        <v>0.05</v>
      </c>
      <c r="Y492" s="1907" t="n">
        <v>2910</v>
      </c>
      <c r="Z492" s="1166" t="n">
        <v>0.03</v>
      </c>
      <c r="AA492" s="1168">
        <f>IF(TRIM($B492)="","",IF(N($AU492)&gt;0,$AU492,IF(N($S492)&gt;0,$S492*Lists!$AG$15*(1+N($Z492)),N($U492)*(1+N($V492)+N($W492)+N($X492)+N($Z492))+N($Y492))))</f>
        <v>135906.948</v>
      </c>
      <c r="AB492" s="1238" t="n"/>
      <c r="AC492" s="1238" t="n"/>
      <c r="AJ492" s="865" t="str">
        <f>IF(TRIM($B492)="","",IF(IFERROR(INDEX(Lists!$AO$2:$AO$11,MATCH(ROW(),Lists!$AN$2:$AN$11,0)),"")&lt;&gt;"",IFERROR(INDEX(Lists!$AO$2:$AO$11,MATCH(ROW(),Lists!$AN$2:$AN$11,0)),""),IFERROR(INDEX(Lists!$U:$U,MATCH(TRIM($I492),Lists!$T:$T,0)),TRIM($I492))))</f>
        <v>TDD Group Functions</v>
      </c>
      <c r="AK492" s="865" t="str">
        <f>IF(ISNUMBER(SEARCH("vacant",$B492)),"Vacant","Filled")</f>
        <v>Filled</v>
      </c>
      <c r="AL492" s="865" t="str">
        <f>IF($M492="NZ","NZ","AU")</f>
        <v>NZ</v>
      </c>
      <c r="AM492" s="865">
        <f>COUNTIF($AJ$2:$AJ492,$AJ492)</f>
        <v>29</v>
      </c>
      <c r="AN492" s="865" t="str">
        <f>$AJ492&amp;"|"&amp;$AM492</f>
        <v>TDD Group Functions|29</v>
      </c>
      <c r="AP492" s="865" t="str">
        <f>IF(TRIM($B492)="","",IF($AQ492=1,"Leadership",IFERROR(INDEX(Lists!$X:$X,MATCH(TRIM($K492),Lists!$W:$W,0)),IF(OR(TRIM($K492)="",LOWER(TRIM($K492))="na"),IF(TRIM($G492)="","Unassigned",TRIM($G492)),TRIM($K492)))))</f>
        <v>Workplace &amp; Enterprise Tooling</v>
      </c>
      <c r="AQ492" s="865" t="b">
        <f>IF(TRIM($B492)="","",--OR(TRIM($K492)="Leadership",TRIM($J492)="Leadership"))</f>
        <v>0</v>
      </c>
      <c r="AR492" s="1136" t="str">
        <f>IF(TRIM($B492)="","",IF(IFERROR(INDEX(Lists!$AQ$2:$AQ$11,MATCH(ROW(),Lists!$AN$2:$AN$11,0)),"")&lt;&gt;"",IFERROR(INDEX(Lists!$AQ$2:$AQ$11,MATCH(ROW(),Lists!$AN$2:$AN$11,0)),""),IF(ISNUMBER(SEARCH("head of ",$C492)),"Head of Technology",IF(ISNUMBER(SEARCH("TDD BP",$C492)),"Business Partner",IF(OR(ISNUMBER(SEARCH("domain architect",$C492)),ISNUMBER(SEARCH("enterprise architect",$C492))),"Domain Architect",IF(ISNUMBER(SEARCH("delivery man",$C492)),"Delivery Manager",IF(OR(ISNUMBER(SEARCH("technology manager",$C492)),ISNUMBER(SEARCH("technology manger",$C492)),ISNUMBER(SEARCH("tech manager",$C492))),"Technology Manager","Squad")))))))</f>
        <v>Squad</v>
      </c>
      <c r="AS492" s="1136" t="str">
        <f>IF(TRIM($B492)="","",IFERROR(INDEX(Lists!$AA:$AA,MATCH($AP492,Lists!$Z:$Z,0)),$AP492))</f>
        <v>Workplace &amp; Enterprise Tooling</v>
      </c>
      <c r="AT492" s="1136" t="str">
        <f>IF(TRIM($B492)="","",IF(IFERROR(INDEX(Lists!$AP$2:$AP$11,MATCH(ROW(),Lists!$AN$2:$AN$11,0)),"")&lt;&gt;"",IFERROR(INDEX(Lists!$AP$2:$AP$11,MATCH(ROW(),Lists!$AN$2:$AN$11,0)),""),IF(OR(LEFT($AJ492,3)="COE",$AJ492="EGI"),$AP492,IF($AR492&lt;&gt;"Squad",$AR492,$AP492))))</f>
        <v>Workplace &amp; Enterprise Tooling</v>
      </c>
    </row>
    <row r="493" ht="18" customHeight="1" s="866">
      <c r="A493" s="1155" t="n">
        <v>95018</v>
      </c>
      <c r="B493" s="1156" t="inlineStr">
        <is>
          <t>Ken Thomson</t>
        </is>
      </c>
      <c r="C493" s="1156" t="inlineStr">
        <is>
          <t>Servicenow Platform Specialist</t>
        </is>
      </c>
      <c r="D493" s="1158" t="inlineStr">
        <is>
          <t>Vacant</t>
        </is>
      </c>
      <c r="E493" s="1156" t="inlineStr">
        <is>
          <t>Technology Manager, Enterprise Tooling</t>
        </is>
      </c>
      <c r="F493" s="1157" t="inlineStr">
        <is>
          <t>TDD Group Functions</t>
        </is>
      </c>
      <c r="G493" s="1158" t="inlineStr">
        <is>
          <t xml:space="preserve">TDD &amp; Engineering </t>
        </is>
      </c>
      <c r="H493" s="1156" t="inlineStr">
        <is>
          <t>Workplace &amp; Enterprise Tooling</t>
        </is>
      </c>
      <c r="I493" s="1156" t="inlineStr">
        <is>
          <t>TDD</t>
        </is>
      </c>
      <c r="J493" s="1158" t="inlineStr">
        <is>
          <t>TDD</t>
        </is>
      </c>
      <c r="K493" s="1158" t="inlineStr">
        <is>
          <t>Workplace &amp; Enterprise Tooling</t>
        </is>
      </c>
      <c r="L493" s="1158" t="n"/>
      <c r="M493" s="1159" t="inlineStr">
        <is>
          <t>Australia</t>
        </is>
      </c>
      <c r="N493" s="1160" t="inlineStr">
        <is>
          <t>CIC</t>
        </is>
      </c>
      <c r="O493" s="1160" t="n">
        <v>1</v>
      </c>
      <c r="P493" s="1160" t="n"/>
      <c r="Q493" s="1160" t="inlineStr">
        <is>
          <t>Permanent - Full Time</t>
        </is>
      </c>
      <c r="R493" s="1162" t="n"/>
      <c r="S493" s="1162" t="n"/>
      <c r="T493" s="1163" t="n">
        <v>165450</v>
      </c>
      <c r="U493" s="1164" t="n">
        <v>165450</v>
      </c>
      <c r="V493" s="1166" t="n">
        <v>0.12</v>
      </c>
      <c r="W493" s="1170" t="n">
        <v>0.055</v>
      </c>
      <c r="X493" s="1170" t="n">
        <v>0.12</v>
      </c>
      <c r="Y493" s="1171" t="n"/>
      <c r="Z493" s="1170" t="n">
        <v>0.04</v>
      </c>
      <c r="AA493" s="1168">
        <f>IF(TRIM($B493)="","",IF(N($AU493)&gt;0,$AU493,IF(N($S493)&gt;0,$S493*Lists!$AG$15*(1+N($Z493)),N($U493)*(1+N($V493)+N($W493)+N($X493)+N($Z493))+N($Y493))))</f>
        <v>220875.75</v>
      </c>
      <c r="AB493" s="1238" t="n"/>
      <c r="AC493" s="1238" t="n"/>
      <c r="AJ493" s="865" t="str">
        <f>IF(TRIM($B493)="","",IF(IFERROR(INDEX(Lists!$AO$2:$AO$11,MATCH(ROW(),Lists!$AN$2:$AN$11,0)),"")&lt;&gt;"",IFERROR(INDEX(Lists!$AO$2:$AO$11,MATCH(ROW(),Lists!$AN$2:$AN$11,0)),""),IFERROR(INDEX(Lists!$U:$U,MATCH(TRIM($I493),Lists!$T:$T,0)),TRIM($I493))))</f>
        <v>TDD Group Functions</v>
      </c>
      <c r="AK493" s="865" t="str">
        <f>IF(ISNUMBER(SEARCH("vacant",$B493)),"Vacant","Filled")</f>
        <v>Filled</v>
      </c>
      <c r="AL493" s="865" t="str">
        <f>IF($M493="NZ","NZ","AU")</f>
        <v>AU</v>
      </c>
      <c r="AM493" s="865">
        <f>COUNTIF($AJ$2:$AJ493,$AJ493)</f>
        <v>30</v>
      </c>
      <c r="AN493" s="865" t="str">
        <f>$AJ493&amp;"|"&amp;$AM493</f>
        <v>TDD Group Functions|30</v>
      </c>
      <c r="AP493" s="865" t="str">
        <f>IF(TRIM($B493)="","",IF($AQ493=1,"Leadership",IFERROR(INDEX(Lists!$X:$X,MATCH(TRIM($K493),Lists!$W:$W,0)),IF(OR(TRIM($K493)="",LOWER(TRIM($K493))="na"),IF(TRIM($G493)="","Unassigned",TRIM($G493)),TRIM($K493)))))</f>
        <v>Workplace &amp; Enterprise Tooling</v>
      </c>
      <c r="AQ493" s="865" t="b">
        <f>IF(TRIM($B493)="","",--OR(TRIM($K493)="Leadership",TRIM($J493)="Leadership"))</f>
        <v>0</v>
      </c>
      <c r="AR493" s="1136" t="str">
        <f>IF(TRIM($B493)="","",IF(IFERROR(INDEX(Lists!$AQ$2:$AQ$11,MATCH(ROW(),Lists!$AN$2:$AN$11,0)),"")&lt;&gt;"",IFERROR(INDEX(Lists!$AQ$2:$AQ$11,MATCH(ROW(),Lists!$AN$2:$AN$11,0)),""),IF(ISNUMBER(SEARCH("head of ",$C493)),"Head of Technology",IF(ISNUMBER(SEARCH("TDD BP",$C493)),"Business Partner",IF(OR(ISNUMBER(SEARCH("domain architect",$C493)),ISNUMBER(SEARCH("enterprise architect",$C493))),"Domain Architect",IF(ISNUMBER(SEARCH("delivery man",$C493)),"Delivery Manager",IF(OR(ISNUMBER(SEARCH("technology manager",$C493)),ISNUMBER(SEARCH("technology manger",$C493)),ISNUMBER(SEARCH("tech manager",$C493))),"Technology Manager","Squad")))))))</f>
        <v>Squad</v>
      </c>
      <c r="AS493" s="1136" t="str">
        <f>IF(TRIM($B493)="","",IFERROR(INDEX(Lists!$AA:$AA,MATCH($AP493,Lists!$Z:$Z,0)),$AP493))</f>
        <v>Workplace &amp; Enterprise Tooling</v>
      </c>
      <c r="AT493" s="1136" t="str">
        <f>IF(TRIM($B493)="","",IF(IFERROR(INDEX(Lists!$AP$2:$AP$11,MATCH(ROW(),Lists!$AN$2:$AN$11,0)),"")&lt;&gt;"",IFERROR(INDEX(Lists!$AP$2:$AP$11,MATCH(ROW(),Lists!$AN$2:$AN$11,0)),""),IF(OR(LEFT($AJ493,3)="COE",$AJ493="EGI"),$AP493,IF($AR493&lt;&gt;"Squad",$AR493,$AP493))))</f>
        <v>Workplace &amp; Enterprise Tooling</v>
      </c>
    </row>
    <row r="494" ht="18" customHeight="1" s="866">
      <c r="A494" s="1155" t="n">
        <v>106024</v>
      </c>
      <c r="B494" s="1156" t="inlineStr">
        <is>
          <t>Nicholas McKay</t>
        </is>
      </c>
      <c r="C494" s="1156" t="inlineStr">
        <is>
          <t>Workplace Tooling Specialist</t>
        </is>
      </c>
      <c r="D494" s="1158" t="inlineStr">
        <is>
          <t>Vacant</t>
        </is>
      </c>
      <c r="E494" s="1156" t="inlineStr">
        <is>
          <t>Technology Manager, Enterprise Tooling</t>
        </is>
      </c>
      <c r="F494" s="1157" t="inlineStr">
        <is>
          <t>TDD Group Functions</t>
        </is>
      </c>
      <c r="G494" s="1158" t="inlineStr">
        <is>
          <t xml:space="preserve">TDD &amp; Engineering </t>
        </is>
      </c>
      <c r="H494" s="1156" t="inlineStr">
        <is>
          <t>Workplace &amp; Enterprise Tooling</t>
        </is>
      </c>
      <c r="I494" s="1156" t="inlineStr">
        <is>
          <t>TDD</t>
        </is>
      </c>
      <c r="J494" s="1158" t="inlineStr">
        <is>
          <t>TDD</t>
        </is>
      </c>
      <c r="K494" s="1158" t="inlineStr">
        <is>
          <t>Workplace &amp; Enterprise Tooling</t>
        </is>
      </c>
      <c r="L494" s="1158" t="n"/>
      <c r="M494" s="1159" t="inlineStr">
        <is>
          <t>Australia</t>
        </is>
      </c>
      <c r="N494" s="1160" t="inlineStr">
        <is>
          <t>CIB</t>
        </is>
      </c>
      <c r="O494" s="1160" t="n">
        <v>1</v>
      </c>
      <c r="P494" s="1160" t="n"/>
      <c r="Q494" s="1160" t="inlineStr">
        <is>
          <t>Permanent - Full Time</t>
        </is>
      </c>
      <c r="R494" s="1162" t="n"/>
      <c r="S494" s="1162" t="n"/>
      <c r="T494" s="1163" t="n">
        <v>159130</v>
      </c>
      <c r="U494" s="1164" t="n">
        <v>159130</v>
      </c>
      <c r="V494" s="1166" t="n">
        <v>0.12</v>
      </c>
      <c r="W494" s="1170" t="n">
        <v>0.055</v>
      </c>
      <c r="X494" s="1170" t="n">
        <v>0.12</v>
      </c>
      <c r="Y494" s="1171" t="n"/>
      <c r="Z494" s="1170" t="n">
        <v>0.04</v>
      </c>
      <c r="AA494" s="1168">
        <f>IF(TRIM($B494)="","",IF(N($AU494)&gt;0,$AU494,IF(N($S494)&gt;0,$S494*Lists!$AG$15*(1+N($Z494)),N($U494)*(1+N($V494)+N($W494)+N($X494)+N($Z494))+N($Y494))))</f>
        <v>212438.55</v>
      </c>
      <c r="AB494" s="1238" t="n"/>
      <c r="AC494" s="1238" t="n"/>
      <c r="AJ494" s="865" t="str">
        <f>IF(TRIM($B494)="","",IF(IFERROR(INDEX(Lists!$AO$2:$AO$11,MATCH(ROW(),Lists!$AN$2:$AN$11,0)),"")&lt;&gt;"",IFERROR(INDEX(Lists!$AO$2:$AO$11,MATCH(ROW(),Lists!$AN$2:$AN$11,0)),""),IFERROR(INDEX(Lists!$U:$U,MATCH(TRIM($I494),Lists!$T:$T,0)),TRIM($I494))))</f>
        <v>TDD Group Functions</v>
      </c>
      <c r="AK494" s="865" t="str">
        <f>IF(ISNUMBER(SEARCH("vacant",$B494)),"Vacant","Filled")</f>
        <v>Filled</v>
      </c>
      <c r="AL494" s="865" t="str">
        <f>IF($M494="NZ","NZ","AU")</f>
        <v>AU</v>
      </c>
      <c r="AM494" s="865">
        <f>COUNTIF($AJ$2:$AJ494,$AJ494)</f>
        <v>31</v>
      </c>
      <c r="AN494" s="865" t="str">
        <f>$AJ494&amp;"|"&amp;$AM494</f>
        <v>TDD Group Functions|31</v>
      </c>
      <c r="AP494" s="865" t="str">
        <f>IF(TRIM($B494)="","",IF($AQ494=1,"Leadership",IFERROR(INDEX(Lists!$X:$X,MATCH(TRIM($K494),Lists!$W:$W,0)),IF(OR(TRIM($K494)="",LOWER(TRIM($K494))="na"),IF(TRIM($G494)="","Unassigned",TRIM($G494)),TRIM($K494)))))</f>
        <v>Workplace &amp; Enterprise Tooling</v>
      </c>
      <c r="AQ494" s="865" t="b">
        <f>IF(TRIM($B494)="","",--OR(TRIM($K494)="Leadership",TRIM($J494)="Leadership"))</f>
        <v>0</v>
      </c>
      <c r="AR494" s="1136" t="str">
        <f>IF(TRIM($B494)="","",IF(IFERROR(INDEX(Lists!$AQ$2:$AQ$11,MATCH(ROW(),Lists!$AN$2:$AN$11,0)),"")&lt;&gt;"",IFERROR(INDEX(Lists!$AQ$2:$AQ$11,MATCH(ROW(),Lists!$AN$2:$AN$11,0)),""),IF(ISNUMBER(SEARCH("head of ",$C494)),"Head of Technology",IF(ISNUMBER(SEARCH("TDD BP",$C494)),"Business Partner",IF(OR(ISNUMBER(SEARCH("domain architect",$C494)),ISNUMBER(SEARCH("enterprise architect",$C494))),"Domain Architect",IF(ISNUMBER(SEARCH("delivery man",$C494)),"Delivery Manager",IF(OR(ISNUMBER(SEARCH("technology manager",$C494)),ISNUMBER(SEARCH("technology manger",$C494)),ISNUMBER(SEARCH("tech manager",$C494))),"Technology Manager","Squad")))))))</f>
        <v>Squad</v>
      </c>
      <c r="AS494" s="1136" t="str">
        <f>IF(TRIM($B494)="","",IFERROR(INDEX(Lists!$AA:$AA,MATCH($AP494,Lists!$Z:$Z,0)),$AP494))</f>
        <v>Workplace &amp; Enterprise Tooling</v>
      </c>
      <c r="AT494" s="1136" t="str">
        <f>IF(TRIM($B494)="","",IF(IFERROR(INDEX(Lists!$AP$2:$AP$11,MATCH(ROW(),Lists!$AN$2:$AN$11,0)),"")&lt;&gt;"",IFERROR(INDEX(Lists!$AP$2:$AP$11,MATCH(ROW(),Lists!$AN$2:$AN$11,0)),""),IF(OR(LEFT($AJ494,3)="COE",$AJ494="EGI"),$AP494,IF($AR494&lt;&gt;"Squad",$AR494,$AP494))))</f>
        <v>Workplace &amp; Enterprise Tooling</v>
      </c>
    </row>
    <row r="495" ht="18" customHeight="1" s="866">
      <c r="A495" s="1155" t="inlineStr">
        <is>
          <t>V</t>
        </is>
      </c>
      <c r="B495" s="1156" t="inlineStr">
        <is>
          <t>Vacant</t>
        </is>
      </c>
      <c r="C495" s="1199" t="inlineStr">
        <is>
          <t>SAP Functional Specialist</t>
        </is>
      </c>
      <c r="D495" s="1158" t="inlineStr">
        <is>
          <t>EE Lynn Yap</t>
        </is>
      </c>
      <c r="E495" s="1199" t="inlineStr">
        <is>
          <t>SAP ERP Application Lead</t>
        </is>
      </c>
      <c r="F495" s="1157" t="inlineStr">
        <is>
          <t>TDD Group Functions</t>
        </is>
      </c>
      <c r="G495" s="1199" t="inlineStr">
        <is>
          <t>P&amp;C, Finance &amp; Legal</t>
        </is>
      </c>
      <c r="H495" s="1158" t="inlineStr">
        <is>
          <t>Tech, Finance Platforms</t>
        </is>
      </c>
      <c r="I495" s="1158" t="inlineStr">
        <is>
          <t>Finance</t>
        </is>
      </c>
      <c r="J495" s="1158" t="inlineStr">
        <is>
          <t>AU Finance</t>
        </is>
      </c>
      <c r="K495" s="1158" t="inlineStr">
        <is>
          <t>SAP ERP</t>
        </is>
      </c>
      <c r="L495" s="1158" t="n"/>
      <c r="M495" s="1159" t="inlineStr">
        <is>
          <t>Australia</t>
        </is>
      </c>
      <c r="N495" s="1162" t="inlineStr">
        <is>
          <t>CIC</t>
        </is>
      </c>
      <c r="O495" s="1160" t="n">
        <v>1</v>
      </c>
      <c r="P495" s="1160" t="n"/>
      <c r="Q495" s="1160" t="inlineStr">
        <is>
          <t>v</t>
        </is>
      </c>
      <c r="R495" s="1162" t="n"/>
      <c r="S495" s="1162" t="n"/>
      <c r="T495" s="1163" t="n">
        <v>173550</v>
      </c>
      <c r="U495" s="1164" t="n">
        <v>173550</v>
      </c>
      <c r="V495" s="1166" t="n">
        <v>0.12</v>
      </c>
      <c r="W495" s="1170" t="n">
        <v>0.055</v>
      </c>
      <c r="X495" s="1170" t="n">
        <v>0.12</v>
      </c>
      <c r="Y495" s="1171" t="n"/>
      <c r="Z495" s="1170" t="n">
        <v>0.04</v>
      </c>
      <c r="AA495" s="1168">
        <f>IF(TRIM($B495)="","",IF(N($AU495)&gt;0,$AU495,IF(N($S495)&gt;0,$S495*Lists!$AG$15*(1+N($Z495)),N($U495)*(1+N($V495)+N($W495)+N($X495)+N($Z495))+N($Y495))))</f>
        <v>231689.25</v>
      </c>
      <c r="AB495" s="1238" t="n"/>
      <c r="AC495" s="1238" t="n"/>
      <c r="AJ495" s="865" t="str">
        <f>IF(TRIM($B495)="","",IF(IFERROR(INDEX(Lists!$AO$2:$AO$11,MATCH(ROW(),Lists!$AN$2:$AN$11,0)),"")&lt;&gt;"",IFERROR(INDEX(Lists!$AO$2:$AO$11,MATCH(ROW(),Lists!$AN$2:$AN$11,0)),""),IFERROR(INDEX(Lists!$U:$U,MATCH(TRIM($I495),Lists!$T:$T,0)),TRIM($I495))))</f>
        <v>Finance</v>
      </c>
      <c r="AK495" s="865" t="str">
        <f>IF(ISNUMBER(SEARCH("vacant",$B495)),"Vacant","Filled")</f>
        <v>Vacant</v>
      </c>
      <c r="AL495" s="865" t="str">
        <f>IF($M495="NZ","NZ","AU")</f>
        <v>AU</v>
      </c>
      <c r="AM495" s="865">
        <f>COUNTIF($AJ$2:$AJ495,$AJ495)</f>
        <v>9</v>
      </c>
      <c r="AN495" s="865" t="str">
        <f>$AJ495&amp;"|"&amp;$AM495</f>
        <v>Finance|9</v>
      </c>
      <c r="AP495" s="865" t="str">
        <f>IF(TRIM($B495)="","",IF($AQ495=1,"Leadership",IFERROR(INDEX(Lists!$X:$X,MATCH(TRIM($K495),Lists!$W:$W,0)),IF(OR(TRIM($K495)="",LOWER(TRIM($K495))="na"),IF(TRIM($G495)="","Unassigned",TRIM($G495)),TRIM($K495)))))</f>
        <v>SAP ERP</v>
      </c>
      <c r="AQ495" s="865" t="b">
        <f>IF(TRIM($B495)="","",--OR(TRIM($K495)="Leadership",TRIM($J495)="Leadership"))</f>
        <v>0</v>
      </c>
      <c r="AR495" s="1136" t="str">
        <f>IF(TRIM($B495)="","",IF(IFERROR(INDEX(Lists!$AQ$2:$AQ$11,MATCH(ROW(),Lists!$AN$2:$AN$11,0)),"")&lt;&gt;"",IFERROR(INDEX(Lists!$AQ$2:$AQ$11,MATCH(ROW(),Lists!$AN$2:$AN$11,0)),""),IF(ISNUMBER(SEARCH("head of ",$C495)),"Head of Technology",IF(ISNUMBER(SEARCH("TDD BP",$C495)),"Business Partner",IF(OR(ISNUMBER(SEARCH("domain architect",$C495)),ISNUMBER(SEARCH("enterprise architect",$C495))),"Domain Architect",IF(ISNUMBER(SEARCH("delivery man",$C495)),"Delivery Manager",IF(OR(ISNUMBER(SEARCH("technology manager",$C495)),ISNUMBER(SEARCH("technology manger",$C495)),ISNUMBER(SEARCH("tech manager",$C495))),"Technology Manager","Squad")))))))</f>
        <v>Squad</v>
      </c>
      <c r="AS495" s="1136" t="str">
        <f>IF(TRIM($B495)="","",IFERROR(INDEX(Lists!$AA:$AA,MATCH($AP495,Lists!$Z:$Z,0)),$AP495))</f>
        <v>SAP ERP</v>
      </c>
      <c r="AT495" s="1136" t="str">
        <f>IF(TRIM($B495)="","",IF(IFERROR(INDEX(Lists!$AP$2:$AP$11,MATCH(ROW(),Lists!$AN$2:$AN$11,0)),"")&lt;&gt;"",IFERROR(INDEX(Lists!$AP$2:$AP$11,MATCH(ROW(),Lists!$AN$2:$AN$11,0)),""),IF(OR(LEFT($AJ495,3)="COE",$AJ495="EGI"),$AP495,IF($AR495&lt;&gt;"Squad",$AR495,$AP495))))</f>
        <v>SAP ERP</v>
      </c>
    </row>
    <row r="496" ht="18" customHeight="1" s="866">
      <c r="A496" s="1155" t="inlineStr">
        <is>
          <t>V</t>
        </is>
      </c>
      <c r="B496" s="1156" t="inlineStr">
        <is>
          <t>Vacant</t>
        </is>
      </c>
      <c r="C496" s="1199" t="inlineStr">
        <is>
          <t>SAP Functional Specialist</t>
        </is>
      </c>
      <c r="D496" s="1158" t="inlineStr">
        <is>
          <t>Julma Bhagwani</t>
        </is>
      </c>
      <c r="E496" s="1199" t="inlineStr">
        <is>
          <t>SAP ERP Application Lead</t>
        </is>
      </c>
      <c r="F496" s="1157" t="inlineStr">
        <is>
          <t>TDD Group Functions</t>
        </is>
      </c>
      <c r="G496" s="1199" t="inlineStr">
        <is>
          <t>P&amp;C, Finance &amp; Legal</t>
        </is>
      </c>
      <c r="H496" s="1158" t="inlineStr">
        <is>
          <t>Tech, Finance Platforms</t>
        </is>
      </c>
      <c r="I496" s="1158" t="inlineStr">
        <is>
          <t>Finance</t>
        </is>
      </c>
      <c r="J496" s="1158" t="inlineStr">
        <is>
          <t>AU Finance</t>
        </is>
      </c>
      <c r="K496" s="1158" t="inlineStr">
        <is>
          <t>SAP ERP</t>
        </is>
      </c>
      <c r="L496" s="1158" t="n"/>
      <c r="M496" s="1159" t="inlineStr">
        <is>
          <t>Australia</t>
        </is>
      </c>
      <c r="N496" s="1162" t="inlineStr">
        <is>
          <t>CIC</t>
        </is>
      </c>
      <c r="O496" s="1160" t="n">
        <v>1</v>
      </c>
      <c r="P496" s="1160" t="n"/>
      <c r="Q496" s="1160" t="inlineStr">
        <is>
          <t>v</t>
        </is>
      </c>
      <c r="R496" s="1162" t="n"/>
      <c r="S496" s="1162" t="n"/>
      <c r="T496" s="1163" t="n">
        <v>173550</v>
      </c>
      <c r="U496" s="1164" t="n">
        <v>173550</v>
      </c>
      <c r="V496" s="1166" t="n">
        <v>0.12</v>
      </c>
      <c r="W496" s="1170" t="n">
        <v>0.055</v>
      </c>
      <c r="X496" s="1170" t="n">
        <v>0.12</v>
      </c>
      <c r="Y496" s="1171" t="n"/>
      <c r="Z496" s="1170" t="n">
        <v>0.04</v>
      </c>
      <c r="AA496" s="1168">
        <f>IF(TRIM($B496)="","",IF(N($AU496)&gt;0,$AU496,IF(N($S496)&gt;0,$S496*Lists!$AG$15*(1+N($Z496)),N($U496)*(1+N($V496)+N($W496)+N($X496)+N($Z496))+N($Y496))))</f>
        <v>231689.25</v>
      </c>
      <c r="AB496" s="1238" t="n"/>
      <c r="AC496" s="1238" t="n"/>
      <c r="AJ496" s="865" t="str">
        <f>IF(TRIM($B496)="","",IF(IFERROR(INDEX(Lists!$AO$2:$AO$11,MATCH(ROW(),Lists!$AN$2:$AN$11,0)),"")&lt;&gt;"",IFERROR(INDEX(Lists!$AO$2:$AO$11,MATCH(ROW(),Lists!$AN$2:$AN$11,0)),""),IFERROR(INDEX(Lists!$U:$U,MATCH(TRIM($I496),Lists!$T:$T,0)),TRIM($I496))))</f>
        <v>Finance</v>
      </c>
      <c r="AK496" s="865" t="str">
        <f>IF(ISNUMBER(SEARCH("vacant",$B496)),"Vacant","Filled")</f>
        <v>Vacant</v>
      </c>
      <c r="AL496" s="865" t="str">
        <f>IF($M496="NZ","NZ","AU")</f>
        <v>AU</v>
      </c>
      <c r="AM496" s="865">
        <f>COUNTIF($AJ$2:$AJ496,$AJ496)</f>
        <v>10</v>
      </c>
      <c r="AN496" s="865" t="str">
        <f>$AJ496&amp;"|"&amp;$AM496</f>
        <v>Finance|10</v>
      </c>
      <c r="AP496" s="865" t="str">
        <f>IF(TRIM($B496)="","",IF($AQ496=1,"Leadership",IFERROR(INDEX(Lists!$X:$X,MATCH(TRIM($K496),Lists!$W:$W,0)),IF(OR(TRIM($K496)="",LOWER(TRIM($K496))="na"),IF(TRIM($G496)="","Unassigned",TRIM($G496)),TRIM($K496)))))</f>
        <v>SAP ERP</v>
      </c>
      <c r="AQ496" s="865" t="b">
        <f>IF(TRIM($B496)="","",--OR(TRIM($K496)="Leadership",TRIM($J496)="Leadership"))</f>
        <v>0</v>
      </c>
      <c r="AR496" s="1136" t="str">
        <f>IF(TRIM($B496)="","",IF(IFERROR(INDEX(Lists!$AQ$2:$AQ$11,MATCH(ROW(),Lists!$AN$2:$AN$11,0)),"")&lt;&gt;"",IFERROR(INDEX(Lists!$AQ$2:$AQ$11,MATCH(ROW(),Lists!$AN$2:$AN$11,0)),""),IF(ISNUMBER(SEARCH("head of ",$C496)),"Head of Technology",IF(ISNUMBER(SEARCH("TDD BP",$C496)),"Business Partner",IF(OR(ISNUMBER(SEARCH("domain architect",$C496)),ISNUMBER(SEARCH("enterprise architect",$C496))),"Domain Architect",IF(ISNUMBER(SEARCH("delivery man",$C496)),"Delivery Manager",IF(OR(ISNUMBER(SEARCH("technology manager",$C496)),ISNUMBER(SEARCH("technology manger",$C496)),ISNUMBER(SEARCH("tech manager",$C496))),"Technology Manager","Squad")))))))</f>
        <v>Squad</v>
      </c>
      <c r="AS496" s="1136" t="str">
        <f>IF(TRIM($B496)="","",IFERROR(INDEX(Lists!$AA:$AA,MATCH($AP496,Lists!$Z:$Z,0)),$AP496))</f>
        <v>SAP ERP</v>
      </c>
      <c r="AT496" s="1136" t="str">
        <f>IF(TRIM($B496)="","",IF(IFERROR(INDEX(Lists!$AP$2:$AP$11,MATCH(ROW(),Lists!$AN$2:$AN$11,0)),"")&lt;&gt;"",IFERROR(INDEX(Lists!$AP$2:$AP$11,MATCH(ROW(),Lists!$AN$2:$AN$11,0)),""),IF(OR(LEFT($AJ496,3)="COE",$AJ496="EGI"),$AP496,IF($AR496&lt;&gt;"Squad",$AR496,$AP496))))</f>
        <v>SAP ERP</v>
      </c>
    </row>
    <row r="497" ht="18" customHeight="1" s="866">
      <c r="A497" s="1155" t="inlineStr">
        <is>
          <t>V</t>
        </is>
      </c>
      <c r="B497" s="1156" t="inlineStr">
        <is>
          <t>Vacant</t>
        </is>
      </c>
      <c r="C497" s="1199" t="inlineStr">
        <is>
          <t>SAP Functional Specialist</t>
        </is>
      </c>
      <c r="D497" s="1158" t="inlineStr">
        <is>
          <t>Maudud Chaudhury</t>
        </is>
      </c>
      <c r="E497" s="1199" t="inlineStr">
        <is>
          <t>SAP ERP Application Lead</t>
        </is>
      </c>
      <c r="F497" s="1157" t="inlineStr">
        <is>
          <t>TDD Group Functions</t>
        </is>
      </c>
      <c r="G497" s="1199" t="inlineStr">
        <is>
          <t>P&amp;C, Finance &amp; Legal</t>
        </is>
      </c>
      <c r="H497" s="1158" t="inlineStr">
        <is>
          <t>Tech, Finance Platforms</t>
        </is>
      </c>
      <c r="I497" s="1158" t="inlineStr">
        <is>
          <t>Finance</t>
        </is>
      </c>
      <c r="J497" s="1158" t="inlineStr">
        <is>
          <t>AU Finance</t>
        </is>
      </c>
      <c r="K497" s="1158" t="inlineStr">
        <is>
          <t>SAP ERP</t>
        </is>
      </c>
      <c r="L497" s="1158" t="n"/>
      <c r="M497" s="1159" t="inlineStr">
        <is>
          <t>Australia</t>
        </is>
      </c>
      <c r="N497" s="1162" t="inlineStr">
        <is>
          <t>CIC</t>
        </is>
      </c>
      <c r="O497" s="1160" t="n">
        <v>1</v>
      </c>
      <c r="P497" s="1160" t="n"/>
      <c r="Q497" s="1160" t="inlineStr">
        <is>
          <t>v</t>
        </is>
      </c>
      <c r="R497" s="1162" t="n"/>
      <c r="S497" s="1162" t="n"/>
      <c r="T497" s="1163" t="n">
        <v>173550</v>
      </c>
      <c r="U497" s="1164" t="n">
        <v>173550</v>
      </c>
      <c r="V497" s="1166" t="n">
        <v>0.12</v>
      </c>
      <c r="W497" s="1170" t="n">
        <v>0.055</v>
      </c>
      <c r="X497" s="1170" t="n">
        <v>0.12</v>
      </c>
      <c r="Y497" s="1171" t="n"/>
      <c r="Z497" s="1170" t="n">
        <v>0.04</v>
      </c>
      <c r="AA497" s="1168">
        <f>IF(TRIM($B497)="","",IF(N($AU497)&gt;0,$AU497,IF(N($S497)&gt;0,$S497*Lists!$AG$15*(1+N($Z497)),N($U497)*(1+N($V497)+N($W497)+N($X497)+N($Z497))+N($Y497))))</f>
        <v>231689.25</v>
      </c>
      <c r="AB497" s="1238" t="n"/>
      <c r="AC497" s="1238" t="n"/>
      <c r="AJ497" s="865" t="str">
        <f>IF(TRIM($B497)="","",IF(IFERROR(INDEX(Lists!$AO$2:$AO$11,MATCH(ROW(),Lists!$AN$2:$AN$11,0)),"")&lt;&gt;"",IFERROR(INDEX(Lists!$AO$2:$AO$11,MATCH(ROW(),Lists!$AN$2:$AN$11,0)),""),IFERROR(INDEX(Lists!$U:$U,MATCH(TRIM($I497),Lists!$T:$T,0)),TRIM($I497))))</f>
        <v>Finance</v>
      </c>
      <c r="AK497" s="865" t="str">
        <f>IF(ISNUMBER(SEARCH("vacant",$B497)),"Vacant","Filled")</f>
        <v>Vacant</v>
      </c>
      <c r="AL497" s="865" t="str">
        <f>IF($M497="NZ","NZ","AU")</f>
        <v>AU</v>
      </c>
      <c r="AM497" s="865">
        <f>COUNTIF($AJ$2:$AJ497,$AJ497)</f>
        <v>11</v>
      </c>
      <c r="AN497" s="865" t="str">
        <f>$AJ497&amp;"|"&amp;$AM497</f>
        <v>Finance|11</v>
      </c>
      <c r="AP497" s="865" t="str">
        <f>IF(TRIM($B497)="","",IF($AQ497=1,"Leadership",IFERROR(INDEX(Lists!$X:$X,MATCH(TRIM($K497),Lists!$W:$W,0)),IF(OR(TRIM($K497)="",LOWER(TRIM($K497))="na"),IF(TRIM($G497)="","Unassigned",TRIM($G497)),TRIM($K497)))))</f>
        <v>SAP ERP</v>
      </c>
      <c r="AQ497" s="865" t="b">
        <f>IF(TRIM($B497)="","",--OR(TRIM($K497)="Leadership",TRIM($J497)="Leadership"))</f>
        <v>0</v>
      </c>
      <c r="AR497" s="1136" t="str">
        <f>IF(TRIM($B497)="","",IF(IFERROR(INDEX(Lists!$AQ$2:$AQ$11,MATCH(ROW(),Lists!$AN$2:$AN$11,0)),"")&lt;&gt;"",IFERROR(INDEX(Lists!$AQ$2:$AQ$11,MATCH(ROW(),Lists!$AN$2:$AN$11,0)),""),IF(ISNUMBER(SEARCH("head of ",$C497)),"Head of Technology",IF(ISNUMBER(SEARCH("TDD BP",$C497)),"Business Partner",IF(OR(ISNUMBER(SEARCH("domain architect",$C497)),ISNUMBER(SEARCH("enterprise architect",$C497))),"Domain Architect",IF(ISNUMBER(SEARCH("delivery man",$C497)),"Delivery Manager",IF(OR(ISNUMBER(SEARCH("technology manager",$C497)),ISNUMBER(SEARCH("technology manger",$C497)),ISNUMBER(SEARCH("tech manager",$C497))),"Technology Manager","Squad")))))))</f>
        <v>Squad</v>
      </c>
      <c r="AS497" s="1136" t="str">
        <f>IF(TRIM($B497)="","",IFERROR(INDEX(Lists!$AA:$AA,MATCH($AP497,Lists!$Z:$Z,0)),$AP497))</f>
        <v>SAP ERP</v>
      </c>
      <c r="AT497" s="1136" t="str">
        <f>IF(TRIM($B497)="","",IF(IFERROR(INDEX(Lists!$AP$2:$AP$11,MATCH(ROW(),Lists!$AN$2:$AN$11,0)),"")&lt;&gt;"",IFERROR(INDEX(Lists!$AP$2:$AP$11,MATCH(ROW(),Lists!$AN$2:$AN$11,0)),""),IF(OR(LEFT($AJ497,3)="COE",$AJ497="EGI"),$AP497,IF($AR497&lt;&gt;"Squad",$AR497,$AP497))))</f>
        <v>SAP ERP</v>
      </c>
    </row>
    <row r="498" ht="18" customHeight="1" s="866">
      <c r="A498" s="1155" t="inlineStr">
        <is>
          <t>V</t>
        </is>
      </c>
      <c r="B498" s="1156" t="inlineStr">
        <is>
          <t>Vacant</t>
        </is>
      </c>
      <c r="C498" s="1199" t="inlineStr">
        <is>
          <t>SAP Functional Specialist</t>
        </is>
      </c>
      <c r="D498" s="1158" t="inlineStr">
        <is>
          <t>Shane Ker</t>
        </is>
      </c>
      <c r="E498" s="1199" t="inlineStr">
        <is>
          <t>Technology Manager Finance Platforms</t>
        </is>
      </c>
      <c r="F498" s="1157" t="inlineStr">
        <is>
          <t>TDD Group Functions</t>
        </is>
      </c>
      <c r="G498" s="1199" t="inlineStr">
        <is>
          <t>P&amp;C, Finance &amp; Legal</t>
        </is>
      </c>
      <c r="H498" s="1158" t="inlineStr">
        <is>
          <t>Tech, Finance Platforms</t>
        </is>
      </c>
      <c r="I498" s="1158" t="inlineStr">
        <is>
          <t>Finance</t>
        </is>
      </c>
      <c r="J498" s="1158" t="inlineStr">
        <is>
          <t>AU Finance</t>
        </is>
      </c>
      <c r="K498" s="1158" t="inlineStr">
        <is>
          <t>SAP ERP</t>
        </is>
      </c>
      <c r="L498" s="1158" t="n"/>
      <c r="M498" s="1159" t="inlineStr">
        <is>
          <t>Australia</t>
        </is>
      </c>
      <c r="N498" s="1162" t="inlineStr">
        <is>
          <t>CIC</t>
        </is>
      </c>
      <c r="O498" s="1160" t="n">
        <v>1</v>
      </c>
      <c r="P498" s="1160" t="n"/>
      <c r="Q498" s="1160" t="inlineStr">
        <is>
          <t>v</t>
        </is>
      </c>
      <c r="R498" s="1162" t="n"/>
      <c r="S498" s="1162" t="n"/>
      <c r="T498" s="1163" t="n">
        <v>173550</v>
      </c>
      <c r="U498" s="1164" t="n">
        <v>173550</v>
      </c>
      <c r="V498" s="1166" t="n">
        <v>0.12</v>
      </c>
      <c r="W498" s="1170" t="n">
        <v>0.055</v>
      </c>
      <c r="X498" s="1170" t="n">
        <v>0.12</v>
      </c>
      <c r="Y498" s="1171" t="n"/>
      <c r="Z498" s="1170" t="n">
        <v>0.04</v>
      </c>
      <c r="AA498" s="1168">
        <f>IF(TRIM($B498)="","",IF(N($AU498)&gt;0,$AU498,IF(N($S498)&gt;0,$S498*Lists!$AG$15*(1+N($Z498)),N($U498)*(1+N($V498)+N($W498)+N($X498)+N($Z498))+N($Y498))))</f>
        <v>231689.25</v>
      </c>
      <c r="AB498" s="1238" t="n"/>
      <c r="AC498" s="1238" t="n"/>
      <c r="AJ498" s="865" t="str">
        <f>IF(TRIM($B498)="","",IF(IFERROR(INDEX(Lists!$AO$2:$AO$11,MATCH(ROW(),Lists!$AN$2:$AN$11,0)),"")&lt;&gt;"",IFERROR(INDEX(Lists!$AO$2:$AO$11,MATCH(ROW(),Lists!$AN$2:$AN$11,0)),""),IFERROR(INDEX(Lists!$U:$U,MATCH(TRIM($I498),Lists!$T:$T,0)),TRIM($I498))))</f>
        <v>Finance</v>
      </c>
      <c r="AK498" s="865" t="str">
        <f>IF(ISNUMBER(SEARCH("vacant",$B498)),"Vacant","Filled")</f>
        <v>Vacant</v>
      </c>
      <c r="AL498" s="865" t="str">
        <f>IF($M498="NZ","NZ","AU")</f>
        <v>AU</v>
      </c>
      <c r="AM498" s="865">
        <f>COUNTIF($AJ$2:$AJ498,$AJ498)</f>
        <v>12</v>
      </c>
      <c r="AN498" s="865" t="str">
        <f>$AJ498&amp;"|"&amp;$AM498</f>
        <v>Finance|12</v>
      </c>
      <c r="AP498" s="865" t="str">
        <f>IF(TRIM($B498)="","",IF($AQ498=1,"Leadership",IFERROR(INDEX(Lists!$X:$X,MATCH(TRIM($K498),Lists!$W:$W,0)),IF(OR(TRIM($K498)="",LOWER(TRIM($K498))="na"),IF(TRIM($G498)="","Unassigned",TRIM($G498)),TRIM($K498)))))</f>
        <v>SAP ERP</v>
      </c>
      <c r="AQ498" s="865" t="b">
        <f>IF(TRIM($B498)="","",--OR(TRIM($K498)="Leadership",TRIM($J498)="Leadership"))</f>
        <v>0</v>
      </c>
      <c r="AR498" s="1136" t="str">
        <f>IF(TRIM($B498)="","",IF(IFERROR(INDEX(Lists!$AQ$2:$AQ$11,MATCH(ROW(),Lists!$AN$2:$AN$11,0)),"")&lt;&gt;"",IFERROR(INDEX(Lists!$AQ$2:$AQ$11,MATCH(ROW(),Lists!$AN$2:$AN$11,0)),""),IF(ISNUMBER(SEARCH("head of ",$C498)),"Head of Technology",IF(ISNUMBER(SEARCH("TDD BP",$C498)),"Business Partner",IF(OR(ISNUMBER(SEARCH("domain architect",$C498)),ISNUMBER(SEARCH("enterprise architect",$C498))),"Domain Architect",IF(ISNUMBER(SEARCH("delivery man",$C498)),"Delivery Manager",IF(OR(ISNUMBER(SEARCH("technology manager",$C498)),ISNUMBER(SEARCH("technology manger",$C498)),ISNUMBER(SEARCH("tech manager",$C498))),"Technology Manager","Squad")))))))</f>
        <v>Squad</v>
      </c>
      <c r="AS498" s="1136" t="str">
        <f>IF(TRIM($B498)="","",IFERROR(INDEX(Lists!$AA:$AA,MATCH($AP498,Lists!$Z:$Z,0)),$AP498))</f>
        <v>SAP ERP</v>
      </c>
      <c r="AT498" s="1136" t="str">
        <f>IF(TRIM($B498)="","",IF(IFERROR(INDEX(Lists!$AP$2:$AP$11,MATCH(ROW(),Lists!$AN$2:$AN$11,0)),"")&lt;&gt;"",IFERROR(INDEX(Lists!$AP$2:$AP$11,MATCH(ROW(),Lists!$AN$2:$AN$11,0)),""),IF(OR(LEFT($AJ498,3)="COE",$AJ498="EGI"),$AP498,IF($AR498&lt;&gt;"Squad",$AR498,$AP498))))</f>
        <v>SAP ERP</v>
      </c>
    </row>
    <row r="499" ht="18" customHeight="1" s="866">
      <c r="A499" s="1155" t="inlineStr">
        <is>
          <t>V</t>
        </is>
      </c>
      <c r="B499" s="1156" t="inlineStr">
        <is>
          <t>Vacant</t>
        </is>
      </c>
      <c r="C499" s="1199" t="inlineStr">
        <is>
          <t>Solution Architect - Finance</t>
        </is>
      </c>
      <c r="D499" s="1158" t="inlineStr">
        <is>
          <t>Shane Ker</t>
        </is>
      </c>
      <c r="E499" s="1199" t="inlineStr">
        <is>
          <t>Technology Manager Finance Platforms</t>
        </is>
      </c>
      <c r="F499" s="1157" t="inlineStr">
        <is>
          <t>TDD Group Functions</t>
        </is>
      </c>
      <c r="G499" s="1199" t="inlineStr">
        <is>
          <t>P&amp;C, Finance &amp; Legal</t>
        </is>
      </c>
      <c r="H499" s="1158" t="inlineStr">
        <is>
          <t>Tech, Finance Platforms</t>
        </is>
      </c>
      <c r="I499" s="1158" t="inlineStr">
        <is>
          <t>Finance</t>
        </is>
      </c>
      <c r="J499" s="1158" t="inlineStr">
        <is>
          <t>AU Finance</t>
        </is>
      </c>
      <c r="K499" s="1158" t="inlineStr">
        <is>
          <t>SAP ERP</t>
        </is>
      </c>
      <c r="L499" s="1158" t="n"/>
      <c r="M499" s="1159" t="inlineStr">
        <is>
          <t>australia</t>
        </is>
      </c>
      <c r="N499" s="1160" t="inlineStr">
        <is>
          <t>CIC</t>
        </is>
      </c>
      <c r="O499" s="1160" t="n">
        <v>1</v>
      </c>
      <c r="P499" s="1160" t="n"/>
      <c r="Q499" s="1160" t="inlineStr">
        <is>
          <t>v</t>
        </is>
      </c>
      <c r="R499" s="1162" t="n"/>
      <c r="S499" s="1162" t="n"/>
      <c r="T499" s="1163" t="n">
        <v>173550</v>
      </c>
      <c r="U499" s="1164" t="n">
        <v>173550</v>
      </c>
      <c r="V499" s="1166" t="n">
        <v>0.12</v>
      </c>
      <c r="W499" s="1170" t="n">
        <v>0.055</v>
      </c>
      <c r="X499" s="1170" t="n">
        <v>0.12</v>
      </c>
      <c r="Y499" s="1171" t="n"/>
      <c r="Z499" s="1170" t="n">
        <v>0.04</v>
      </c>
      <c r="AA499" s="1168">
        <f>IF(TRIM($B499)="","",IF(N($AU499)&gt;0,$AU499,IF(N($S499)&gt;0,$S499*Lists!$AG$15*(1+N($Z499)),N($U499)*(1+N($V499)+N($W499)+N($X499)+N($Z499))+N($Y499))))</f>
        <v>231689.25</v>
      </c>
      <c r="AB499" s="1238" t="n"/>
      <c r="AC499" s="1238" t="n"/>
      <c r="AJ499" s="865" t="str">
        <f>IF(TRIM($B499)="","",IF(IFERROR(INDEX(Lists!$AO$2:$AO$11,MATCH(ROW(),Lists!$AN$2:$AN$11,0)),"")&lt;&gt;"",IFERROR(INDEX(Lists!$AO$2:$AO$11,MATCH(ROW(),Lists!$AN$2:$AN$11,0)),""),IFERROR(INDEX(Lists!$U:$U,MATCH(TRIM($I499),Lists!$T:$T,0)),TRIM($I499))))</f>
        <v>Finance</v>
      </c>
      <c r="AK499" s="865" t="str">
        <f>IF(ISNUMBER(SEARCH("vacant",$B499)),"Vacant","Filled")</f>
        <v>Vacant</v>
      </c>
      <c r="AL499" s="865" t="str">
        <f>IF($M499="NZ","NZ","AU")</f>
        <v>AU</v>
      </c>
      <c r="AM499" s="865">
        <f>COUNTIF($AJ$2:$AJ499,$AJ499)</f>
        <v>13</v>
      </c>
      <c r="AN499" s="865" t="str">
        <f>$AJ499&amp;"|"&amp;$AM499</f>
        <v>Finance|13</v>
      </c>
      <c r="AP499" s="865" t="str">
        <f>IF(TRIM($B499)="","",IF($AQ499=1,"Leadership",IFERROR(INDEX(Lists!$X:$X,MATCH(TRIM($K499),Lists!$W:$W,0)),IF(OR(TRIM($K499)="",LOWER(TRIM($K499))="na"),IF(TRIM($G499)="","Unassigned",TRIM($G499)),TRIM($K499)))))</f>
        <v>SAP ERP</v>
      </c>
      <c r="AQ499" s="865" t="b">
        <f>IF(TRIM($B499)="","",--OR(TRIM($K499)="Leadership",TRIM($J499)="Leadership"))</f>
        <v>0</v>
      </c>
      <c r="AR499" s="1136" t="str">
        <f>IF(TRIM($B499)="","",IF(IFERROR(INDEX(Lists!$AQ$2:$AQ$11,MATCH(ROW(),Lists!$AN$2:$AN$11,0)),"")&lt;&gt;"",IFERROR(INDEX(Lists!$AQ$2:$AQ$11,MATCH(ROW(),Lists!$AN$2:$AN$11,0)),""),IF(ISNUMBER(SEARCH("head of ",$C499)),"Head of Technology",IF(ISNUMBER(SEARCH("TDD BP",$C499)),"Business Partner",IF(OR(ISNUMBER(SEARCH("domain architect",$C499)),ISNUMBER(SEARCH("enterprise architect",$C499))),"Domain Architect",IF(ISNUMBER(SEARCH("delivery man",$C499)),"Delivery Manager",IF(OR(ISNUMBER(SEARCH("technology manager",$C499)),ISNUMBER(SEARCH("technology manger",$C499)),ISNUMBER(SEARCH("tech manager",$C499))),"Technology Manager","Squad")))))))</f>
        <v>Squad</v>
      </c>
      <c r="AS499" s="1136" t="str">
        <f>IF(TRIM($B499)="","",IFERROR(INDEX(Lists!$AA:$AA,MATCH($AP499,Lists!$Z:$Z,0)),$AP499))</f>
        <v>SAP ERP</v>
      </c>
      <c r="AT499" s="1136" t="str">
        <f>IF(TRIM($B499)="","",IF(IFERROR(INDEX(Lists!$AP$2:$AP$11,MATCH(ROW(),Lists!$AN$2:$AN$11,0)),"")&lt;&gt;"",IFERROR(INDEX(Lists!$AP$2:$AP$11,MATCH(ROW(),Lists!$AN$2:$AN$11,0)),""),IF(OR(LEFT($AJ499,3)="COE",$AJ499="EGI"),$AP499,IF($AR499&lt;&gt;"Squad",$AR499,$AP499))))</f>
        <v>SAP ERP</v>
      </c>
    </row>
    <row r="500" ht="18" customHeight="1" s="866">
      <c r="A500" s="1155" t="inlineStr">
        <is>
          <t>V</t>
        </is>
      </c>
      <c r="B500" s="1156" t="inlineStr">
        <is>
          <t>Vacant</t>
        </is>
      </c>
      <c r="C500" s="1199" t="inlineStr">
        <is>
          <t>Delivery Lead (JDE)</t>
        </is>
      </c>
      <c r="D500" s="1158" t="inlineStr">
        <is>
          <t>Vacant</t>
        </is>
      </c>
      <c r="E500" s="1199" t="inlineStr">
        <is>
          <t>Delivery Manager, P&amp;C, Finance &amp; Legal</t>
        </is>
      </c>
      <c r="F500" s="1157" t="inlineStr">
        <is>
          <t>TDD Group Functions</t>
        </is>
      </c>
      <c r="G500" s="1199" t="inlineStr">
        <is>
          <t>P&amp;C, Finance &amp; Legal</t>
        </is>
      </c>
      <c r="H500" s="1158" t="inlineStr">
        <is>
          <t>Delivery, P&amp;C, Finance &amp; Legal</t>
        </is>
      </c>
      <c r="I500" s="1158" t="inlineStr">
        <is>
          <t>Finance</t>
        </is>
      </c>
      <c r="J500" s="1158" t="inlineStr">
        <is>
          <t>NZ Finance</t>
        </is>
      </c>
      <c r="K500" s="1158" t="inlineStr">
        <is>
          <t>NZ Finance</t>
        </is>
      </c>
      <c r="L500" s="1158" t="n"/>
      <c r="M500" s="1159" t="inlineStr">
        <is>
          <t>Australia</t>
        </is>
      </c>
      <c r="N500" s="1160" t="inlineStr">
        <is>
          <t>CIC</t>
        </is>
      </c>
      <c r="O500" s="1160" t="n">
        <v>1</v>
      </c>
      <c r="P500" s="1160" t="n"/>
      <c r="Q500" s="1160" t="inlineStr">
        <is>
          <t>V</t>
        </is>
      </c>
      <c r="R500" s="1162" t="n"/>
      <c r="S500" s="1162" t="n"/>
      <c r="T500" s="1163" t="n">
        <v>173550</v>
      </c>
      <c r="U500" s="1164" t="n">
        <v>173550</v>
      </c>
      <c r="V500" s="1166" t="n">
        <v>0.12</v>
      </c>
      <c r="W500" s="1170" t="n">
        <v>0.055</v>
      </c>
      <c r="X500" s="1170" t="n">
        <v>0.12</v>
      </c>
      <c r="Y500" s="1171" t="n"/>
      <c r="Z500" s="1170" t="n">
        <v>0.04</v>
      </c>
      <c r="AA500" s="1168">
        <f>IF(TRIM($B500)="","",IF(N($AU500)&gt;0,$AU500,IF(N($S500)&gt;0,$S500*Lists!$AG$15*(1+N($Z500)),N($U500)*(1+N($V500)+N($W500)+N($X500)+N($Z500))+N($Y500))))</f>
        <v>231689.25</v>
      </c>
      <c r="AB500" s="1238" t="n"/>
      <c r="AC500" s="1238" t="n"/>
      <c r="AJ500" s="865" t="str">
        <f>IF(TRIM($B500)="","",IF(IFERROR(INDEX(Lists!$AO$2:$AO$11,MATCH(ROW(),Lists!$AN$2:$AN$11,0)),"")&lt;&gt;"",IFERROR(INDEX(Lists!$AO$2:$AO$11,MATCH(ROW(),Lists!$AN$2:$AN$11,0)),""),IFERROR(INDEX(Lists!$U:$U,MATCH(TRIM($I500),Lists!$T:$T,0)),TRIM($I500))))</f>
        <v>Finance</v>
      </c>
      <c r="AK500" s="865" t="str">
        <f>IF(ISNUMBER(SEARCH("vacant",$B500)),"Vacant","Filled")</f>
        <v>Vacant</v>
      </c>
      <c r="AL500" s="865" t="str">
        <f>IF($M500="NZ","NZ","AU")</f>
        <v>AU</v>
      </c>
      <c r="AM500" s="865">
        <f>COUNTIF($AJ$2:$AJ500,$AJ500)</f>
        <v>14</v>
      </c>
      <c r="AN500" s="865" t="str">
        <f>$AJ500&amp;"|"&amp;$AM500</f>
        <v>Finance|14</v>
      </c>
      <c r="AP500" s="865" t="str">
        <f>IF(TRIM($B500)="","",IF($AQ500=1,"Leadership",IFERROR(INDEX(Lists!$X:$X,MATCH(TRIM($K500),Lists!$W:$W,0)),IF(OR(TRIM($K500)="",LOWER(TRIM($K500))="na"),IF(TRIM($G500)="","Unassigned",TRIM($G500)),TRIM($K500)))))</f>
        <v>NZ Finance</v>
      </c>
      <c r="AQ500" s="865" t="b">
        <f>IF(TRIM($B500)="","",--OR(TRIM($K500)="Leadership",TRIM($J500)="Leadership"))</f>
        <v>0</v>
      </c>
      <c r="AR500" s="1136" t="str">
        <f>IF(TRIM($B500)="","",IF(IFERROR(INDEX(Lists!$AQ$2:$AQ$11,MATCH(ROW(),Lists!$AN$2:$AN$11,0)),"")&lt;&gt;"",IFERROR(INDEX(Lists!$AQ$2:$AQ$11,MATCH(ROW(),Lists!$AN$2:$AN$11,0)),""),IF(ISNUMBER(SEARCH("head of ",$C500)),"Head of Technology",IF(ISNUMBER(SEARCH("TDD BP",$C500)),"Business Partner",IF(OR(ISNUMBER(SEARCH("domain architect",$C500)),ISNUMBER(SEARCH("enterprise architect",$C500))),"Domain Architect",IF(ISNUMBER(SEARCH("delivery man",$C500)),"Delivery Manager",IF(OR(ISNUMBER(SEARCH("technology manager",$C500)),ISNUMBER(SEARCH("technology manger",$C500)),ISNUMBER(SEARCH("tech manager",$C500))),"Technology Manager","Squad")))))))</f>
        <v>Squad</v>
      </c>
      <c r="AS500" s="1136" t="str">
        <f>IF(TRIM($B500)="","",IFERROR(INDEX(Lists!$AA:$AA,MATCH($AP500,Lists!$Z:$Z,0)),$AP500))</f>
        <v>NZ Finance</v>
      </c>
      <c r="AT500" s="1136" t="str">
        <f>IF(TRIM($B500)="","",IF(IFERROR(INDEX(Lists!$AP$2:$AP$11,MATCH(ROW(),Lists!$AN$2:$AN$11,0)),"")&lt;&gt;"",IFERROR(INDEX(Lists!$AP$2:$AP$11,MATCH(ROW(),Lists!$AN$2:$AN$11,0)),""),IF(OR(LEFT($AJ500,3)="COE",$AJ500="EGI"),$AP500,IF($AR500&lt;&gt;"Squad",$AR500,$AP500))))</f>
        <v>NZ Finance</v>
      </c>
    </row>
    <row r="501" ht="18" customHeight="1" s="866">
      <c r="A501" s="1155" t="inlineStr">
        <is>
          <t>V</t>
        </is>
      </c>
      <c r="B501" s="1156" t="inlineStr">
        <is>
          <t>Vacant</t>
        </is>
      </c>
      <c r="C501" s="1199" t="inlineStr">
        <is>
          <t>Delivery Lead (SAP)</t>
        </is>
      </c>
      <c r="D501" s="1158" t="inlineStr">
        <is>
          <t>Vacant</t>
        </is>
      </c>
      <c r="E501" s="1199" t="inlineStr">
        <is>
          <t>Delivery Manager, P&amp;C, Finance &amp; Legal</t>
        </is>
      </c>
      <c r="F501" s="1157" t="inlineStr">
        <is>
          <t>TDD Group Functions</t>
        </is>
      </c>
      <c r="G501" s="1199" t="inlineStr">
        <is>
          <t>P&amp;C, Finance &amp; Legal</t>
        </is>
      </c>
      <c r="H501" s="1158" t="inlineStr">
        <is>
          <t>Delivery, P&amp;C, Finance &amp; Legal</t>
        </is>
      </c>
      <c r="I501" s="1158" t="inlineStr">
        <is>
          <t>Finance</t>
        </is>
      </c>
      <c r="J501" s="1158" t="inlineStr">
        <is>
          <t>AU Finance</t>
        </is>
      </c>
      <c r="K501" s="1158" t="inlineStr">
        <is>
          <t>SAP ERP</t>
        </is>
      </c>
      <c r="L501" s="1158" t="n"/>
      <c r="M501" s="1159" t="inlineStr">
        <is>
          <t>Australia</t>
        </is>
      </c>
      <c r="N501" s="1160" t="inlineStr">
        <is>
          <t>CIC</t>
        </is>
      </c>
      <c r="O501" s="1160" t="n">
        <v>1</v>
      </c>
      <c r="P501" s="1160" t="n"/>
      <c r="Q501" s="1160" t="inlineStr">
        <is>
          <t>V</t>
        </is>
      </c>
      <c r="R501" s="1162" t="n"/>
      <c r="S501" s="1162" t="n"/>
      <c r="T501" s="1163" t="n">
        <v>173550</v>
      </c>
      <c r="U501" s="1164" t="n">
        <v>173550</v>
      </c>
      <c r="V501" s="1166" t="n">
        <v>0.12</v>
      </c>
      <c r="W501" s="1170" t="n">
        <v>0.055</v>
      </c>
      <c r="X501" s="1170" t="n">
        <v>0.12</v>
      </c>
      <c r="Y501" s="1171" t="n"/>
      <c r="Z501" s="1170" t="n">
        <v>0.04</v>
      </c>
      <c r="AA501" s="1168">
        <f>IF(TRIM($B501)="","",IF(N($AU501)&gt;0,$AU501,IF(N($S501)&gt;0,$S501*Lists!$AG$15*(1+N($Z501)),N($U501)*(1+N($V501)+N($W501)+N($X501)+N($Z501))+N($Y501))))</f>
        <v>231689.25</v>
      </c>
      <c r="AB501" s="1238" t="n"/>
      <c r="AC501" s="1238" t="n"/>
      <c r="AJ501" s="865" t="str">
        <f>IF(TRIM($B501)="","",IF(IFERROR(INDEX(Lists!$AO$2:$AO$11,MATCH(ROW(),Lists!$AN$2:$AN$11,0)),"")&lt;&gt;"",IFERROR(INDEX(Lists!$AO$2:$AO$11,MATCH(ROW(),Lists!$AN$2:$AN$11,0)),""),IFERROR(INDEX(Lists!$U:$U,MATCH(TRIM($I501),Lists!$T:$T,0)),TRIM($I501))))</f>
        <v>Finance</v>
      </c>
      <c r="AK501" s="865" t="str">
        <f>IF(ISNUMBER(SEARCH("vacant",$B501)),"Vacant","Filled")</f>
        <v>Vacant</v>
      </c>
      <c r="AL501" s="865" t="str">
        <f>IF($M501="NZ","NZ","AU")</f>
        <v>AU</v>
      </c>
      <c r="AM501" s="865">
        <f>COUNTIF($AJ$2:$AJ501,$AJ501)</f>
        <v>15</v>
      </c>
      <c r="AN501" s="865" t="str">
        <f>$AJ501&amp;"|"&amp;$AM501</f>
        <v>Finance|15</v>
      </c>
      <c r="AP501" s="865" t="str">
        <f>IF(TRIM($B501)="","",IF($AQ501=1,"Leadership",IFERROR(INDEX(Lists!$X:$X,MATCH(TRIM($K501),Lists!$W:$W,0)),IF(OR(TRIM($K501)="",LOWER(TRIM($K501))="na"),IF(TRIM($G501)="","Unassigned",TRIM($G501)),TRIM($K501)))))</f>
        <v>SAP ERP</v>
      </c>
      <c r="AQ501" s="865" t="b">
        <f>IF(TRIM($B501)="","",--OR(TRIM($K501)="Leadership",TRIM($J501)="Leadership"))</f>
        <v>0</v>
      </c>
      <c r="AR501" s="1136" t="str">
        <f>IF(TRIM($B501)="","",IF(IFERROR(INDEX(Lists!$AQ$2:$AQ$11,MATCH(ROW(),Lists!$AN$2:$AN$11,0)),"")&lt;&gt;"",IFERROR(INDEX(Lists!$AQ$2:$AQ$11,MATCH(ROW(),Lists!$AN$2:$AN$11,0)),""),IF(ISNUMBER(SEARCH("head of ",$C501)),"Head of Technology",IF(ISNUMBER(SEARCH("TDD BP",$C501)),"Business Partner",IF(OR(ISNUMBER(SEARCH("domain architect",$C501)),ISNUMBER(SEARCH("enterprise architect",$C501))),"Domain Architect",IF(ISNUMBER(SEARCH("delivery man",$C501)),"Delivery Manager",IF(OR(ISNUMBER(SEARCH("technology manager",$C501)),ISNUMBER(SEARCH("technology manger",$C501)),ISNUMBER(SEARCH("tech manager",$C501))),"Technology Manager","Squad")))))))</f>
        <v>Squad</v>
      </c>
      <c r="AS501" s="1136" t="str">
        <f>IF(TRIM($B501)="","",IFERROR(INDEX(Lists!$AA:$AA,MATCH($AP501,Lists!$Z:$Z,0)),$AP501))</f>
        <v>SAP ERP</v>
      </c>
      <c r="AT501" s="1136" t="str">
        <f>IF(TRIM($B501)="","",IF(IFERROR(INDEX(Lists!$AP$2:$AP$11,MATCH(ROW(),Lists!$AN$2:$AN$11,0)),"")&lt;&gt;"",IFERROR(INDEX(Lists!$AP$2:$AP$11,MATCH(ROW(),Lists!$AN$2:$AN$11,0)),""),IF(OR(LEFT($AJ501,3)="COE",$AJ501="EGI"),$AP501,IF($AR501&lt;&gt;"Squad",$AR501,$AP501))))</f>
        <v>SAP ERP</v>
      </c>
    </row>
    <row r="502" ht="18" customHeight="1" s="866">
      <c r="A502" s="1155" t="inlineStr">
        <is>
          <t>V</t>
        </is>
      </c>
      <c r="B502" s="1156" t="inlineStr">
        <is>
          <t>Vacant</t>
        </is>
      </c>
      <c r="C502" s="1199" t="inlineStr">
        <is>
          <t>Business Analyst (P&amp;C RTA)</t>
        </is>
      </c>
      <c r="D502" s="1158" t="inlineStr">
        <is>
          <t>Vacant</t>
        </is>
      </c>
      <c r="E502" s="1199" t="inlineStr">
        <is>
          <t>Delivery Manager, P&amp;C, Finance &amp; Legal</t>
        </is>
      </c>
      <c r="F502" s="1157" t="inlineStr">
        <is>
          <t>TDD Group Functions</t>
        </is>
      </c>
      <c r="G502" s="1199" t="inlineStr">
        <is>
          <t>P&amp;C, Finance &amp; Legal</t>
        </is>
      </c>
      <c r="H502" s="1158" t="inlineStr">
        <is>
          <t>Delivery, P&amp;C, Finance &amp; Legal</t>
        </is>
      </c>
      <c r="I502" s="1158" t="inlineStr">
        <is>
          <t>P&amp;C</t>
        </is>
      </c>
      <c r="J502" s="1158" t="inlineStr">
        <is>
          <t>P&amp;C</t>
        </is>
      </c>
      <c r="K502" s="1158" t="inlineStr">
        <is>
          <t>P&amp;C RTA</t>
        </is>
      </c>
      <c r="L502" s="1158" t="n"/>
      <c r="M502" s="1159" t="inlineStr">
        <is>
          <t>Australia</t>
        </is>
      </c>
      <c r="N502" s="1160" t="inlineStr">
        <is>
          <t>CIB</t>
        </is>
      </c>
      <c r="O502" s="1160" t="n">
        <v>1</v>
      </c>
      <c r="P502" s="1160" t="n"/>
      <c r="Q502" s="1160" t="inlineStr">
        <is>
          <t>V</t>
        </is>
      </c>
      <c r="R502" s="1162" t="n"/>
      <c r="S502" s="1162" t="n"/>
      <c r="T502" s="1163" t="n">
        <v>151000</v>
      </c>
      <c r="U502" s="1164" t="n">
        <v>151000</v>
      </c>
      <c r="V502" s="1166" t="n">
        <v>0.12</v>
      </c>
      <c r="W502" s="1170" t="n">
        <v>0.055</v>
      </c>
      <c r="X502" s="1170" t="n">
        <v>0.12</v>
      </c>
      <c r="Y502" s="1171" t="n"/>
      <c r="Z502" s="1170" t="n">
        <v>0.04</v>
      </c>
      <c r="AA502" s="1168">
        <f>IF(TRIM($B502)="","",IF(N($AU502)&gt;0,$AU502,IF(N($S502)&gt;0,$S502*Lists!$AG$15*(1+N($Z502)),N($U502)*(1+N($V502)+N($W502)+N($X502)+N($Z502))+N($Y502))))</f>
        <v>201585</v>
      </c>
      <c r="AB502" s="1238" t="n"/>
      <c r="AC502" s="1238" t="n"/>
      <c r="AJ502" s="865" t="str">
        <f>IF(TRIM($B502)="","",IF(IFERROR(INDEX(Lists!$AO$2:$AO$11,MATCH(ROW(),Lists!$AN$2:$AN$11,0)),"")&lt;&gt;"",IFERROR(INDEX(Lists!$AO$2:$AO$11,MATCH(ROW(),Lists!$AN$2:$AN$11,0)),""),IFERROR(INDEX(Lists!$U:$U,MATCH(TRIM($I502),Lists!$T:$T,0)),TRIM($I502))))</f>
        <v>P&amp;C</v>
      </c>
      <c r="AK502" s="865" t="str">
        <f>IF(ISNUMBER(SEARCH("vacant",$B502)),"Vacant","Filled")</f>
        <v>Vacant</v>
      </c>
      <c r="AL502" s="865" t="str">
        <f>IF($M502="NZ","NZ","AU")</f>
        <v>AU</v>
      </c>
      <c r="AM502" s="865">
        <f>COUNTIF($AJ$2:$AJ502,$AJ502)</f>
        <v>9</v>
      </c>
      <c r="AN502" s="865" t="str">
        <f>$AJ502&amp;"|"&amp;$AM502</f>
        <v>P&amp;C|9</v>
      </c>
      <c r="AP502" s="865" t="str">
        <f>IF(TRIM($B502)="","",IF($AQ502=1,"Leadership",IFERROR(INDEX(Lists!$X:$X,MATCH(TRIM($K502),Lists!$W:$W,0)),IF(OR(TRIM($K502)="",LOWER(TRIM($K502))="na"),IF(TRIM($G502)="","Unassigned",TRIM($G502)),TRIM($K502)))))</f>
        <v>P&amp;C RTA</v>
      </c>
      <c r="AQ502" s="865" t="b">
        <f>IF(TRIM($B502)="","",--OR(TRIM($K502)="Leadership",TRIM($J502)="Leadership"))</f>
        <v>0</v>
      </c>
      <c r="AR502" s="1136" t="str">
        <f>IF(TRIM($B502)="","",IF(IFERROR(INDEX(Lists!$AQ$2:$AQ$11,MATCH(ROW(),Lists!$AN$2:$AN$11,0)),"")&lt;&gt;"",IFERROR(INDEX(Lists!$AQ$2:$AQ$11,MATCH(ROW(),Lists!$AN$2:$AN$11,0)),""),IF(ISNUMBER(SEARCH("head of ",$C502)),"Head of Technology",IF(ISNUMBER(SEARCH("TDD BP",$C502)),"Business Partner",IF(OR(ISNUMBER(SEARCH("domain architect",$C502)),ISNUMBER(SEARCH("enterprise architect",$C502))),"Domain Architect",IF(ISNUMBER(SEARCH("delivery man",$C502)),"Delivery Manager",IF(OR(ISNUMBER(SEARCH("technology manager",$C502)),ISNUMBER(SEARCH("technology manger",$C502)),ISNUMBER(SEARCH("tech manager",$C502))),"Technology Manager","Squad")))))))</f>
        <v>Squad</v>
      </c>
      <c r="AS502" s="1136" t="str">
        <f>IF(TRIM($B502)="","",IFERROR(INDEX(Lists!$AA:$AA,MATCH($AP502,Lists!$Z:$Z,0)),$AP502))</f>
        <v>P&amp;C RTA</v>
      </c>
      <c r="AT502" s="1136" t="str">
        <f>IF(TRIM($B502)="","",IF(IFERROR(INDEX(Lists!$AP$2:$AP$11,MATCH(ROW(),Lists!$AN$2:$AN$11,0)),"")&lt;&gt;"",IFERROR(INDEX(Lists!$AP$2:$AP$11,MATCH(ROW(),Lists!$AN$2:$AN$11,0)),""),IF(OR(LEFT($AJ502,3)="COE",$AJ502="EGI"),$AP502,IF($AR502&lt;&gt;"Squad",$AR502,$AP502))))</f>
        <v>P&amp;C RTA</v>
      </c>
    </row>
    <row r="503" ht="18" customHeight="1" s="866">
      <c r="A503" s="1155" t="inlineStr">
        <is>
          <t>V</t>
        </is>
      </c>
      <c r="B503" s="1156" t="inlineStr">
        <is>
          <t>Vacant</t>
        </is>
      </c>
      <c r="C503" s="1199" t="inlineStr">
        <is>
          <t>Delivery Lead (RTA)</t>
        </is>
      </c>
      <c r="D503" s="1158" t="inlineStr">
        <is>
          <t>Vacant</t>
        </is>
      </c>
      <c r="E503" s="1199" t="inlineStr">
        <is>
          <t>Delivery Manager, P&amp;C, Finance &amp; Legal</t>
        </is>
      </c>
      <c r="F503" s="1157" t="inlineStr">
        <is>
          <t>TDD Group Functions</t>
        </is>
      </c>
      <c r="G503" s="1199" t="inlineStr">
        <is>
          <t>P&amp;C, Finance &amp; Legal</t>
        </is>
      </c>
      <c r="H503" s="1158" t="inlineStr">
        <is>
          <t>Delivery, P&amp;C, Finance &amp; Legal</t>
        </is>
      </c>
      <c r="I503" s="1158" t="inlineStr">
        <is>
          <t>P&amp;C</t>
        </is>
      </c>
      <c r="J503" s="1158" t="inlineStr">
        <is>
          <t>P&amp;C</t>
        </is>
      </c>
      <c r="K503" s="1158" t="inlineStr">
        <is>
          <t>P&amp;C RTA</t>
        </is>
      </c>
      <c r="L503" s="1158" t="n"/>
      <c r="M503" s="1159" t="inlineStr">
        <is>
          <t>Australia</t>
        </is>
      </c>
      <c r="N503" s="1160" t="inlineStr">
        <is>
          <t>CIC</t>
        </is>
      </c>
      <c r="O503" s="1160" t="n">
        <v>1</v>
      </c>
      <c r="P503" s="1160" t="n"/>
      <c r="Q503" s="1160" t="inlineStr">
        <is>
          <t>V</t>
        </is>
      </c>
      <c r="R503" s="1162" t="n"/>
      <c r="S503" s="1162" t="n"/>
      <c r="T503" s="1163" t="n">
        <v>173550</v>
      </c>
      <c r="U503" s="1164" t="n">
        <v>173550</v>
      </c>
      <c r="V503" s="1166" t="n">
        <v>0.12</v>
      </c>
      <c r="W503" s="1170" t="n">
        <v>0.055</v>
      </c>
      <c r="X503" s="1170" t="n">
        <v>0.12</v>
      </c>
      <c r="Y503" s="1171" t="n"/>
      <c r="Z503" s="1170" t="n">
        <v>0.04</v>
      </c>
      <c r="AA503" s="1168">
        <f>IF(TRIM($B503)="","",IF(N($AU503)&gt;0,$AU503,IF(N($S503)&gt;0,$S503*Lists!$AG$15*(1+N($Z503)),N($U503)*(1+N($V503)+N($W503)+N($X503)+N($Z503))+N($Y503))))</f>
        <v>231689.25</v>
      </c>
      <c r="AB503" s="1238" t="n"/>
      <c r="AC503" s="1238" t="n"/>
      <c r="AJ503" s="865" t="str">
        <f>IF(TRIM($B503)="","",IF(IFERROR(INDEX(Lists!$AO$2:$AO$11,MATCH(ROW(),Lists!$AN$2:$AN$11,0)),"")&lt;&gt;"",IFERROR(INDEX(Lists!$AO$2:$AO$11,MATCH(ROW(),Lists!$AN$2:$AN$11,0)),""),IFERROR(INDEX(Lists!$U:$U,MATCH(TRIM($I503),Lists!$T:$T,0)),TRIM($I503))))</f>
        <v>P&amp;C</v>
      </c>
      <c r="AK503" s="865" t="str">
        <f>IF(ISNUMBER(SEARCH("vacant",$B503)),"Vacant","Filled")</f>
        <v>Vacant</v>
      </c>
      <c r="AL503" s="865" t="str">
        <f>IF($M503="NZ","NZ","AU")</f>
        <v>AU</v>
      </c>
      <c r="AM503" s="865">
        <f>COUNTIF($AJ$2:$AJ503,$AJ503)</f>
        <v>10</v>
      </c>
      <c r="AN503" s="865" t="str">
        <f>$AJ503&amp;"|"&amp;$AM503</f>
        <v>P&amp;C|10</v>
      </c>
      <c r="AP503" s="865" t="str">
        <f>IF(TRIM($B503)="","",IF($AQ503=1,"Leadership",IFERROR(INDEX(Lists!$X:$X,MATCH(TRIM($K503),Lists!$W:$W,0)),IF(OR(TRIM($K503)="",LOWER(TRIM($K503))="na"),IF(TRIM($G503)="","Unassigned",TRIM($G503)),TRIM($K503)))))</f>
        <v>P&amp;C RTA</v>
      </c>
      <c r="AQ503" s="865" t="b">
        <f>IF(TRIM($B503)="","",--OR(TRIM($K503)="Leadership",TRIM($J503)="Leadership"))</f>
        <v>0</v>
      </c>
      <c r="AR503" s="1136" t="str">
        <f>IF(TRIM($B503)="","",IF(IFERROR(INDEX(Lists!$AQ$2:$AQ$11,MATCH(ROW(),Lists!$AN$2:$AN$11,0)),"")&lt;&gt;"",IFERROR(INDEX(Lists!$AQ$2:$AQ$11,MATCH(ROW(),Lists!$AN$2:$AN$11,0)),""),IF(ISNUMBER(SEARCH("head of ",$C503)),"Head of Technology",IF(ISNUMBER(SEARCH("TDD BP",$C503)),"Business Partner",IF(OR(ISNUMBER(SEARCH("domain architect",$C503)),ISNUMBER(SEARCH("enterprise architect",$C503))),"Domain Architect",IF(ISNUMBER(SEARCH("delivery man",$C503)),"Delivery Manager",IF(OR(ISNUMBER(SEARCH("technology manager",$C503)),ISNUMBER(SEARCH("technology manger",$C503)),ISNUMBER(SEARCH("tech manager",$C503))),"Technology Manager","Squad")))))))</f>
        <v>Squad</v>
      </c>
      <c r="AS503" s="1136" t="str">
        <f>IF(TRIM($B503)="","",IFERROR(INDEX(Lists!$AA:$AA,MATCH($AP503,Lists!$Z:$Z,0)),$AP503))</f>
        <v>P&amp;C RTA</v>
      </c>
      <c r="AT503" s="1136" t="str">
        <f>IF(TRIM($B503)="","",IF(IFERROR(INDEX(Lists!$AP$2:$AP$11,MATCH(ROW(),Lists!$AN$2:$AN$11,0)),"")&lt;&gt;"",IFERROR(INDEX(Lists!$AP$2:$AP$11,MATCH(ROW(),Lists!$AN$2:$AN$11,0)),""),IF(OR(LEFT($AJ503,3)="COE",$AJ503="EGI"),$AP503,IF($AR503&lt;&gt;"Squad",$AR503,$AP503))))</f>
        <v>P&amp;C RTA</v>
      </c>
    </row>
    <row r="504" ht="18" customHeight="1" s="866">
      <c r="A504" s="1155" t="inlineStr">
        <is>
          <t>V</t>
        </is>
      </c>
      <c r="B504" s="1156" t="inlineStr">
        <is>
          <t>Vacant</t>
        </is>
      </c>
      <c r="C504" s="1199" t="inlineStr">
        <is>
          <t>Engineer</t>
        </is>
      </c>
      <c r="D504" s="1158" t="inlineStr">
        <is>
          <t>Vacant</t>
        </is>
      </c>
      <c r="E504" s="1156" t="inlineStr">
        <is>
          <t>Technology Manager P&amp;C Platforms</t>
        </is>
      </c>
      <c r="F504" s="1157" t="inlineStr">
        <is>
          <t>TDD Group Functions</t>
        </is>
      </c>
      <c r="G504" s="1199" t="inlineStr">
        <is>
          <t>P&amp;C, Finance &amp; Legal</t>
        </is>
      </c>
      <c r="H504" s="1158" t="inlineStr">
        <is>
          <t>Tech, P&amp;C Platforms</t>
        </is>
      </c>
      <c r="I504" s="1158" t="inlineStr">
        <is>
          <t>P&amp;C</t>
        </is>
      </c>
      <c r="J504" s="1158" t="inlineStr">
        <is>
          <t>P&amp;C</t>
        </is>
      </c>
      <c r="K504" s="1158" t="inlineStr">
        <is>
          <t>P&amp;C</t>
        </is>
      </c>
      <c r="L504" s="1158" t="n"/>
      <c r="M504" s="1159" t="inlineStr">
        <is>
          <t>Australia</t>
        </is>
      </c>
      <c r="N504" s="1162" t="inlineStr">
        <is>
          <t>cib</t>
        </is>
      </c>
      <c r="O504" s="1160" t="n">
        <v>1</v>
      </c>
      <c r="P504" s="1160" t="n"/>
      <c r="Q504" s="1160" t="inlineStr">
        <is>
          <t>V</t>
        </is>
      </c>
      <c r="R504" s="1162" t="n"/>
      <c r="S504" s="1162" t="n"/>
      <c r="T504" s="1163" t="n">
        <v>151950</v>
      </c>
      <c r="U504" s="1164" t="n">
        <v>151950</v>
      </c>
      <c r="V504" s="1166" t="n">
        <v>0.12</v>
      </c>
      <c r="W504" s="1170" t="n">
        <v>0.055</v>
      </c>
      <c r="X504" s="1170" t="n">
        <v>0.12</v>
      </c>
      <c r="Y504" s="1171" t="n"/>
      <c r="Z504" s="1170" t="n">
        <v>0.04</v>
      </c>
      <c r="AA504" s="1168">
        <f>IF(TRIM($B504)="","",IF(N($AU504)&gt;0,$AU504,IF(N($S504)&gt;0,$S504*Lists!$AG$15*(1+N($Z504)),N($U504)*(1+N($V504)+N($W504)+N($X504)+N($Z504))+N($Y504))))</f>
        <v>202853.25</v>
      </c>
      <c r="AB504" s="1238" t="n"/>
      <c r="AC504" s="1238" t="n"/>
      <c r="AJ504" s="865" t="str">
        <f>IF(TRIM($B504)="","",IF(IFERROR(INDEX(Lists!$AO$2:$AO$11,MATCH(ROW(),Lists!$AN$2:$AN$11,0)),"")&lt;&gt;"",IFERROR(INDEX(Lists!$AO$2:$AO$11,MATCH(ROW(),Lists!$AN$2:$AN$11,0)),""),IFERROR(INDEX(Lists!$U:$U,MATCH(TRIM($I504),Lists!$T:$T,0)),TRIM($I504))))</f>
        <v>P&amp;C</v>
      </c>
      <c r="AK504" s="865" t="str">
        <f>IF(ISNUMBER(SEARCH("vacant",$B504)),"Vacant","Filled")</f>
        <v>Vacant</v>
      </c>
      <c r="AL504" s="865" t="str">
        <f>IF($M504="NZ","NZ","AU")</f>
        <v>AU</v>
      </c>
      <c r="AM504" s="865">
        <f>COUNTIF($AJ$2:$AJ504,$AJ504)</f>
        <v>11</v>
      </c>
      <c r="AN504" s="865" t="str">
        <f>$AJ504&amp;"|"&amp;$AM504</f>
        <v>P&amp;C|11</v>
      </c>
      <c r="AP504" s="865" t="str">
        <f>IF(TRIM($B504)="","",IF($AQ504=1,"Leadership",IFERROR(INDEX(Lists!$X:$X,MATCH(TRIM($K504),Lists!$W:$W,0)),IF(OR(TRIM($K504)="",LOWER(TRIM($K504))="na"),IF(TRIM($G504)="","Unassigned",TRIM($G504)),TRIM($K504)))))</f>
        <v>P&amp;C</v>
      </c>
      <c r="AQ504" s="865" t="b">
        <f>IF(TRIM($B504)="","",--OR(TRIM($K504)="Leadership",TRIM($J504)="Leadership"))</f>
        <v>0</v>
      </c>
      <c r="AR504" s="1136" t="str">
        <f>IF(TRIM($B504)="","",IF(IFERROR(INDEX(Lists!$AQ$2:$AQ$11,MATCH(ROW(),Lists!$AN$2:$AN$11,0)),"")&lt;&gt;"",IFERROR(INDEX(Lists!$AQ$2:$AQ$11,MATCH(ROW(),Lists!$AN$2:$AN$11,0)),""),IF(ISNUMBER(SEARCH("head of ",$C504)),"Head of Technology",IF(ISNUMBER(SEARCH("TDD BP",$C504)),"Business Partner",IF(OR(ISNUMBER(SEARCH("domain architect",$C504)),ISNUMBER(SEARCH("enterprise architect",$C504))),"Domain Architect",IF(ISNUMBER(SEARCH("delivery man",$C504)),"Delivery Manager",IF(OR(ISNUMBER(SEARCH("technology manager",$C504)),ISNUMBER(SEARCH("technology manger",$C504)),ISNUMBER(SEARCH("tech manager",$C504))),"Technology Manager","Squad")))))))</f>
        <v>Squad</v>
      </c>
      <c r="AS504" s="1136" t="str">
        <f>IF(TRIM($B504)="","",IFERROR(INDEX(Lists!$AA:$AA,MATCH($AP504,Lists!$Z:$Z,0)),$AP504))</f>
        <v>P&amp;C</v>
      </c>
      <c r="AT504" s="1136" t="str">
        <f>IF(TRIM($B504)="","",IF(IFERROR(INDEX(Lists!$AP$2:$AP$11,MATCH(ROW(),Lists!$AN$2:$AN$11,0)),"")&lt;&gt;"",IFERROR(INDEX(Lists!$AP$2:$AP$11,MATCH(ROW(),Lists!$AN$2:$AN$11,0)),""),IF(OR(LEFT($AJ504,3)="COE",$AJ504="EGI"),$AP504,IF($AR504&lt;&gt;"Squad",$AR504,$AP504))))</f>
        <v>P&amp;C</v>
      </c>
    </row>
    <row r="505" ht="18" customHeight="1" s="866">
      <c r="A505" s="1155" t="inlineStr">
        <is>
          <t>V</t>
        </is>
      </c>
      <c r="B505" s="1156" t="inlineStr">
        <is>
          <t>Vacant</t>
        </is>
      </c>
      <c r="C505" s="1199" t="inlineStr">
        <is>
          <t>Engineer</t>
        </is>
      </c>
      <c r="D505" s="1158" t="inlineStr">
        <is>
          <t>Vacant</t>
        </is>
      </c>
      <c r="E505" s="1156" t="inlineStr">
        <is>
          <t>Technology Manager P&amp;C Platforms</t>
        </is>
      </c>
      <c r="F505" s="1157" t="inlineStr">
        <is>
          <t>TDD Group Functions</t>
        </is>
      </c>
      <c r="G505" s="1199" t="inlineStr">
        <is>
          <t>P&amp;C, Finance &amp; Legal</t>
        </is>
      </c>
      <c r="H505" s="1158" t="inlineStr">
        <is>
          <t>Tech, P&amp;C Platforms</t>
        </is>
      </c>
      <c r="I505" s="1158" t="inlineStr">
        <is>
          <t>P&amp;C</t>
        </is>
      </c>
      <c r="J505" s="1158" t="inlineStr">
        <is>
          <t>P&amp;C</t>
        </is>
      </c>
      <c r="K505" s="1158" t="inlineStr">
        <is>
          <t>P&amp;C</t>
        </is>
      </c>
      <c r="L505" s="1158" t="n"/>
      <c r="M505" s="1159" t="inlineStr">
        <is>
          <t>Australia</t>
        </is>
      </c>
      <c r="N505" s="1162" t="inlineStr">
        <is>
          <t>cib</t>
        </is>
      </c>
      <c r="O505" s="1160" t="n">
        <v>1</v>
      </c>
      <c r="P505" s="1160" t="n"/>
      <c r="Q505" s="1160" t="inlineStr">
        <is>
          <t>V</t>
        </is>
      </c>
      <c r="R505" s="1162" t="n"/>
      <c r="S505" s="1162" t="n"/>
      <c r="T505" s="1163" t="n">
        <v>151950</v>
      </c>
      <c r="U505" s="1164" t="n">
        <v>151950</v>
      </c>
      <c r="V505" s="1166" t="n">
        <v>0.12</v>
      </c>
      <c r="W505" s="1170" t="n">
        <v>0.055</v>
      </c>
      <c r="X505" s="1170" t="n">
        <v>0.12</v>
      </c>
      <c r="Y505" s="1171" t="n"/>
      <c r="Z505" s="1170" t="n">
        <v>0.04</v>
      </c>
      <c r="AA505" s="1168">
        <f>IF(TRIM($B505)="","",IF(N($AU505)&gt;0,$AU505,IF(N($S505)&gt;0,$S505*Lists!$AG$15*(1+N($Z505)),N($U505)*(1+N($V505)+N($W505)+N($X505)+N($Z505))+N($Y505))))</f>
        <v>202853.25</v>
      </c>
      <c r="AB505" s="1238" t="n"/>
      <c r="AC505" s="1238" t="n"/>
      <c r="AJ505" s="865" t="str">
        <f>IF(TRIM($B505)="","",IF(IFERROR(INDEX(Lists!$AO$2:$AO$11,MATCH(ROW(),Lists!$AN$2:$AN$11,0)),"")&lt;&gt;"",IFERROR(INDEX(Lists!$AO$2:$AO$11,MATCH(ROW(),Lists!$AN$2:$AN$11,0)),""),IFERROR(INDEX(Lists!$U:$U,MATCH(TRIM($I505),Lists!$T:$T,0)),TRIM($I505))))</f>
        <v>P&amp;C</v>
      </c>
      <c r="AK505" s="865" t="str">
        <f>IF(ISNUMBER(SEARCH("vacant",$B505)),"Vacant","Filled")</f>
        <v>Vacant</v>
      </c>
      <c r="AL505" s="865" t="str">
        <f>IF($M505="NZ","NZ","AU")</f>
        <v>AU</v>
      </c>
      <c r="AM505" s="865">
        <f>COUNTIF($AJ$2:$AJ505,$AJ505)</f>
        <v>12</v>
      </c>
      <c r="AN505" s="865" t="str">
        <f>$AJ505&amp;"|"&amp;$AM505</f>
        <v>P&amp;C|12</v>
      </c>
      <c r="AP505" s="865" t="str">
        <f>IF(TRIM($B505)="","",IF($AQ505=1,"Leadership",IFERROR(INDEX(Lists!$X:$X,MATCH(TRIM($K505),Lists!$W:$W,0)),IF(OR(TRIM($K505)="",LOWER(TRIM($K505))="na"),IF(TRIM($G505)="","Unassigned",TRIM($G505)),TRIM($K505)))))</f>
        <v>P&amp;C</v>
      </c>
      <c r="AQ505" s="865" t="b">
        <f>IF(TRIM($B505)="","",--OR(TRIM($K505)="Leadership",TRIM($J505)="Leadership"))</f>
        <v>0</v>
      </c>
      <c r="AR505" s="1136" t="str">
        <f>IF(TRIM($B505)="","",IF(IFERROR(INDEX(Lists!$AQ$2:$AQ$11,MATCH(ROW(),Lists!$AN$2:$AN$11,0)),"")&lt;&gt;"",IFERROR(INDEX(Lists!$AQ$2:$AQ$11,MATCH(ROW(),Lists!$AN$2:$AN$11,0)),""),IF(ISNUMBER(SEARCH("head of ",$C505)),"Head of Technology",IF(ISNUMBER(SEARCH("TDD BP",$C505)),"Business Partner",IF(OR(ISNUMBER(SEARCH("domain architect",$C505)),ISNUMBER(SEARCH("enterprise architect",$C505))),"Domain Architect",IF(ISNUMBER(SEARCH("delivery man",$C505)),"Delivery Manager",IF(OR(ISNUMBER(SEARCH("technology manager",$C505)),ISNUMBER(SEARCH("technology manger",$C505)),ISNUMBER(SEARCH("tech manager",$C505))),"Technology Manager","Squad")))))))</f>
        <v>Squad</v>
      </c>
      <c r="AS505" s="1136" t="str">
        <f>IF(TRIM($B505)="","",IFERROR(INDEX(Lists!$AA:$AA,MATCH($AP505,Lists!$Z:$Z,0)),$AP505))</f>
        <v>P&amp;C</v>
      </c>
      <c r="AT505" s="1136" t="str">
        <f>IF(TRIM($B505)="","",IF(IFERROR(INDEX(Lists!$AP$2:$AP$11,MATCH(ROW(),Lists!$AN$2:$AN$11,0)),"")&lt;&gt;"",IFERROR(INDEX(Lists!$AP$2:$AP$11,MATCH(ROW(),Lists!$AN$2:$AN$11,0)),""),IF(OR(LEFT($AJ505,3)="COE",$AJ505="EGI"),$AP505,IF($AR505&lt;&gt;"Squad",$AR505,$AP505))))</f>
        <v>P&amp;C</v>
      </c>
    </row>
    <row r="506" ht="18" customHeight="1" s="866">
      <c r="A506" s="1155" t="inlineStr">
        <is>
          <t>V</t>
        </is>
      </c>
      <c r="B506" s="1156" t="inlineStr">
        <is>
          <t>Vacant</t>
        </is>
      </c>
      <c r="C506" s="1199" t="inlineStr">
        <is>
          <t>Engineer</t>
        </is>
      </c>
      <c r="D506" s="1158" t="inlineStr">
        <is>
          <t>Vacant</t>
        </is>
      </c>
      <c r="E506" s="1156" t="inlineStr">
        <is>
          <t>Technology Manager P&amp;C Platforms</t>
        </is>
      </c>
      <c r="F506" s="1157" t="inlineStr">
        <is>
          <t>TDD Group Functions</t>
        </is>
      </c>
      <c r="G506" s="1199" t="inlineStr">
        <is>
          <t>P&amp;C, Finance &amp; Legal</t>
        </is>
      </c>
      <c r="H506" s="1158" t="inlineStr">
        <is>
          <t>Tech, P&amp;C Platforms</t>
        </is>
      </c>
      <c r="I506" s="1158" t="inlineStr">
        <is>
          <t>P&amp;C</t>
        </is>
      </c>
      <c r="J506" s="1158" t="inlineStr">
        <is>
          <t>P&amp;C</t>
        </is>
      </c>
      <c r="K506" s="1158" t="inlineStr">
        <is>
          <t>P&amp;C RTA</t>
        </is>
      </c>
      <c r="L506" s="1158" t="n"/>
      <c r="M506" s="1159" t="inlineStr">
        <is>
          <t>Australia</t>
        </is>
      </c>
      <c r="N506" s="1162" t="inlineStr">
        <is>
          <t>cib</t>
        </is>
      </c>
      <c r="O506" s="1160" t="n">
        <v>1</v>
      </c>
      <c r="P506" s="1160" t="n"/>
      <c r="Q506" s="1160" t="inlineStr">
        <is>
          <t>V</t>
        </is>
      </c>
      <c r="R506" s="1162" t="n"/>
      <c r="S506" s="1162" t="n"/>
      <c r="T506" s="1163" t="n">
        <v>151950</v>
      </c>
      <c r="U506" s="1164" t="n">
        <v>151950</v>
      </c>
      <c r="V506" s="1166" t="n">
        <v>0.12</v>
      </c>
      <c r="W506" s="1170" t="n">
        <v>0.055</v>
      </c>
      <c r="X506" s="1170" t="n">
        <v>0.12</v>
      </c>
      <c r="Y506" s="1171" t="n"/>
      <c r="Z506" s="1170" t="n">
        <v>0.04</v>
      </c>
      <c r="AA506" s="1168">
        <f>IF(TRIM($B506)="","",IF(N($AU506)&gt;0,$AU506,IF(N($S506)&gt;0,$S506*Lists!$AG$15*(1+N($Z506)),N($U506)*(1+N($V506)+N($W506)+N($X506)+N($Z506))+N($Y506))))</f>
        <v>202853.25</v>
      </c>
      <c r="AB506" s="1238" t="n"/>
      <c r="AC506" s="1238" t="n"/>
      <c r="AJ506" s="865" t="str">
        <f>IF(TRIM($B506)="","",IF(IFERROR(INDEX(Lists!$AO$2:$AO$11,MATCH(ROW(),Lists!$AN$2:$AN$11,0)),"")&lt;&gt;"",IFERROR(INDEX(Lists!$AO$2:$AO$11,MATCH(ROW(),Lists!$AN$2:$AN$11,0)),""),IFERROR(INDEX(Lists!$U:$U,MATCH(TRIM($I506),Lists!$T:$T,0)),TRIM($I506))))</f>
        <v>P&amp;C</v>
      </c>
      <c r="AK506" s="865" t="str">
        <f>IF(ISNUMBER(SEARCH("vacant",$B506)),"Vacant","Filled")</f>
        <v>Vacant</v>
      </c>
      <c r="AL506" s="865" t="str">
        <f>IF($M506="NZ","NZ","AU")</f>
        <v>AU</v>
      </c>
      <c r="AM506" s="865">
        <f>COUNTIF($AJ$2:$AJ506,$AJ506)</f>
        <v>13</v>
      </c>
      <c r="AN506" s="865" t="str">
        <f>$AJ506&amp;"|"&amp;$AM506</f>
        <v>P&amp;C|13</v>
      </c>
      <c r="AP506" s="865" t="str">
        <f>IF(TRIM($B506)="","",IF($AQ506=1,"Leadership",IFERROR(INDEX(Lists!$X:$X,MATCH(TRIM($K506),Lists!$W:$W,0)),IF(OR(TRIM($K506)="",LOWER(TRIM($K506))="na"),IF(TRIM($G506)="","Unassigned",TRIM($G506)),TRIM($K506)))))</f>
        <v>P&amp;C RTA</v>
      </c>
      <c r="AQ506" s="865" t="b">
        <f>IF(TRIM($B506)="","",--OR(TRIM($K506)="Leadership",TRIM($J506)="Leadership"))</f>
        <v>0</v>
      </c>
      <c r="AR506" s="1136" t="str">
        <f>IF(TRIM($B506)="","",IF(IFERROR(INDEX(Lists!$AQ$2:$AQ$11,MATCH(ROW(),Lists!$AN$2:$AN$11,0)),"")&lt;&gt;"",IFERROR(INDEX(Lists!$AQ$2:$AQ$11,MATCH(ROW(),Lists!$AN$2:$AN$11,0)),""),IF(ISNUMBER(SEARCH("head of ",$C506)),"Head of Technology",IF(ISNUMBER(SEARCH("TDD BP",$C506)),"Business Partner",IF(OR(ISNUMBER(SEARCH("domain architect",$C506)),ISNUMBER(SEARCH("enterprise architect",$C506))),"Domain Architect",IF(ISNUMBER(SEARCH("delivery man",$C506)),"Delivery Manager",IF(OR(ISNUMBER(SEARCH("technology manager",$C506)),ISNUMBER(SEARCH("technology manger",$C506)),ISNUMBER(SEARCH("tech manager",$C506))),"Technology Manager","Squad")))))))</f>
        <v>Squad</v>
      </c>
      <c r="AS506" s="1136" t="str">
        <f>IF(TRIM($B506)="","",IFERROR(INDEX(Lists!$AA:$AA,MATCH($AP506,Lists!$Z:$Z,0)),$AP506))</f>
        <v>P&amp;C RTA</v>
      </c>
      <c r="AT506" s="1136" t="str">
        <f>IF(TRIM($B506)="","",IF(IFERROR(INDEX(Lists!$AP$2:$AP$11,MATCH(ROW(),Lists!$AN$2:$AN$11,0)),"")&lt;&gt;"",IFERROR(INDEX(Lists!$AP$2:$AP$11,MATCH(ROW(),Lists!$AN$2:$AN$11,0)),""),IF(OR(LEFT($AJ506,3)="COE",$AJ506="EGI"),$AP506,IF($AR506&lt;&gt;"Squad",$AR506,$AP506))))</f>
        <v>P&amp;C RTA</v>
      </c>
    </row>
    <row r="507" ht="18" customHeight="1" s="866">
      <c r="A507" s="1155" t="inlineStr">
        <is>
          <t>V</t>
        </is>
      </c>
      <c r="B507" s="1156" t="inlineStr">
        <is>
          <t>Vacant</t>
        </is>
      </c>
      <c r="C507" s="1199" t="inlineStr">
        <is>
          <t>Quality Assurance</t>
        </is>
      </c>
      <c r="D507" s="1158" t="inlineStr">
        <is>
          <t>Vacant</t>
        </is>
      </c>
      <c r="E507" s="1156" t="inlineStr">
        <is>
          <t>Technology Manager P&amp;C Platforms</t>
        </is>
      </c>
      <c r="F507" s="1157" t="inlineStr">
        <is>
          <t>TDD Group Functions</t>
        </is>
      </c>
      <c r="G507" s="1199" t="inlineStr">
        <is>
          <t>P&amp;C, Finance &amp; Legal</t>
        </is>
      </c>
      <c r="H507" s="1158" t="inlineStr">
        <is>
          <t>Tech, P&amp;C Platforms</t>
        </is>
      </c>
      <c r="I507" s="1158" t="inlineStr">
        <is>
          <t>P&amp;C</t>
        </is>
      </c>
      <c r="J507" s="1158" t="inlineStr">
        <is>
          <t>P&amp;C</t>
        </is>
      </c>
      <c r="K507" s="1158" t="inlineStr">
        <is>
          <t>P&amp;C</t>
        </is>
      </c>
      <c r="L507" s="1158" t="n"/>
      <c r="M507" s="1159" t="inlineStr">
        <is>
          <t>Australia</t>
        </is>
      </c>
      <c r="N507" s="1160" t="inlineStr">
        <is>
          <t>CIA</t>
        </is>
      </c>
      <c r="O507" s="1160" t="n">
        <v>1</v>
      </c>
      <c r="P507" s="1160" t="n"/>
      <c r="Q507" s="1160" t="inlineStr">
        <is>
          <t>v</t>
        </is>
      </c>
      <c r="R507" s="1162" t="n"/>
      <c r="S507" s="1162" t="n"/>
      <c r="T507" s="1163" t="n">
        <v>129650</v>
      </c>
      <c r="U507" s="1164" t="n">
        <v>129650</v>
      </c>
      <c r="V507" s="1166" t="n">
        <v>0.1</v>
      </c>
      <c r="W507" s="1170" t="n">
        <v>0.055</v>
      </c>
      <c r="X507" s="1170" t="n">
        <v>0.12</v>
      </c>
      <c r="Y507" s="1171" t="n"/>
      <c r="Z507" s="1170" t="n">
        <v>0.04</v>
      </c>
      <c r="AA507" s="1168">
        <f>IF(TRIM($B507)="","",IF(N($AU507)&gt;0,$AU507,IF(N($S507)&gt;0,$S507*Lists!$AG$15*(1+N($Z507)),N($U507)*(1+N($V507)+N($W507)+N($X507)+N($Z507))+N($Y507))))</f>
        <v>170489.75</v>
      </c>
      <c r="AB507" s="1238" t="n"/>
      <c r="AC507" s="1238" t="n"/>
      <c r="AJ507" s="865" t="str">
        <f>IF(TRIM($B507)="","",IF(IFERROR(INDEX(Lists!$AO$2:$AO$11,MATCH(ROW(),Lists!$AN$2:$AN$11,0)),"")&lt;&gt;"",IFERROR(INDEX(Lists!$AO$2:$AO$11,MATCH(ROW(),Lists!$AN$2:$AN$11,0)),""),IFERROR(INDEX(Lists!$U:$U,MATCH(TRIM($I507),Lists!$T:$T,0)),TRIM($I507))))</f>
        <v>P&amp;C</v>
      </c>
      <c r="AK507" s="865" t="str">
        <f>IF(ISNUMBER(SEARCH("vacant",$B507)),"Vacant","Filled")</f>
        <v>Vacant</v>
      </c>
      <c r="AL507" s="865" t="str">
        <f>IF($M507="NZ","NZ","AU")</f>
        <v>AU</v>
      </c>
      <c r="AM507" s="865">
        <f>COUNTIF($AJ$2:$AJ507,$AJ507)</f>
        <v>14</v>
      </c>
      <c r="AN507" s="865" t="str">
        <f>$AJ507&amp;"|"&amp;$AM507</f>
        <v>P&amp;C|14</v>
      </c>
      <c r="AP507" s="865" t="str">
        <f>IF(TRIM($B507)="","",IF($AQ507=1,"Leadership",IFERROR(INDEX(Lists!$X:$X,MATCH(TRIM($K507),Lists!$W:$W,0)),IF(OR(TRIM($K507)="",LOWER(TRIM($K507))="na"),IF(TRIM($G507)="","Unassigned",TRIM($G507)),TRIM($K507)))))</f>
        <v>P&amp;C</v>
      </c>
      <c r="AQ507" s="865" t="b">
        <f>IF(TRIM($B507)="","",--OR(TRIM($K507)="Leadership",TRIM($J507)="Leadership"))</f>
        <v>0</v>
      </c>
      <c r="AR507" s="1136" t="str">
        <f>IF(TRIM($B507)="","",IF(IFERROR(INDEX(Lists!$AQ$2:$AQ$11,MATCH(ROW(),Lists!$AN$2:$AN$11,0)),"")&lt;&gt;"",IFERROR(INDEX(Lists!$AQ$2:$AQ$11,MATCH(ROW(),Lists!$AN$2:$AN$11,0)),""),IF(ISNUMBER(SEARCH("head of ",$C507)),"Head of Technology",IF(ISNUMBER(SEARCH("TDD BP",$C507)),"Business Partner",IF(OR(ISNUMBER(SEARCH("domain architect",$C507)),ISNUMBER(SEARCH("enterprise architect",$C507))),"Domain Architect",IF(ISNUMBER(SEARCH("delivery man",$C507)),"Delivery Manager",IF(OR(ISNUMBER(SEARCH("technology manager",$C507)),ISNUMBER(SEARCH("technology manger",$C507)),ISNUMBER(SEARCH("tech manager",$C507))),"Technology Manager","Squad")))))))</f>
        <v>Squad</v>
      </c>
      <c r="AS507" s="1136" t="str">
        <f>IF(TRIM($B507)="","",IFERROR(INDEX(Lists!$AA:$AA,MATCH($AP507,Lists!$Z:$Z,0)),$AP507))</f>
        <v>P&amp;C</v>
      </c>
      <c r="AT507" s="1136" t="str">
        <f>IF(TRIM($B507)="","",IF(IFERROR(INDEX(Lists!$AP$2:$AP$11,MATCH(ROW(),Lists!$AN$2:$AN$11,0)),"")&lt;&gt;"",IFERROR(INDEX(Lists!$AP$2:$AP$11,MATCH(ROW(),Lists!$AN$2:$AN$11,0)),""),IF(OR(LEFT($AJ507,3)="COE",$AJ507="EGI"),$AP507,IF($AR507&lt;&gt;"Squad",$AR507,$AP507))))</f>
        <v>P&amp;C</v>
      </c>
    </row>
    <row r="508" ht="18" customHeight="1" s="866">
      <c r="A508" s="1155" t="inlineStr">
        <is>
          <t>V</t>
        </is>
      </c>
      <c r="B508" s="1156" t="inlineStr">
        <is>
          <t>Vacant</t>
        </is>
      </c>
      <c r="C508" s="1199" t="inlineStr">
        <is>
          <t>Quality Assurance</t>
        </is>
      </c>
      <c r="D508" s="1158" t="inlineStr">
        <is>
          <t>Vacant</t>
        </is>
      </c>
      <c r="E508" s="1156" t="inlineStr">
        <is>
          <t>Technology Manager P&amp;C Platforms</t>
        </is>
      </c>
      <c r="F508" s="1157" t="inlineStr">
        <is>
          <t>TDD Group Functions</t>
        </is>
      </c>
      <c r="G508" s="1199" t="inlineStr">
        <is>
          <t>P&amp;C, Finance &amp; Legal</t>
        </is>
      </c>
      <c r="H508" s="1158" t="inlineStr">
        <is>
          <t>Tech, P&amp;C Platforms</t>
        </is>
      </c>
      <c r="I508" s="1158" t="inlineStr">
        <is>
          <t>P&amp;C</t>
        </is>
      </c>
      <c r="J508" s="1158" t="inlineStr">
        <is>
          <t>P&amp;C</t>
        </is>
      </c>
      <c r="K508" s="1158" t="inlineStr">
        <is>
          <t>P&amp;C RTA</t>
        </is>
      </c>
      <c r="L508" s="1158" t="n"/>
      <c r="M508" s="1159" t="inlineStr">
        <is>
          <t>Australia</t>
        </is>
      </c>
      <c r="N508" s="1160" t="inlineStr">
        <is>
          <t>CIA</t>
        </is>
      </c>
      <c r="O508" s="1160" t="n">
        <v>1</v>
      </c>
      <c r="P508" s="1160" t="n"/>
      <c r="Q508" s="1160" t="inlineStr">
        <is>
          <t>v</t>
        </is>
      </c>
      <c r="R508" s="1162" t="n"/>
      <c r="S508" s="1162" t="n"/>
      <c r="T508" s="1163" t="n">
        <v>129650</v>
      </c>
      <c r="U508" s="1164" t="n">
        <v>129650</v>
      </c>
      <c r="V508" s="1166" t="n">
        <v>0.1</v>
      </c>
      <c r="W508" s="1170" t="n">
        <v>0.055</v>
      </c>
      <c r="X508" s="1170" t="n">
        <v>0.12</v>
      </c>
      <c r="Y508" s="1171" t="n"/>
      <c r="Z508" s="1170" t="n">
        <v>0.04</v>
      </c>
      <c r="AA508" s="1168">
        <f>IF(TRIM($B508)="","",IF(N($AU508)&gt;0,$AU508,IF(N($S508)&gt;0,$S508*Lists!$AG$15*(1+N($Z508)),N($U508)*(1+N($V508)+N($W508)+N($X508)+N($Z508))+N($Y508))))</f>
        <v>170489.75</v>
      </c>
      <c r="AB508" s="1238" t="n"/>
      <c r="AC508" s="1238" t="n"/>
      <c r="AJ508" s="865" t="str">
        <f>IF(TRIM($B508)="","",IF(IFERROR(INDEX(Lists!$AO$2:$AO$11,MATCH(ROW(),Lists!$AN$2:$AN$11,0)),"")&lt;&gt;"",IFERROR(INDEX(Lists!$AO$2:$AO$11,MATCH(ROW(),Lists!$AN$2:$AN$11,0)),""),IFERROR(INDEX(Lists!$U:$U,MATCH(TRIM($I508),Lists!$T:$T,0)),TRIM($I508))))</f>
        <v>P&amp;C</v>
      </c>
      <c r="AK508" s="865" t="str">
        <f>IF(ISNUMBER(SEARCH("vacant",$B508)),"Vacant","Filled")</f>
        <v>Vacant</v>
      </c>
      <c r="AL508" s="865" t="str">
        <f>IF($M508="NZ","NZ","AU")</f>
        <v>AU</v>
      </c>
      <c r="AM508" s="865">
        <f>COUNTIF($AJ$2:$AJ508,$AJ508)</f>
        <v>15</v>
      </c>
      <c r="AN508" s="865" t="str">
        <f>$AJ508&amp;"|"&amp;$AM508</f>
        <v>P&amp;C|15</v>
      </c>
      <c r="AP508" s="865" t="str">
        <f>IF(TRIM($B508)="","",IF($AQ508=1,"Leadership",IFERROR(INDEX(Lists!$X:$X,MATCH(TRIM($K508),Lists!$W:$W,0)),IF(OR(TRIM($K508)="",LOWER(TRIM($K508))="na"),IF(TRIM($G508)="","Unassigned",TRIM($G508)),TRIM($K508)))))</f>
        <v>P&amp;C RTA</v>
      </c>
      <c r="AQ508" s="865" t="b">
        <f>IF(TRIM($B508)="","",--OR(TRIM($K508)="Leadership",TRIM($J508)="Leadership"))</f>
        <v>0</v>
      </c>
      <c r="AR508" s="1136" t="str">
        <f>IF(TRIM($B508)="","",IF(IFERROR(INDEX(Lists!$AQ$2:$AQ$11,MATCH(ROW(),Lists!$AN$2:$AN$11,0)),"")&lt;&gt;"",IFERROR(INDEX(Lists!$AQ$2:$AQ$11,MATCH(ROW(),Lists!$AN$2:$AN$11,0)),""),IF(ISNUMBER(SEARCH("head of ",$C508)),"Head of Technology",IF(ISNUMBER(SEARCH("TDD BP",$C508)),"Business Partner",IF(OR(ISNUMBER(SEARCH("domain architect",$C508)),ISNUMBER(SEARCH("enterprise architect",$C508))),"Domain Architect",IF(ISNUMBER(SEARCH("delivery man",$C508)),"Delivery Manager",IF(OR(ISNUMBER(SEARCH("technology manager",$C508)),ISNUMBER(SEARCH("technology manger",$C508)),ISNUMBER(SEARCH("tech manager",$C508))),"Technology Manager","Squad")))))))</f>
        <v>Squad</v>
      </c>
      <c r="AS508" s="1136" t="str">
        <f>IF(TRIM($B508)="","",IFERROR(INDEX(Lists!$AA:$AA,MATCH($AP508,Lists!$Z:$Z,0)),$AP508))</f>
        <v>P&amp;C RTA</v>
      </c>
      <c r="AT508" s="1136" t="str">
        <f>IF(TRIM($B508)="","",IF(IFERROR(INDEX(Lists!$AP$2:$AP$11,MATCH(ROW(),Lists!$AN$2:$AN$11,0)),"")&lt;&gt;"",IFERROR(INDEX(Lists!$AP$2:$AP$11,MATCH(ROW(),Lists!$AN$2:$AN$11,0)),""),IF(OR(LEFT($AJ508,3)="COE",$AJ508="EGI"),$AP508,IF($AR508&lt;&gt;"Squad",$AR508,$AP508))))</f>
        <v>P&amp;C RTA</v>
      </c>
    </row>
    <row r="509" ht="18" customHeight="1" s="866">
      <c r="A509" s="1155" t="inlineStr">
        <is>
          <t>V</t>
        </is>
      </c>
      <c r="B509" s="1156" t="inlineStr">
        <is>
          <t>Vacant</t>
        </is>
      </c>
      <c r="C509" s="1199" t="inlineStr">
        <is>
          <t>Systems Specialist</t>
        </is>
      </c>
      <c r="D509" s="1158" t="inlineStr">
        <is>
          <t>Vacant</t>
        </is>
      </c>
      <c r="E509" s="1156" t="inlineStr">
        <is>
          <t>Technology Manager P&amp;C Platforms</t>
        </is>
      </c>
      <c r="F509" s="1157" t="inlineStr">
        <is>
          <t>TDD Group Functions</t>
        </is>
      </c>
      <c r="G509" s="1199" t="inlineStr">
        <is>
          <t>P&amp;C, Finance &amp; Legal</t>
        </is>
      </c>
      <c r="H509" s="1180" t="inlineStr">
        <is>
          <t>Tech, P&amp;C Platforms</t>
        </is>
      </c>
      <c r="I509" s="1158" t="inlineStr">
        <is>
          <t>P&amp;C</t>
        </is>
      </c>
      <c r="J509" s="1158" t="inlineStr">
        <is>
          <t>P&amp;C</t>
        </is>
      </c>
      <c r="K509" s="1158" t="inlineStr">
        <is>
          <t>P&amp;C RTA</t>
        </is>
      </c>
      <c r="L509" s="1158" t="n"/>
      <c r="M509" s="1159" t="inlineStr">
        <is>
          <t>Australia</t>
        </is>
      </c>
      <c r="N509" s="1162" t="inlineStr">
        <is>
          <t>CIA</t>
        </is>
      </c>
      <c r="O509" s="1162" t="n">
        <v>1</v>
      </c>
      <c r="P509" s="1162" t="n"/>
      <c r="Q509" s="1162" t="inlineStr">
        <is>
          <t>v</t>
        </is>
      </c>
      <c r="R509" s="1162" t="n"/>
      <c r="S509" s="1162" t="n"/>
      <c r="T509" s="1163" t="n">
        <v>136860</v>
      </c>
      <c r="U509" s="1164" t="n">
        <v>136860</v>
      </c>
      <c r="V509" s="1166" t="n">
        <v>0.1</v>
      </c>
      <c r="W509" s="1170" t="n">
        <v>0.055</v>
      </c>
      <c r="X509" s="1170" t="n">
        <v>0.12</v>
      </c>
      <c r="Y509" s="1171" t="n"/>
      <c r="Z509" s="1170" t="n">
        <v>0.04</v>
      </c>
      <c r="AA509" s="1168">
        <f>IF(TRIM($B509)="","",IF(N($AU509)&gt;0,$AU509,IF(N($S509)&gt;0,$S509*Lists!$AG$15*(1+N($Z509)),N($U509)*(1+N($V509)+N($W509)+N($X509)+N($Z509))+N($Y509))))</f>
        <v>179970.9</v>
      </c>
      <c r="AB509" s="1238" t="n"/>
      <c r="AC509" s="1238" t="n"/>
      <c r="AJ509" s="865" t="str">
        <f>IF(TRIM($B509)="","",IF(IFERROR(INDEX(Lists!$AO$2:$AO$11,MATCH(ROW(),Lists!$AN$2:$AN$11,0)),"")&lt;&gt;"",IFERROR(INDEX(Lists!$AO$2:$AO$11,MATCH(ROW(),Lists!$AN$2:$AN$11,0)),""),IFERROR(INDEX(Lists!$U:$U,MATCH(TRIM($I509),Lists!$T:$T,0)),TRIM($I509))))</f>
        <v>P&amp;C</v>
      </c>
      <c r="AK509" s="865" t="str">
        <f>IF(ISNUMBER(SEARCH("vacant",$B509)),"Vacant","Filled")</f>
        <v>Vacant</v>
      </c>
      <c r="AL509" s="865" t="str">
        <f>IF($M509="NZ","NZ","AU")</f>
        <v>AU</v>
      </c>
      <c r="AM509" s="865">
        <f>COUNTIF($AJ$2:$AJ509,$AJ509)</f>
        <v>16</v>
      </c>
      <c r="AN509" s="865" t="str">
        <f>$AJ509&amp;"|"&amp;$AM509</f>
        <v>P&amp;C|16</v>
      </c>
      <c r="AP509" s="865" t="str">
        <f>IF(TRIM($B509)="","",IF($AQ509=1,"Leadership",IFERROR(INDEX(Lists!$X:$X,MATCH(TRIM($K509),Lists!$W:$W,0)),IF(OR(TRIM($K509)="",LOWER(TRIM($K509))="na"),IF(TRIM($G509)="","Unassigned",TRIM($G509)),TRIM($K509)))))</f>
        <v>P&amp;C RTA</v>
      </c>
      <c r="AQ509" s="865" t="b">
        <f>IF(TRIM($B509)="","",--OR(TRIM($K509)="Leadership",TRIM($J509)="Leadership"))</f>
        <v>0</v>
      </c>
      <c r="AR509" s="1136" t="str">
        <f>IF(TRIM($B509)="","",IF(IFERROR(INDEX(Lists!$AQ$2:$AQ$11,MATCH(ROW(),Lists!$AN$2:$AN$11,0)),"")&lt;&gt;"",IFERROR(INDEX(Lists!$AQ$2:$AQ$11,MATCH(ROW(),Lists!$AN$2:$AN$11,0)),""),IF(ISNUMBER(SEARCH("head of ",$C509)),"Head of Technology",IF(ISNUMBER(SEARCH("TDD BP",$C509)),"Business Partner",IF(OR(ISNUMBER(SEARCH("domain architect",$C509)),ISNUMBER(SEARCH("enterprise architect",$C509))),"Domain Architect",IF(ISNUMBER(SEARCH("delivery man",$C509)),"Delivery Manager",IF(OR(ISNUMBER(SEARCH("technology manager",$C509)),ISNUMBER(SEARCH("technology manger",$C509)),ISNUMBER(SEARCH("tech manager",$C509))),"Technology Manager","Squad")))))))</f>
        <v>Squad</v>
      </c>
      <c r="AS509" s="1136" t="str">
        <f>IF(TRIM($B509)="","",IFERROR(INDEX(Lists!$AA:$AA,MATCH($AP509,Lists!$Z:$Z,0)),$AP509))</f>
        <v>P&amp;C RTA</v>
      </c>
      <c r="AT509" s="1136" t="str">
        <f>IF(TRIM($B509)="","",IF(IFERROR(INDEX(Lists!$AP$2:$AP$11,MATCH(ROW(),Lists!$AN$2:$AN$11,0)),"")&lt;&gt;"",IFERROR(INDEX(Lists!$AP$2:$AP$11,MATCH(ROW(),Lists!$AN$2:$AN$11,0)),""),IF(OR(LEFT($AJ509,3)="COE",$AJ509="EGI"),$AP509,IF($AR509&lt;&gt;"Squad",$AR509,$AP509))))</f>
        <v>P&amp;C RTA</v>
      </c>
    </row>
    <row r="510" ht="18" customHeight="1" s="866">
      <c r="A510" s="1155" t="inlineStr">
        <is>
          <t>V</t>
        </is>
      </c>
      <c r="B510" s="1156" t="inlineStr">
        <is>
          <t>Vacant</t>
        </is>
      </c>
      <c r="C510" s="1199" t="inlineStr">
        <is>
          <t>Technology Manager - P&amp;C Platforms</t>
        </is>
      </c>
      <c r="D510" s="1158" t="inlineStr">
        <is>
          <t>Vaso Vukovic</t>
        </is>
      </c>
      <c r="E510" s="1199" t="inlineStr">
        <is>
          <t>Head of Technology - P&amp;C, Finance &amp; Legal</t>
        </is>
      </c>
      <c r="F510" s="1157" t="inlineStr">
        <is>
          <t>TDD Group Functions</t>
        </is>
      </c>
      <c r="G510" s="1199" t="inlineStr">
        <is>
          <t>P&amp;C, Finance &amp; Legal</t>
        </is>
      </c>
      <c r="H510" s="1158" t="inlineStr">
        <is>
          <t>Tech, P&amp;C Platforms</t>
        </is>
      </c>
      <c r="I510" s="1158" t="inlineStr">
        <is>
          <t>P&amp;C</t>
        </is>
      </c>
      <c r="J510" s="1158" t="inlineStr">
        <is>
          <t>P&amp;C</t>
        </is>
      </c>
      <c r="K510" s="1158" t="inlineStr">
        <is>
          <t>Leadership</t>
        </is>
      </c>
      <c r="L510" s="1158" t="n"/>
      <c r="M510" s="1159" t="inlineStr">
        <is>
          <t>Australia</t>
        </is>
      </c>
      <c r="N510" s="1160" t="inlineStr">
        <is>
          <t>CSB</t>
        </is>
      </c>
      <c r="O510" s="1160" t="n">
        <v>1</v>
      </c>
      <c r="P510" s="1160" t="n"/>
      <c r="Q510" s="1160" t="inlineStr">
        <is>
          <t>v</t>
        </is>
      </c>
      <c r="R510" s="1162" t="n"/>
      <c r="S510" s="1162" t="n"/>
      <c r="T510" s="1163" t="n">
        <v>203550</v>
      </c>
      <c r="U510" s="1164" t="n">
        <v>203550</v>
      </c>
      <c r="V510" s="1166" t="n">
        <v>0.14</v>
      </c>
      <c r="W510" s="1170" t="n">
        <v>0.055</v>
      </c>
      <c r="X510" s="1170" t="n">
        <v>0.12</v>
      </c>
      <c r="Y510" s="1171" t="n"/>
      <c r="Z510" s="1170" t="n">
        <v>0.04</v>
      </c>
      <c r="AA510" s="1168">
        <f>IF(TRIM($B510)="","",IF(N($AU510)&gt;0,$AU510,IF(N($S510)&gt;0,$S510*Lists!$AG$15*(1+N($Z510)),N($U510)*(1+N($V510)+N($W510)+N($X510)+N($Z510))+N($Y510))))</f>
        <v>275810.25</v>
      </c>
      <c r="AB510" s="1238" t="n"/>
      <c r="AC510" s="1238" t="n"/>
      <c r="AJ510" s="865" t="str">
        <f>IF(TRIM($B510)="","",IF(IFERROR(INDEX(Lists!$AO$2:$AO$11,MATCH(ROW(),Lists!$AN$2:$AN$11,0)),"")&lt;&gt;"",IFERROR(INDEX(Lists!$AO$2:$AO$11,MATCH(ROW(),Lists!$AN$2:$AN$11,0)),""),IFERROR(INDEX(Lists!$U:$U,MATCH(TRIM($I510),Lists!$T:$T,0)),TRIM($I510))))</f>
        <v>P&amp;C</v>
      </c>
      <c r="AK510" s="865" t="str">
        <f>IF(ISNUMBER(SEARCH("vacant",$B510)),"Vacant","Filled")</f>
        <v>Vacant</v>
      </c>
      <c r="AL510" s="865" t="str">
        <f>IF($M510="NZ","NZ","AU")</f>
        <v>AU</v>
      </c>
      <c r="AM510" s="865">
        <f>COUNTIF($AJ$2:$AJ510,$AJ510)</f>
        <v>17</v>
      </c>
      <c r="AN510" s="865" t="str">
        <f>$AJ510&amp;"|"&amp;$AM510</f>
        <v>P&amp;C|17</v>
      </c>
      <c r="AP510" s="1136" t="str">
        <f>IF(TRIM($B510)="","",IF($AQ510=1,"Leadership",IFERROR(INDEX(Lists!$X:$X,MATCH(TRIM($K510),Lists!$W:$W,0)),IF(OR(TRIM($K510)="",LOWER(TRIM($K510))="na"),IF(TRIM($G510)="","Unassigned",TRIM($G510)),TRIM($K510)))))</f>
        <v>Leadership</v>
      </c>
      <c r="AQ510" s="865" t="b">
        <f>IF(TRIM($B510)="","",--OR(TRIM($K510)="Leadership",TRIM($J510)="Leadership"))</f>
        <v>1</v>
      </c>
      <c r="AR510" s="1136" t="str">
        <f>IF(TRIM($B510)="","",IF(IFERROR(INDEX(Lists!$AQ$2:$AQ$11,MATCH(ROW(),Lists!$AN$2:$AN$11,0)),"")&lt;&gt;"",IFERROR(INDEX(Lists!$AQ$2:$AQ$11,MATCH(ROW(),Lists!$AN$2:$AN$11,0)),""),IF(ISNUMBER(SEARCH("head of ",$C510)),"Head of Technology",IF(ISNUMBER(SEARCH("TDD BP",$C510)),"Business Partner",IF(OR(ISNUMBER(SEARCH("domain architect",$C510)),ISNUMBER(SEARCH("enterprise architect",$C510))),"Domain Architect",IF(ISNUMBER(SEARCH("delivery man",$C510)),"Delivery Manager",IF(OR(ISNUMBER(SEARCH("technology manager",$C510)),ISNUMBER(SEARCH("technology manger",$C510)),ISNUMBER(SEARCH("tech manager",$C510))),"Technology Manager","Squad")))))))</f>
        <v>Technology Manager</v>
      </c>
      <c r="AS510" s="1136" t="str">
        <f>IF(TRIM($B510)="","",IFERROR(INDEX(Lists!$AA:$AA,MATCH($AP510,Lists!$Z:$Z,0)),$AP510))</f>
        <v>Leadership</v>
      </c>
      <c r="AT510" s="1136" t="str">
        <f>IF(TRIM($B510)="","",IF(IFERROR(INDEX(Lists!$AP$2:$AP$11,MATCH(ROW(),Lists!$AN$2:$AN$11,0)),"")&lt;&gt;"",IFERROR(INDEX(Lists!$AP$2:$AP$11,MATCH(ROW(),Lists!$AN$2:$AN$11,0)),""),IF(OR(LEFT($AJ510,3)="COE",$AJ510="EGI"),$AP510,IF($AR510&lt;&gt;"Squad",$AR510,$AP510))))</f>
        <v>Technology Manager</v>
      </c>
    </row>
    <row r="511" ht="18" customHeight="1" s="866">
      <c r="A511" s="1155" t="inlineStr">
        <is>
          <t>V</t>
        </is>
      </c>
      <c r="B511" s="1156" t="inlineStr">
        <is>
          <t>Vacant</t>
        </is>
      </c>
      <c r="C511" s="1199" t="inlineStr">
        <is>
          <t>Delivery Manager</t>
        </is>
      </c>
      <c r="D511" s="1158" t="inlineStr">
        <is>
          <t>Vaso Vukovic</t>
        </is>
      </c>
      <c r="E511" s="1199" t="inlineStr">
        <is>
          <t>Head of Technology - P&amp;C, Finance &amp; Legal</t>
        </is>
      </c>
      <c r="F511" s="1157" t="inlineStr">
        <is>
          <t>TDD Group Functions</t>
        </is>
      </c>
      <c r="G511" s="1199" t="inlineStr">
        <is>
          <t>P&amp;C, Finance &amp; Legal</t>
        </is>
      </c>
      <c r="H511" s="1158" t="inlineStr">
        <is>
          <t>Delivery, P&amp;C, Finance &amp; Legal</t>
        </is>
      </c>
      <c r="I511" s="1158" t="inlineStr">
        <is>
          <t>P&amp;C, Finance &amp; Legal</t>
        </is>
      </c>
      <c r="J511" s="1158" t="inlineStr">
        <is>
          <t>P&amp;C, Finance &amp; Legal</t>
        </is>
      </c>
      <c r="K511" s="1158" t="inlineStr">
        <is>
          <t>Leadership</t>
        </is>
      </c>
      <c r="L511" s="1158" t="n"/>
      <c r="M511" s="1159" t="inlineStr">
        <is>
          <t>Australia</t>
        </is>
      </c>
      <c r="N511" s="1160" t="inlineStr">
        <is>
          <t>CSB</t>
        </is>
      </c>
      <c r="O511" s="1160" t="n">
        <v>1</v>
      </c>
      <c r="P511" s="1160" t="n"/>
      <c r="Q511" s="1160" t="inlineStr">
        <is>
          <t>V</t>
        </is>
      </c>
      <c r="R511" s="1162" t="n"/>
      <c r="S511" s="1162" t="n"/>
      <c r="T511" s="1163" t="n">
        <v>203550</v>
      </c>
      <c r="U511" s="1164" t="n">
        <v>203550</v>
      </c>
      <c r="V511" s="1166" t="n">
        <v>0.14</v>
      </c>
      <c r="W511" s="1170" t="n">
        <v>0.055</v>
      </c>
      <c r="X511" s="1170" t="n">
        <v>0.12</v>
      </c>
      <c r="Y511" s="1171" t="n"/>
      <c r="Z511" s="1170" t="n">
        <v>0.04</v>
      </c>
      <c r="AA511" s="1168">
        <f>IF(TRIM($B511)="","",IF(N($AU511)&gt;0,$AU511,IF(N($S511)&gt;0,$S511*Lists!$AG$15*(1+N($Z511)),N($U511)*(1+N($V511)+N($W511)+N($X511)+N($Z511))+N($Y511))))</f>
        <v>275810.25</v>
      </c>
      <c r="AB511" s="1238" t="n"/>
      <c r="AC511" s="1238" t="n"/>
      <c r="AJ511" s="865" t="str">
        <f>IF(TRIM($B511)="","",IF(IFERROR(INDEX(Lists!$AO$2:$AO$11,MATCH(ROW(),Lists!$AN$2:$AN$11,0)),"")&lt;&gt;"",IFERROR(INDEX(Lists!$AO$2:$AO$11,MATCH(ROW(),Lists!$AN$2:$AN$11,0)),""),IFERROR(INDEX(Lists!$U:$U,MATCH(TRIM($I511),Lists!$T:$T,0)),TRIM($I511))))</f>
        <v>P&amp;C</v>
      </c>
      <c r="AK511" s="865" t="str">
        <f>IF(ISNUMBER(SEARCH("vacant",$B511)),"Vacant","Filled")</f>
        <v>Vacant</v>
      </c>
      <c r="AL511" s="865" t="str">
        <f>IF($M511="NZ","NZ","AU")</f>
        <v>AU</v>
      </c>
      <c r="AM511" s="865">
        <f>COUNTIF($AJ$2:$AJ511,$AJ511)</f>
        <v>18</v>
      </c>
      <c r="AN511" s="865" t="str">
        <f>$AJ511&amp;"|"&amp;$AM511</f>
        <v>P&amp;C|18</v>
      </c>
      <c r="AP511" s="1136" t="str">
        <f>IF(TRIM($B511)="","",IF($AQ511=1,"Leadership",IFERROR(INDEX(Lists!$X:$X,MATCH(TRIM($K511),Lists!$W:$W,0)),IF(OR(TRIM($K511)="",LOWER(TRIM($K511))="na"),IF(TRIM($G511)="","Unassigned",TRIM($G511)),TRIM($K511)))))</f>
        <v>Leadership</v>
      </c>
      <c r="AQ511" s="865" t="b">
        <f>IF(TRIM($B511)="","",--OR(TRIM($K511)="Leadership",TRIM($J511)="Leadership"))</f>
        <v>1</v>
      </c>
      <c r="AR511" s="1136" t="str">
        <f>IF(TRIM($B511)="","",IF(IFERROR(INDEX(Lists!$AQ$2:$AQ$11,MATCH(ROW(),Lists!$AN$2:$AN$11,0)),"")&lt;&gt;"",IFERROR(INDEX(Lists!$AQ$2:$AQ$11,MATCH(ROW(),Lists!$AN$2:$AN$11,0)),""),IF(ISNUMBER(SEARCH("head of ",$C511)),"Head of Technology",IF(ISNUMBER(SEARCH("TDD BP",$C511)),"Business Partner",IF(OR(ISNUMBER(SEARCH("domain architect",$C511)),ISNUMBER(SEARCH("enterprise architect",$C511))),"Domain Architect",IF(ISNUMBER(SEARCH("delivery man",$C511)),"Delivery Manager",IF(OR(ISNUMBER(SEARCH("technology manager",$C511)),ISNUMBER(SEARCH("technology manger",$C511)),ISNUMBER(SEARCH("tech manager",$C511))),"Technology Manager","Squad")))))))</f>
        <v>Delivery Manager</v>
      </c>
      <c r="AS511" s="1136" t="str">
        <f>IF(TRIM($B511)="","",IFERROR(INDEX(Lists!$AA:$AA,MATCH($AP511,Lists!$Z:$Z,0)),$AP511))</f>
        <v>Leadership</v>
      </c>
      <c r="AT511" s="1136" t="str">
        <f>IF(TRIM($B511)="","",IF(IFERROR(INDEX(Lists!$AP$2:$AP$11,MATCH(ROW(),Lists!$AN$2:$AN$11,0)),"")&lt;&gt;"",IFERROR(INDEX(Lists!$AP$2:$AP$11,MATCH(ROW(),Lists!$AN$2:$AN$11,0)),""),IF(OR(LEFT($AJ511,3)="COE",$AJ511="EGI"),$AP511,IF($AR511&lt;&gt;"Squad",$AR511,$AP511))))</f>
        <v>Delivery Manager</v>
      </c>
    </row>
    <row r="512" ht="18" customHeight="1" s="866">
      <c r="A512" s="1155" t="inlineStr">
        <is>
          <t>V</t>
        </is>
      </c>
      <c r="B512" s="1156" t="inlineStr">
        <is>
          <t>Vacant</t>
        </is>
      </c>
      <c r="C512" s="1156" t="inlineStr">
        <is>
          <t>Head of Technology - TDD &amp; Engineering Capability Lead</t>
        </is>
      </c>
      <c r="D512" s="1199" t="inlineStr">
        <is>
          <t>Emily Mogic</t>
        </is>
      </c>
      <c r="E512" s="1156" t="inlineStr">
        <is>
          <t>GM TDD, Group Function</t>
        </is>
      </c>
      <c r="F512" s="1157" t="inlineStr">
        <is>
          <t>TDD Group Functions</t>
        </is>
      </c>
      <c r="G512" s="1158" t="inlineStr">
        <is>
          <t xml:space="preserve">TDD &amp; Engineering </t>
        </is>
      </c>
      <c r="H512" s="1158" t="inlineStr">
        <is>
          <t>na</t>
        </is>
      </c>
      <c r="I512" s="1158" t="inlineStr">
        <is>
          <t>TDD</t>
        </is>
      </c>
      <c r="J512" s="1158" t="inlineStr">
        <is>
          <t>TDD</t>
        </is>
      </c>
      <c r="K512" s="1158" t="inlineStr">
        <is>
          <t>Leadership</t>
        </is>
      </c>
      <c r="L512" s="1158" t="n"/>
      <c r="M512" s="1159" t="inlineStr">
        <is>
          <t>Australia</t>
        </is>
      </c>
      <c r="N512" s="1160" t="inlineStr">
        <is>
          <t>CSC</t>
        </is>
      </c>
      <c r="O512" s="1160" t="n">
        <v>1</v>
      </c>
      <c r="P512" s="1160" t="n"/>
      <c r="Q512" s="1160" t="inlineStr">
        <is>
          <t>v</t>
        </is>
      </c>
      <c r="R512" s="1162" t="n"/>
      <c r="S512" s="1162" t="n"/>
      <c r="T512" s="1163" t="n">
        <v>235350</v>
      </c>
      <c r="U512" s="1164" t="n">
        <v>235350</v>
      </c>
      <c r="V512" s="1166" t="n">
        <v>0.2</v>
      </c>
      <c r="W512" s="1170" t="n">
        <v>0.055</v>
      </c>
      <c r="X512" s="1170" t="n">
        <v>0.12</v>
      </c>
      <c r="Y512" s="1171" t="n"/>
      <c r="Z512" s="1170" t="n">
        <v>0.04</v>
      </c>
      <c r="AA512" s="1168">
        <f>IF(TRIM($B512)="","",IF(N($AU512)&gt;0,$AU512,IF(N($S512)&gt;0,$S512*Lists!$AG$15*(1+N($Z512)),N($U512)*(1+N($V512)+N($W512)+N($X512)+N($Z512))+N($Y512))))</f>
        <v>333020.25</v>
      </c>
      <c r="AB512" s="1238" t="n"/>
      <c r="AC512" s="1238" t="n"/>
      <c r="AJ512" s="865" t="str">
        <f>IF(TRIM($B512)="","",IF(IFERROR(INDEX(Lists!$AO$2:$AO$11,MATCH(ROW(),Lists!$AN$2:$AN$11,0)),"")&lt;&gt;"",IFERROR(INDEX(Lists!$AO$2:$AO$11,MATCH(ROW(),Lists!$AN$2:$AN$11,0)),""),IFERROR(INDEX(Lists!$U:$U,MATCH(TRIM($I512),Lists!$T:$T,0)),TRIM($I512))))</f>
        <v>TDD Group Functions</v>
      </c>
      <c r="AK512" s="865" t="str">
        <f>IF(ISNUMBER(SEARCH("vacant",$B512)),"Vacant","Filled")</f>
        <v>Vacant</v>
      </c>
      <c r="AL512" s="865" t="str">
        <f>IF($M512="NZ","NZ","AU")</f>
        <v>AU</v>
      </c>
      <c r="AM512" s="865">
        <f>COUNTIF($AJ$2:$AJ512,$AJ512)</f>
        <v>32</v>
      </c>
      <c r="AN512" s="865" t="str">
        <f>$AJ512&amp;"|"&amp;$AM512</f>
        <v>TDD Group Functions|32</v>
      </c>
      <c r="AP512" s="1136" t="str">
        <f>IF(TRIM($B512)="","",IF($AQ512=1,"Leadership",IFERROR(INDEX(Lists!$X:$X,MATCH(TRIM($K512),Lists!$W:$W,0)),IF(OR(TRIM($K512)="",LOWER(TRIM($K512))="na"),IF(TRIM($G512)="","Unassigned",TRIM($G512)),TRIM($K512)))))</f>
        <v>Leadership</v>
      </c>
      <c r="AQ512" s="865" t="b">
        <f>IF(TRIM($B512)="","",--OR(TRIM($K512)="Leadership",TRIM($J512)="Leadership"))</f>
        <v>1</v>
      </c>
      <c r="AR512" s="1136" t="str">
        <f>IF(TRIM($B512)="","",IF(IFERROR(INDEX(Lists!$AQ$2:$AQ$11,MATCH(ROW(),Lists!$AN$2:$AN$11,0)),"")&lt;&gt;"",IFERROR(INDEX(Lists!$AQ$2:$AQ$11,MATCH(ROW(),Lists!$AN$2:$AN$11,0)),""),IF(ISNUMBER(SEARCH("head of ",$C512)),"Head of Technology",IF(ISNUMBER(SEARCH("TDD BP",$C512)),"Business Partner",IF(OR(ISNUMBER(SEARCH("domain architect",$C512)),ISNUMBER(SEARCH("enterprise architect",$C512))),"Domain Architect",IF(ISNUMBER(SEARCH("delivery man",$C512)),"Delivery Manager",IF(OR(ISNUMBER(SEARCH("technology manager",$C512)),ISNUMBER(SEARCH("technology manger",$C512)),ISNUMBER(SEARCH("tech manager",$C512))),"Technology Manager","Squad")))))))</f>
        <v>Head of Technology</v>
      </c>
      <c r="AS512" s="1136" t="str">
        <f>IF(TRIM($B512)="","",IFERROR(INDEX(Lists!$AA:$AA,MATCH($AP512,Lists!$Z:$Z,0)),$AP512))</f>
        <v>Leadership</v>
      </c>
      <c r="AT512" s="1136" t="str">
        <f>IF(TRIM($B512)="","",IF(IFERROR(INDEX(Lists!$AP$2:$AP$11,MATCH(ROW(),Lists!$AN$2:$AN$11,0)),"")&lt;&gt;"",IFERROR(INDEX(Lists!$AP$2:$AP$11,MATCH(ROW(),Lists!$AN$2:$AN$11,0)),""),IF(OR(LEFT($AJ512,3)="COE",$AJ512="EGI"),$AP512,IF($AR512&lt;&gt;"Squad",$AR512,$AP512))))</f>
        <v>Head of Technology</v>
      </c>
    </row>
    <row r="513" ht="18" customHeight="1" s="866">
      <c r="A513" s="1155" t="inlineStr">
        <is>
          <t>V</t>
        </is>
      </c>
      <c r="B513" s="1156" t="inlineStr">
        <is>
          <t>Vacant</t>
        </is>
      </c>
      <c r="C513" s="1199" t="inlineStr">
        <is>
          <t>Infrastructure Operations Lead</t>
        </is>
      </c>
      <c r="D513" s="1158" t="inlineStr">
        <is>
          <t>John McCormack</t>
        </is>
      </c>
      <c r="E513" s="1199" t="inlineStr">
        <is>
          <t>Manager - Infrastructure Operations</t>
        </is>
      </c>
      <c r="F513" s="1157" t="inlineStr">
        <is>
          <t>TDD Group Functions</t>
        </is>
      </c>
      <c r="G513" s="1158" t="inlineStr">
        <is>
          <t>TDD &amp; Engineering</t>
        </is>
      </c>
      <c r="H513" s="1158" t="inlineStr">
        <is>
          <t>Cloud, Network &amp; Infra</t>
        </is>
      </c>
      <c r="I513" s="1156" t="inlineStr">
        <is>
          <t>TDD</t>
        </is>
      </c>
      <c r="J513" s="1158" t="inlineStr">
        <is>
          <t>TDD</t>
        </is>
      </c>
      <c r="K513" s="1158" t="inlineStr">
        <is>
          <t>Cloud, Network &amp; Infra Ops</t>
        </is>
      </c>
      <c r="L513" s="1158" t="n"/>
      <c r="M513" s="1159" t="inlineStr">
        <is>
          <t>Australia</t>
        </is>
      </c>
      <c r="N513" s="1160" t="inlineStr">
        <is>
          <t>CIB</t>
        </is>
      </c>
      <c r="O513" s="1160" t="n">
        <v>1</v>
      </c>
      <c r="P513" s="1160" t="n"/>
      <c r="Q513" s="1160" t="inlineStr">
        <is>
          <t>v</t>
        </is>
      </c>
      <c r="R513" s="1162" t="n"/>
      <c r="S513" s="1162" t="n"/>
      <c r="T513" s="1163" t="n">
        <v>151950</v>
      </c>
      <c r="U513" s="1164" t="n">
        <v>151950</v>
      </c>
      <c r="V513" s="1166" t="n">
        <v>0.12</v>
      </c>
      <c r="W513" s="1170" t="n">
        <v>0.055</v>
      </c>
      <c r="X513" s="1170" t="n">
        <v>0.12</v>
      </c>
      <c r="Y513" s="1171" t="n"/>
      <c r="Z513" s="1170" t="n">
        <v>0.04</v>
      </c>
      <c r="AA513" s="1168">
        <f>IF(TRIM($B513)="","",IF(N($AU513)&gt;0,$AU513,IF(N($S513)&gt;0,$S513*Lists!$AG$15*(1+N($Z513)),N($U513)*(1+N($V513)+N($W513)+N($X513)+N($Z513))+N($Y513))))</f>
        <v>202853.25</v>
      </c>
      <c r="AB513" s="1238" t="n"/>
      <c r="AC513" s="1238" t="n"/>
      <c r="AJ513" s="865" t="str">
        <f>IF(TRIM($B513)="","",IF(IFERROR(INDEX(Lists!$AO$2:$AO$11,MATCH(ROW(),Lists!$AN$2:$AN$11,0)),"")&lt;&gt;"",IFERROR(INDEX(Lists!$AO$2:$AO$11,MATCH(ROW(),Lists!$AN$2:$AN$11,0)),""),IFERROR(INDEX(Lists!$U:$U,MATCH(TRIM($I513),Lists!$T:$T,0)),TRIM($I513))))</f>
        <v>TDD Group Functions</v>
      </c>
      <c r="AK513" s="865" t="str">
        <f>IF(ISNUMBER(SEARCH("vacant",$B513)),"Vacant","Filled")</f>
        <v>Vacant</v>
      </c>
      <c r="AL513" s="865" t="str">
        <f>IF($M513="NZ","NZ","AU")</f>
        <v>AU</v>
      </c>
      <c r="AM513" s="865">
        <f>COUNTIF($AJ$2:$AJ513,$AJ513)</f>
        <v>33</v>
      </c>
      <c r="AN513" s="865" t="str">
        <f>$AJ513&amp;"|"&amp;$AM513</f>
        <v>TDD Group Functions|33</v>
      </c>
      <c r="AP513" s="865" t="str">
        <f>IF(TRIM($B513)="","",IF($AQ513=1,"Leadership",IFERROR(INDEX(Lists!$X:$X,MATCH(TRIM($K513),Lists!$W:$W,0)),IF(OR(TRIM($K513)="",LOWER(TRIM($K513))="na"),IF(TRIM($G513)="","Unassigned",TRIM($G513)),TRIM($K513)))))</f>
        <v>Cloud, Network &amp; Infra Ops</v>
      </c>
      <c r="AQ513" s="865" t="b">
        <f>IF(TRIM($B513)="","",--OR(TRIM($K513)="Leadership",TRIM($J513)="Leadership"))</f>
        <v>0</v>
      </c>
      <c r="AR513" s="1136" t="str">
        <f>IF(TRIM($B513)="","",IF(IFERROR(INDEX(Lists!$AQ$2:$AQ$11,MATCH(ROW(),Lists!$AN$2:$AN$11,0)),"")&lt;&gt;"",IFERROR(INDEX(Lists!$AQ$2:$AQ$11,MATCH(ROW(),Lists!$AN$2:$AN$11,0)),""),IF(ISNUMBER(SEARCH("head of ",$C513)),"Head of Technology",IF(ISNUMBER(SEARCH("TDD BP",$C513)),"Business Partner",IF(OR(ISNUMBER(SEARCH("domain architect",$C513)),ISNUMBER(SEARCH("enterprise architect",$C513))),"Domain Architect",IF(ISNUMBER(SEARCH("delivery man",$C513)),"Delivery Manager",IF(OR(ISNUMBER(SEARCH("technology manager",$C513)),ISNUMBER(SEARCH("technology manger",$C513)),ISNUMBER(SEARCH("tech manager",$C513))),"Technology Manager","Squad")))))))</f>
        <v>Squad</v>
      </c>
      <c r="AS513" s="1136" t="str">
        <f>IF(TRIM($B513)="","",IFERROR(INDEX(Lists!$AA:$AA,MATCH($AP513,Lists!$Z:$Z,0)),$AP513))</f>
        <v>Cloud, Network &amp; Infra Ops</v>
      </c>
      <c r="AT513" s="1136" t="str">
        <f>IF(TRIM($B513)="","",IF(IFERROR(INDEX(Lists!$AP$2:$AP$11,MATCH(ROW(),Lists!$AN$2:$AN$11,0)),"")&lt;&gt;"",IFERROR(INDEX(Lists!$AP$2:$AP$11,MATCH(ROW(),Lists!$AN$2:$AN$11,0)),""),IF(OR(LEFT($AJ513,3)="COE",$AJ513="EGI"),$AP513,IF($AR513&lt;&gt;"Squad",$AR513,$AP513))))</f>
        <v>Cloud, Network &amp; Infra Ops</v>
      </c>
    </row>
    <row r="514" ht="18" customHeight="1" s="866">
      <c r="A514" s="1155" t="inlineStr">
        <is>
          <t>V</t>
        </is>
      </c>
      <c r="B514" s="1156" t="inlineStr">
        <is>
          <t>Vacant</t>
        </is>
      </c>
      <c r="C514" s="1199" t="inlineStr">
        <is>
          <t>RPA Lead</t>
        </is>
      </c>
      <c r="D514" s="1156" t="inlineStr">
        <is>
          <t>Mike Seales</t>
        </is>
      </c>
      <c r="E514" s="1156" t="inlineStr">
        <is>
          <t>Technology Manager Integration &amp; Process Managemetn</t>
        </is>
      </c>
      <c r="F514" s="1157" t="inlineStr">
        <is>
          <t>TDD Group Functions</t>
        </is>
      </c>
      <c r="G514" s="1158" t="inlineStr">
        <is>
          <t xml:space="preserve">TDD &amp; Engineering </t>
        </is>
      </c>
      <c r="H514" s="1156" t="inlineStr">
        <is>
          <t>Integration &amp; Process Management</t>
        </is>
      </c>
      <c r="I514" s="1156" t="inlineStr">
        <is>
          <t>TDD</t>
        </is>
      </c>
      <c r="J514" s="1158" t="inlineStr">
        <is>
          <t>TDD</t>
        </is>
      </c>
      <c r="K514" s="1158" t="inlineStr">
        <is>
          <t>Integration &amp; Process automation</t>
        </is>
      </c>
      <c r="L514" s="1158" t="n"/>
      <c r="M514" s="1159" t="inlineStr">
        <is>
          <t>Australia</t>
        </is>
      </c>
      <c r="N514" s="1160" t="inlineStr">
        <is>
          <t>CIC</t>
        </is>
      </c>
      <c r="O514" s="1160" t="n">
        <v>1</v>
      </c>
      <c r="P514" s="1160" t="n"/>
      <c r="Q514" s="1160" t="inlineStr">
        <is>
          <t>v</t>
        </is>
      </c>
      <c r="R514" s="1162" t="n"/>
      <c r="S514" s="1162" t="n"/>
      <c r="T514" s="1163" t="n">
        <v>173550</v>
      </c>
      <c r="U514" s="1164" t="n">
        <v>173550</v>
      </c>
      <c r="V514" s="1166" t="n">
        <v>0.12</v>
      </c>
      <c r="W514" s="1170" t="n">
        <v>0.055</v>
      </c>
      <c r="X514" s="1170" t="n">
        <v>0.12</v>
      </c>
      <c r="Y514" s="1171" t="n"/>
      <c r="Z514" s="1170" t="n">
        <v>0.04</v>
      </c>
      <c r="AA514" s="1168">
        <f>IF(TRIM($B514)="","",IF(N($AU514)&gt;0,$AU514,IF(N($S514)&gt;0,$S514*Lists!$AG$15*(1+N($Z514)),N($U514)*(1+N($V514)+N($W514)+N($X514)+N($Z514))+N($Y514))))</f>
        <v>231689.25</v>
      </c>
      <c r="AB514" s="1238" t="n"/>
      <c r="AC514" s="1238" t="n"/>
      <c r="AJ514" s="865" t="str">
        <f>IF(TRIM($B514)="","",IF(IFERROR(INDEX(Lists!$AO$2:$AO$11,MATCH(ROW(),Lists!$AN$2:$AN$11,0)),"")&lt;&gt;"",IFERROR(INDEX(Lists!$AO$2:$AO$11,MATCH(ROW(),Lists!$AN$2:$AN$11,0)),""),IFERROR(INDEX(Lists!$U:$U,MATCH(TRIM($I514),Lists!$T:$T,0)),TRIM($I514))))</f>
        <v>TDD Group Functions</v>
      </c>
      <c r="AK514" s="865" t="str">
        <f>IF(ISNUMBER(SEARCH("vacant",$B514)),"Vacant","Filled")</f>
        <v>Vacant</v>
      </c>
      <c r="AL514" s="865" t="str">
        <f>IF($M514="NZ","NZ","AU")</f>
        <v>AU</v>
      </c>
      <c r="AM514" s="865">
        <f>COUNTIF($AJ$2:$AJ514,$AJ514)</f>
        <v>34</v>
      </c>
      <c r="AN514" s="865" t="str">
        <f>$AJ514&amp;"|"&amp;$AM514</f>
        <v>TDD Group Functions|34</v>
      </c>
      <c r="AP514" s="865" t="str">
        <f>IF(TRIM($B514)="","",IF($AQ514=1,"Leadership",IFERROR(INDEX(Lists!$X:$X,MATCH(TRIM($K514),Lists!$W:$W,0)),IF(OR(TRIM($K514)="",LOWER(TRIM($K514))="na"),IF(TRIM($G514)="","Unassigned",TRIM($G514)),TRIM($K514)))))</f>
        <v>Integration &amp; Process Automation</v>
      </c>
      <c r="AQ514" s="865" t="b">
        <f>IF(TRIM($B514)="","",--OR(TRIM($K514)="Leadership",TRIM($J514)="Leadership"))</f>
        <v>0</v>
      </c>
      <c r="AR514" s="1136" t="str">
        <f>IF(TRIM($B514)="","",IF(IFERROR(INDEX(Lists!$AQ$2:$AQ$11,MATCH(ROW(),Lists!$AN$2:$AN$11,0)),"")&lt;&gt;"",IFERROR(INDEX(Lists!$AQ$2:$AQ$11,MATCH(ROW(),Lists!$AN$2:$AN$11,0)),""),IF(ISNUMBER(SEARCH("head of ",$C514)),"Head of Technology",IF(ISNUMBER(SEARCH("TDD BP",$C514)),"Business Partner",IF(OR(ISNUMBER(SEARCH("domain architect",$C514)),ISNUMBER(SEARCH("enterprise architect",$C514))),"Domain Architect",IF(ISNUMBER(SEARCH("delivery man",$C514)),"Delivery Manager",IF(OR(ISNUMBER(SEARCH("technology manager",$C514)),ISNUMBER(SEARCH("technology manger",$C514)),ISNUMBER(SEARCH("tech manager",$C514))),"Technology Manager","Squad")))))))</f>
        <v>Squad</v>
      </c>
      <c r="AS514" s="1136" t="str">
        <f>IF(TRIM($B514)="","",IFERROR(INDEX(Lists!$AA:$AA,MATCH($AP514,Lists!$Z:$Z,0)),$AP514))</f>
        <v>Integration &amp; Process Automation</v>
      </c>
      <c r="AT514" s="1136" t="str">
        <f>IF(TRIM($B514)="","",IF(IFERROR(INDEX(Lists!$AP$2:$AP$11,MATCH(ROW(),Lists!$AN$2:$AN$11,0)),"")&lt;&gt;"",IFERROR(INDEX(Lists!$AP$2:$AP$11,MATCH(ROW(),Lists!$AN$2:$AN$11,0)),""),IF(OR(LEFT($AJ514,3)="COE",$AJ514="EGI"),$AP514,IF($AR514&lt;&gt;"Squad",$AR514,$AP514))))</f>
        <v>Integration &amp; Process Automation</v>
      </c>
    </row>
    <row r="515" ht="18" customHeight="1" s="866">
      <c r="A515" s="1155" t="inlineStr">
        <is>
          <t>V</t>
        </is>
      </c>
      <c r="B515" s="1156" t="inlineStr">
        <is>
          <t>Vacant</t>
        </is>
      </c>
      <c r="C515" s="1199" t="inlineStr">
        <is>
          <t>Senior Engineer (Automation Test)</t>
        </is>
      </c>
      <c r="D515" s="1291" t="inlineStr">
        <is>
          <t>Shobhit Mittal</t>
        </is>
      </c>
      <c r="E515" s="1199" t="inlineStr">
        <is>
          <t>Lead Engineer (Automation Test)</t>
        </is>
      </c>
      <c r="F515" s="1292" t="inlineStr">
        <is>
          <t>TDD Group Functions</t>
        </is>
      </c>
      <c r="G515" s="1158" t="inlineStr">
        <is>
          <t>TDD &amp; Engineering</t>
        </is>
      </c>
      <c r="H515" s="1158" t="inlineStr">
        <is>
          <t>DevOps &amp; QE</t>
        </is>
      </c>
      <c r="I515" s="1156" t="inlineStr">
        <is>
          <t>TDD</t>
        </is>
      </c>
      <c r="J515" s="1158" t="inlineStr">
        <is>
          <t>TDD</t>
        </is>
      </c>
      <c r="K515" s="1158" t="inlineStr">
        <is>
          <t>DevOps &amp; QE</t>
        </is>
      </c>
      <c r="L515" s="1158" t="n"/>
      <c r="M515" s="1159" t="inlineStr">
        <is>
          <t>Australia</t>
        </is>
      </c>
      <c r="N515" s="1160" t="inlineStr">
        <is>
          <t>CIB</t>
        </is>
      </c>
      <c r="O515" s="1160" t="n">
        <v>1</v>
      </c>
      <c r="P515" s="1160" t="n"/>
      <c r="Q515" s="1160" t="inlineStr">
        <is>
          <t>v</t>
        </is>
      </c>
      <c r="R515" s="1162" t="n"/>
      <c r="S515" s="1162" t="n"/>
      <c r="T515" s="1163" t="n">
        <v>151950</v>
      </c>
      <c r="U515" s="1164" t="n">
        <v>151950</v>
      </c>
      <c r="V515" s="1166" t="n">
        <v>0.12</v>
      </c>
      <c r="W515" s="1170" t="n">
        <v>0.055</v>
      </c>
      <c r="X515" s="1170" t="n">
        <v>0.12</v>
      </c>
      <c r="Y515" s="1171" t="n"/>
      <c r="Z515" s="1170" t="n">
        <v>0.04</v>
      </c>
      <c r="AA515" s="1168">
        <f>IF(TRIM($B515)="","",IF(N($AU515)&gt;0,$AU515,IF(N($S515)&gt;0,$S515*Lists!$AG$15*(1+N($Z515)),N($U515)*(1+N($V515)+N($W515)+N($X515)+N($Z515))+N($Y515))))</f>
        <v>202853.25</v>
      </c>
      <c r="AB515" s="1238" t="n"/>
      <c r="AC515" s="1238" t="n"/>
      <c r="AJ515" s="865" t="str">
        <f>IF(TRIM($B515)="","",IF(IFERROR(INDEX(Lists!$AO$2:$AO$11,MATCH(ROW(),Lists!$AN$2:$AN$11,0)),"")&lt;&gt;"",IFERROR(INDEX(Lists!$AO$2:$AO$11,MATCH(ROW(),Lists!$AN$2:$AN$11,0)),""),IFERROR(INDEX(Lists!$U:$U,MATCH(TRIM($I515),Lists!$T:$T,0)),TRIM($I515))))</f>
        <v>TDD Group Functions</v>
      </c>
      <c r="AK515" s="865" t="str">
        <f>IF(ISNUMBER(SEARCH("vacant",$B515)),"Vacant","Filled")</f>
        <v>Vacant</v>
      </c>
      <c r="AL515" s="865" t="str">
        <f>IF($M515="NZ","NZ","AU")</f>
        <v>AU</v>
      </c>
      <c r="AM515" s="865">
        <f>COUNTIF($AJ$2:$AJ515,$AJ515)</f>
        <v>35</v>
      </c>
      <c r="AN515" s="865" t="str">
        <f>$AJ515&amp;"|"&amp;$AM515</f>
        <v>TDD Group Functions|35</v>
      </c>
      <c r="AP515" s="865" t="str">
        <f>IF(TRIM($B515)="","",IF($AQ515=1,"Leadership",IFERROR(INDEX(Lists!$X:$X,MATCH(TRIM($K515),Lists!$W:$W,0)),IF(OR(TRIM($K515)="",LOWER(TRIM($K515))="na"),IF(TRIM($G515)="","Unassigned",TRIM($G515)),TRIM($K515)))))</f>
        <v>DevOps &amp; QE</v>
      </c>
      <c r="AQ515" s="865" t="b">
        <f>IF(TRIM($B515)="","",--OR(TRIM($K515)="Leadership",TRIM($J515)="Leadership"))</f>
        <v>0</v>
      </c>
      <c r="AR515" s="1136" t="str">
        <f>IF(TRIM($B515)="","",IF(IFERROR(INDEX(Lists!$AQ$2:$AQ$11,MATCH(ROW(),Lists!$AN$2:$AN$11,0)),"")&lt;&gt;"",IFERROR(INDEX(Lists!$AQ$2:$AQ$11,MATCH(ROW(),Lists!$AN$2:$AN$11,0)),""),IF(ISNUMBER(SEARCH("head of ",$C515)),"Head of Technology",IF(ISNUMBER(SEARCH("TDD BP",$C515)),"Business Partner",IF(OR(ISNUMBER(SEARCH("domain architect",$C515)),ISNUMBER(SEARCH("enterprise architect",$C515))),"Domain Architect",IF(ISNUMBER(SEARCH("delivery man",$C515)),"Delivery Manager",IF(OR(ISNUMBER(SEARCH("technology manager",$C515)),ISNUMBER(SEARCH("technology manger",$C515)),ISNUMBER(SEARCH("tech manager",$C515))),"Technology Manager","Squad")))))))</f>
        <v>Squad</v>
      </c>
      <c r="AS515" s="1136" t="str">
        <f>IF(TRIM($B515)="","",IFERROR(INDEX(Lists!$AA:$AA,MATCH($AP515,Lists!$Z:$Z,0)),$AP515))</f>
        <v>DevOps &amp; QE</v>
      </c>
      <c r="AT515" s="1136" t="str">
        <f>IF(TRIM($B515)="","",IF(IFERROR(INDEX(Lists!$AP$2:$AP$11,MATCH(ROW(),Lists!$AN$2:$AN$11,0)),"")&lt;&gt;"",IFERROR(INDEX(Lists!$AP$2:$AP$11,MATCH(ROW(),Lists!$AN$2:$AN$11,0)),""),IF(OR(LEFT($AJ515,3)="COE",$AJ515="EGI"),$AP515,IF($AR515&lt;&gt;"Squad",$AR515,$AP515))))</f>
        <v>DevOps &amp; QE</v>
      </c>
    </row>
    <row r="516" ht="18" customHeight="1" s="866">
      <c r="A516" s="1155" t="inlineStr">
        <is>
          <t>V</t>
        </is>
      </c>
      <c r="B516" s="1156" t="inlineStr">
        <is>
          <t>Vacant</t>
        </is>
      </c>
      <c r="C516" s="1199" t="inlineStr">
        <is>
          <t>Business Analyst (Integrations)</t>
        </is>
      </c>
      <c r="D516" s="1156" t="inlineStr">
        <is>
          <t>Vacant</t>
        </is>
      </c>
      <c r="E516" s="1156" t="inlineStr">
        <is>
          <t>Delivery Manager</t>
        </is>
      </c>
      <c r="F516" s="1157" t="inlineStr">
        <is>
          <t>TDD Group Functions</t>
        </is>
      </c>
      <c r="G516" s="1158" t="inlineStr">
        <is>
          <t xml:space="preserve">TDD &amp; Engineering </t>
        </is>
      </c>
      <c r="H516" s="1156" t="inlineStr">
        <is>
          <t>Delivery, TDD &amp; Engineering</t>
        </is>
      </c>
      <c r="I516" s="1156" t="inlineStr">
        <is>
          <t>TDD</t>
        </is>
      </c>
      <c r="J516" s="1158" t="inlineStr">
        <is>
          <t>TDD</t>
        </is>
      </c>
      <c r="K516" s="1158" t="inlineStr">
        <is>
          <t>Integration &amp; Process Automation</t>
        </is>
      </c>
      <c r="L516" s="1158" t="n"/>
      <c r="M516" s="1159" t="inlineStr">
        <is>
          <t>Australia</t>
        </is>
      </c>
      <c r="N516" s="1160" t="inlineStr">
        <is>
          <t>CIB</t>
        </is>
      </c>
      <c r="O516" s="1160" t="n">
        <v>1</v>
      </c>
      <c r="P516" s="1160" t="n"/>
      <c r="Q516" s="1160" t="inlineStr">
        <is>
          <t>V</t>
        </is>
      </c>
      <c r="R516" s="1162" t="n"/>
      <c r="S516" s="1162" t="n"/>
      <c r="T516" s="1163" t="n">
        <v>151000</v>
      </c>
      <c r="U516" s="1164" t="n">
        <v>151000</v>
      </c>
      <c r="V516" s="1166" t="n">
        <v>0.12</v>
      </c>
      <c r="W516" s="1170" t="n">
        <v>0.055</v>
      </c>
      <c r="X516" s="1170" t="n">
        <v>0.12</v>
      </c>
      <c r="Y516" s="1171" t="n"/>
      <c r="Z516" s="1170" t="n">
        <v>0.04</v>
      </c>
      <c r="AA516" s="1168">
        <f>IF(TRIM($B516)="","",IF(N($AU516)&gt;0,$AU516,IF(N($S516)&gt;0,$S516*Lists!$AG$15*(1+N($Z516)),N($U516)*(1+N($V516)+N($W516)+N($X516)+N($Z516))+N($Y516))))</f>
        <v>201585</v>
      </c>
      <c r="AB516" s="1238" t="n"/>
      <c r="AC516" s="1238" t="n"/>
      <c r="AJ516" s="865" t="str">
        <f>IF(TRIM($B516)="","",IF(IFERROR(INDEX(Lists!$AO$2:$AO$11,MATCH(ROW(),Lists!$AN$2:$AN$11,0)),"")&lt;&gt;"",IFERROR(INDEX(Lists!$AO$2:$AO$11,MATCH(ROW(),Lists!$AN$2:$AN$11,0)),""),IFERROR(INDEX(Lists!$U:$U,MATCH(TRIM($I516),Lists!$T:$T,0)),TRIM($I516))))</f>
        <v>TDD Group Functions</v>
      </c>
      <c r="AK516" s="865" t="str">
        <f>IF(ISNUMBER(SEARCH("vacant",$B516)),"Vacant","Filled")</f>
        <v>Vacant</v>
      </c>
      <c r="AL516" s="865" t="str">
        <f>IF($M516="NZ","NZ","AU")</f>
        <v>AU</v>
      </c>
      <c r="AM516" s="865">
        <f>COUNTIF($AJ$2:$AJ516,$AJ516)</f>
        <v>36</v>
      </c>
      <c r="AN516" s="865" t="str">
        <f>$AJ516&amp;"|"&amp;$AM516</f>
        <v>TDD Group Functions|36</v>
      </c>
      <c r="AP516" s="865" t="str">
        <f>IF(TRIM($B516)="","",IF($AQ516=1,"Leadership",IFERROR(INDEX(Lists!$X:$X,MATCH(TRIM($K516),Lists!$W:$W,0)),IF(OR(TRIM($K516)="",LOWER(TRIM($K516))="na"),IF(TRIM($G516)="","Unassigned",TRIM($G516)),TRIM($K516)))))</f>
        <v>Integration &amp; Process Automation</v>
      </c>
      <c r="AQ516" s="865" t="b">
        <f>IF(TRIM($B516)="","",--OR(TRIM($K516)="Leadership",TRIM($J516)="Leadership"))</f>
        <v>0</v>
      </c>
      <c r="AR516" s="1136" t="str">
        <f>IF(TRIM($B516)="","",IF(IFERROR(INDEX(Lists!$AQ$2:$AQ$11,MATCH(ROW(),Lists!$AN$2:$AN$11,0)),"")&lt;&gt;"",IFERROR(INDEX(Lists!$AQ$2:$AQ$11,MATCH(ROW(),Lists!$AN$2:$AN$11,0)),""),IF(ISNUMBER(SEARCH("head of ",$C516)),"Head of Technology",IF(ISNUMBER(SEARCH("TDD BP",$C516)),"Business Partner",IF(OR(ISNUMBER(SEARCH("domain architect",$C516)),ISNUMBER(SEARCH("enterprise architect",$C516))),"Domain Architect",IF(ISNUMBER(SEARCH("delivery man",$C516)),"Delivery Manager",IF(OR(ISNUMBER(SEARCH("technology manager",$C516)),ISNUMBER(SEARCH("technology manger",$C516)),ISNUMBER(SEARCH("tech manager",$C516))),"Technology Manager","Squad")))))))</f>
        <v>Squad</v>
      </c>
      <c r="AS516" s="1136" t="str">
        <f>IF(TRIM($B516)="","",IFERROR(INDEX(Lists!$AA:$AA,MATCH($AP516,Lists!$Z:$Z,0)),$AP516))</f>
        <v>Integration &amp; Process Automation</v>
      </c>
      <c r="AT516" s="1136" t="str">
        <f>IF(TRIM($B516)="","",IF(IFERROR(INDEX(Lists!$AP$2:$AP$11,MATCH(ROW(),Lists!$AN$2:$AN$11,0)),"")&lt;&gt;"",IFERROR(INDEX(Lists!$AP$2:$AP$11,MATCH(ROW(),Lists!$AN$2:$AN$11,0)),""),IF(OR(LEFT($AJ516,3)="COE",$AJ516="EGI"),$AP516,IF($AR516&lt;&gt;"Squad",$AR516,$AP516))))</f>
        <v>Integration &amp; Process Automation</v>
      </c>
    </row>
    <row r="517" ht="18" customHeight="1" s="866">
      <c r="A517" s="1155" t="inlineStr">
        <is>
          <t>V</t>
        </is>
      </c>
      <c r="B517" s="1156" t="inlineStr">
        <is>
          <t>Vacant</t>
        </is>
      </c>
      <c r="C517" s="1199" t="inlineStr">
        <is>
          <t>Business Analyst (Workplace &amp; Enterprise Tooling)</t>
        </is>
      </c>
      <c r="D517" s="1158" t="inlineStr">
        <is>
          <t>Vacant</t>
        </is>
      </c>
      <c r="E517" s="1199" t="inlineStr">
        <is>
          <t xml:space="preserve">Delivery Manager </t>
        </is>
      </c>
      <c r="F517" s="1157" t="inlineStr">
        <is>
          <t>TDD Group Functions</t>
        </is>
      </c>
      <c r="G517" s="1158" t="inlineStr">
        <is>
          <t>TDD &amp; Engineering</t>
        </is>
      </c>
      <c r="H517" s="1156" t="inlineStr">
        <is>
          <t>Delivery, TDD &amp; Engineering</t>
        </is>
      </c>
      <c r="I517" s="1156" t="inlineStr">
        <is>
          <t>TDD</t>
        </is>
      </c>
      <c r="J517" s="1158" t="inlineStr">
        <is>
          <t>TDD</t>
        </is>
      </c>
      <c r="K517" s="1158" t="inlineStr">
        <is>
          <t>Workplace &amp; Enterprise Tooling</t>
        </is>
      </c>
      <c r="L517" s="1158" t="n"/>
      <c r="M517" s="1159" t="inlineStr">
        <is>
          <t>Australia</t>
        </is>
      </c>
      <c r="N517" s="1160" t="inlineStr">
        <is>
          <t>CIB</t>
        </is>
      </c>
      <c r="O517" s="1160" t="n">
        <v>1</v>
      </c>
      <c r="P517" s="1160" t="n"/>
      <c r="Q517" s="1160" t="inlineStr">
        <is>
          <t>V</t>
        </is>
      </c>
      <c r="R517" s="1162" t="n"/>
      <c r="S517" s="1162" t="n"/>
      <c r="T517" s="1163" t="n">
        <v>151000</v>
      </c>
      <c r="U517" s="1164" t="n">
        <v>151000</v>
      </c>
      <c r="V517" s="1166" t="n">
        <v>0.12</v>
      </c>
      <c r="W517" s="1170" t="n">
        <v>0.055</v>
      </c>
      <c r="X517" s="1170" t="n">
        <v>0.12</v>
      </c>
      <c r="Y517" s="1171" t="n"/>
      <c r="Z517" s="1170" t="n">
        <v>0.04</v>
      </c>
      <c r="AA517" s="1168">
        <f>IF(TRIM($B517)="","",IF(N($AU517)&gt;0,$AU517,IF(N($S517)&gt;0,$S517*Lists!$AG$15*(1+N($Z517)),N($U517)*(1+N($V517)+N($W517)+N($X517)+N($Z517))+N($Y517))))</f>
        <v>201585</v>
      </c>
      <c r="AB517" s="1238" t="n"/>
      <c r="AC517" s="1238" t="n"/>
      <c r="AJ517" s="865" t="str">
        <f>IF(TRIM($B517)="","",IF(IFERROR(INDEX(Lists!$AO$2:$AO$11,MATCH(ROW(),Lists!$AN$2:$AN$11,0)),"")&lt;&gt;"",IFERROR(INDEX(Lists!$AO$2:$AO$11,MATCH(ROW(),Lists!$AN$2:$AN$11,0)),""),IFERROR(INDEX(Lists!$U:$U,MATCH(TRIM($I517),Lists!$T:$T,0)),TRIM($I517))))</f>
        <v>TDD Group Functions</v>
      </c>
      <c r="AK517" s="865" t="str">
        <f>IF(ISNUMBER(SEARCH("vacant",$B517)),"Vacant","Filled")</f>
        <v>Vacant</v>
      </c>
      <c r="AL517" s="865" t="str">
        <f>IF($M517="NZ","NZ","AU")</f>
        <v>AU</v>
      </c>
      <c r="AM517" s="865">
        <f>COUNTIF($AJ$2:$AJ517,$AJ517)</f>
        <v>37</v>
      </c>
      <c r="AN517" s="865" t="str">
        <f>$AJ517&amp;"|"&amp;$AM517</f>
        <v>TDD Group Functions|37</v>
      </c>
      <c r="AP517" s="865" t="str">
        <f>IF(TRIM($B517)="","",IF($AQ517=1,"Leadership",IFERROR(INDEX(Lists!$X:$X,MATCH(TRIM($K517),Lists!$W:$W,0)),IF(OR(TRIM($K517)="",LOWER(TRIM($K517))="na"),IF(TRIM($G517)="","Unassigned",TRIM($G517)),TRIM($K517)))))</f>
        <v>Workplace &amp; Enterprise Tooling</v>
      </c>
      <c r="AQ517" s="865" t="b">
        <f>IF(TRIM($B517)="","",--OR(TRIM($K517)="Leadership",TRIM($J517)="Leadership"))</f>
        <v>0</v>
      </c>
      <c r="AR517" s="1136" t="str">
        <f>IF(TRIM($B517)="","",IF(IFERROR(INDEX(Lists!$AQ$2:$AQ$11,MATCH(ROW(),Lists!$AN$2:$AN$11,0)),"")&lt;&gt;"",IFERROR(INDEX(Lists!$AQ$2:$AQ$11,MATCH(ROW(),Lists!$AN$2:$AN$11,0)),""),IF(ISNUMBER(SEARCH("head of ",$C517)),"Head of Technology",IF(ISNUMBER(SEARCH("TDD BP",$C517)),"Business Partner",IF(OR(ISNUMBER(SEARCH("domain architect",$C517)),ISNUMBER(SEARCH("enterprise architect",$C517))),"Domain Architect",IF(ISNUMBER(SEARCH("delivery man",$C517)),"Delivery Manager",IF(OR(ISNUMBER(SEARCH("technology manager",$C517)),ISNUMBER(SEARCH("technology manger",$C517)),ISNUMBER(SEARCH("tech manager",$C517))),"Technology Manager","Squad")))))))</f>
        <v>Squad</v>
      </c>
      <c r="AS517" s="1136" t="str">
        <f>IF(TRIM($B517)="","",IFERROR(INDEX(Lists!$AA:$AA,MATCH($AP517,Lists!$Z:$Z,0)),$AP517))</f>
        <v>Workplace &amp; Enterprise Tooling</v>
      </c>
      <c r="AT517" s="1136" t="str">
        <f>IF(TRIM($B517)="","",IF(IFERROR(INDEX(Lists!$AP$2:$AP$11,MATCH(ROW(),Lists!$AN$2:$AN$11,0)),"")&lt;&gt;"",IFERROR(INDEX(Lists!$AP$2:$AP$11,MATCH(ROW(),Lists!$AN$2:$AN$11,0)),""),IF(OR(LEFT($AJ517,3)="COE",$AJ517="EGI"),$AP517,IF($AR517&lt;&gt;"Squad",$AR517,$AP517))))</f>
        <v>Workplace &amp; Enterprise Tooling</v>
      </c>
    </row>
    <row r="518" ht="18" customHeight="1" s="866">
      <c r="A518" s="1155" t="inlineStr">
        <is>
          <t>V</t>
        </is>
      </c>
      <c r="B518" s="1156" t="inlineStr">
        <is>
          <t>Vacant</t>
        </is>
      </c>
      <c r="C518" s="1199" t="inlineStr">
        <is>
          <t>Delivery Manager</t>
        </is>
      </c>
      <c r="D518" s="1158" t="inlineStr">
        <is>
          <t>Vacant</t>
        </is>
      </c>
      <c r="E518" s="1199" t="inlineStr">
        <is>
          <t>Head of Technology - TDD &amp; Engineering Capability Lead</t>
        </is>
      </c>
      <c r="F518" s="1157" t="inlineStr">
        <is>
          <t>TDD Group Functions</t>
        </is>
      </c>
      <c r="G518" s="1158" t="inlineStr">
        <is>
          <t xml:space="preserve">TDD &amp; Engineering </t>
        </is>
      </c>
      <c r="H518" s="1158" t="n"/>
      <c r="I518" s="1158" t="inlineStr">
        <is>
          <t>TDD</t>
        </is>
      </c>
      <c r="J518" s="1158" t="inlineStr">
        <is>
          <t>TDD</t>
        </is>
      </c>
      <c r="K518" s="1158" t="inlineStr">
        <is>
          <t>Leadership</t>
        </is>
      </c>
      <c r="L518" s="1158" t="n"/>
      <c r="M518" s="1159" t="inlineStr">
        <is>
          <t>Australia</t>
        </is>
      </c>
      <c r="N518" s="1160" t="inlineStr">
        <is>
          <t>CSB</t>
        </is>
      </c>
      <c r="O518" s="1160" t="n">
        <v>1</v>
      </c>
      <c r="P518" s="1160" t="n"/>
      <c r="Q518" s="1160" t="inlineStr">
        <is>
          <t>V</t>
        </is>
      </c>
      <c r="R518" s="1162" t="n"/>
      <c r="S518" s="1162" t="n"/>
      <c r="T518" s="1163" t="n">
        <v>203550</v>
      </c>
      <c r="U518" s="1164" t="n">
        <v>203550</v>
      </c>
      <c r="V518" s="1166" t="n">
        <v>0.14</v>
      </c>
      <c r="W518" s="1170" t="n">
        <v>0.055</v>
      </c>
      <c r="X518" s="1170" t="n">
        <v>0.12</v>
      </c>
      <c r="Y518" s="1171" t="n"/>
      <c r="Z518" s="1170" t="n">
        <v>0.04</v>
      </c>
      <c r="AA518" s="1168">
        <f>IF(TRIM($B518)="","",IF(N($AU518)&gt;0,$AU518,IF(N($S518)&gt;0,$S518*Lists!$AG$15*(1+N($Z518)),N($U518)*(1+N($V518)+N($W518)+N($X518)+N($Z518))+N($Y518))))</f>
        <v>275810.25</v>
      </c>
      <c r="AB518" s="1238" t="n"/>
      <c r="AC518" s="1238" t="n"/>
      <c r="AJ518" s="865" t="str">
        <f>IF(TRIM($B518)="","",IF(IFERROR(INDEX(Lists!$AO$2:$AO$11,MATCH(ROW(),Lists!$AN$2:$AN$11,0)),"")&lt;&gt;"",IFERROR(INDEX(Lists!$AO$2:$AO$11,MATCH(ROW(),Lists!$AN$2:$AN$11,0)),""),IFERROR(INDEX(Lists!$U:$U,MATCH(TRIM($I518),Lists!$T:$T,0)),TRIM($I518))))</f>
        <v>TDD Group Functions</v>
      </c>
      <c r="AK518" s="865" t="str">
        <f>IF(ISNUMBER(SEARCH("vacant",$B518)),"Vacant","Filled")</f>
        <v>Vacant</v>
      </c>
      <c r="AL518" s="865" t="str">
        <f>IF($M518="NZ","NZ","AU")</f>
        <v>AU</v>
      </c>
      <c r="AM518" s="865">
        <f>COUNTIF($AJ$2:$AJ518,$AJ518)</f>
        <v>38</v>
      </c>
      <c r="AN518" s="865" t="str">
        <f>$AJ518&amp;"|"&amp;$AM518</f>
        <v>TDD Group Functions|38</v>
      </c>
      <c r="AP518" s="1136" t="str">
        <f>IF(TRIM($B518)="","",IF($AQ518=1,"Leadership",IFERROR(INDEX(Lists!$X:$X,MATCH(TRIM($K518),Lists!$W:$W,0)),IF(OR(TRIM($K518)="",LOWER(TRIM($K518))="na"),IF(TRIM($G518)="","Unassigned",TRIM($G518)),TRIM($K518)))))</f>
        <v>Leadership</v>
      </c>
      <c r="AQ518" s="865" t="b">
        <f>IF(TRIM($B518)="","",--OR(TRIM($K518)="Leadership",TRIM($J518)="Leadership"))</f>
        <v>1</v>
      </c>
      <c r="AR518" s="1136" t="str">
        <f>IF(TRIM($B518)="","",IF(IFERROR(INDEX(Lists!$AQ$2:$AQ$11,MATCH(ROW(),Lists!$AN$2:$AN$11,0)),"")&lt;&gt;"",IFERROR(INDEX(Lists!$AQ$2:$AQ$11,MATCH(ROW(),Lists!$AN$2:$AN$11,0)),""),IF(ISNUMBER(SEARCH("head of ",$C518)),"Head of Technology",IF(ISNUMBER(SEARCH("TDD BP",$C518)),"Business Partner",IF(OR(ISNUMBER(SEARCH("domain architect",$C518)),ISNUMBER(SEARCH("enterprise architect",$C518))),"Domain Architect",IF(ISNUMBER(SEARCH("delivery man",$C518)),"Delivery Manager",IF(OR(ISNUMBER(SEARCH("technology manager",$C518)),ISNUMBER(SEARCH("technology manger",$C518)),ISNUMBER(SEARCH("tech manager",$C518))),"Technology Manager","Squad")))))))</f>
        <v>Delivery Manager</v>
      </c>
      <c r="AS518" s="1136" t="str">
        <f>IF(TRIM($B518)="","",IFERROR(INDEX(Lists!$AA:$AA,MATCH($AP518,Lists!$Z:$Z,0)),$AP518))</f>
        <v>Leadership</v>
      </c>
      <c r="AT518" s="1136" t="str">
        <f>IF(TRIM($B518)="","",IF(IFERROR(INDEX(Lists!$AP$2:$AP$11,MATCH(ROW(),Lists!$AN$2:$AN$11,0)),"")&lt;&gt;"",IFERROR(INDEX(Lists!$AP$2:$AP$11,MATCH(ROW(),Lists!$AN$2:$AN$11,0)),""),IF(OR(LEFT($AJ518,3)="COE",$AJ518="EGI"),$AP518,IF($AR518&lt;&gt;"Squad",$AR518,$AP518))))</f>
        <v>Delivery Manager</v>
      </c>
    </row>
    <row r="519" ht="18" customHeight="1" s="866">
      <c r="A519" s="1155" t="inlineStr">
        <is>
          <t>V</t>
        </is>
      </c>
      <c r="B519" s="1156" t="inlineStr">
        <is>
          <t>Vacant</t>
        </is>
      </c>
      <c r="C519" s="1199" t="inlineStr">
        <is>
          <t>Enterprise Systems Specialist</t>
        </is>
      </c>
      <c r="D519" s="1158" t="inlineStr">
        <is>
          <t>Vacant</t>
        </is>
      </c>
      <c r="E519" s="1156" t="inlineStr">
        <is>
          <t>Technology Manager, Enterprise Tooling</t>
        </is>
      </c>
      <c r="F519" s="1157" t="inlineStr">
        <is>
          <t>TDD Group Functions</t>
        </is>
      </c>
      <c r="G519" s="1158" t="inlineStr">
        <is>
          <t xml:space="preserve">TDD &amp; Engineering </t>
        </is>
      </c>
      <c r="H519" s="1156" t="inlineStr">
        <is>
          <t>Workplace &amp; Enterprise Tooling</t>
        </is>
      </c>
      <c r="I519" s="1202" t="inlineStr">
        <is>
          <t>TDD</t>
        </is>
      </c>
      <c r="J519" s="1158" t="inlineStr">
        <is>
          <t>TDD</t>
        </is>
      </c>
      <c r="K519" s="1158" t="inlineStr">
        <is>
          <t>Workplace &amp; Enterprise Tooling</t>
        </is>
      </c>
      <c r="L519" s="1158" t="n"/>
      <c r="M519" s="1159" t="inlineStr">
        <is>
          <t>Australia</t>
        </is>
      </c>
      <c r="N519" s="1160" t="inlineStr">
        <is>
          <t>CIB</t>
        </is>
      </c>
      <c r="O519" s="1160" t="n">
        <v>1</v>
      </c>
      <c r="P519" s="1160" t="n"/>
      <c r="Q519" s="1160" t="inlineStr">
        <is>
          <t>V</t>
        </is>
      </c>
      <c r="R519" s="1162" t="n"/>
      <c r="S519" s="1162" t="n"/>
      <c r="T519" s="1163" t="n">
        <v>151950</v>
      </c>
      <c r="U519" s="1164" t="n">
        <v>151950</v>
      </c>
      <c r="V519" s="1166" t="n">
        <v>0.12</v>
      </c>
      <c r="W519" s="1170" t="n">
        <v>0.055</v>
      </c>
      <c r="X519" s="1170" t="n">
        <v>0.12</v>
      </c>
      <c r="Y519" s="1171" t="n"/>
      <c r="Z519" s="1170" t="n">
        <v>0.04</v>
      </c>
      <c r="AA519" s="1168">
        <f>IF(TRIM($B519)="","",IF(N($AU519)&gt;0,$AU519,IF(N($S519)&gt;0,$S519*Lists!$AG$15*(1+N($Z519)),N($U519)*(1+N($V519)+N($W519)+N($X519)+N($Z519))+N($Y519))))</f>
        <v>202853.25</v>
      </c>
      <c r="AB519" s="1238" t="n"/>
      <c r="AC519" s="1238" t="n"/>
      <c r="AJ519" s="865" t="str">
        <f>IF(TRIM($B519)="","",IF(IFERROR(INDEX(Lists!$AO$2:$AO$11,MATCH(ROW(),Lists!$AN$2:$AN$11,0)),"")&lt;&gt;"",IFERROR(INDEX(Lists!$AO$2:$AO$11,MATCH(ROW(),Lists!$AN$2:$AN$11,0)),""),IFERROR(INDEX(Lists!$U:$U,MATCH(TRIM($I519),Lists!$T:$T,0)),TRIM($I519))))</f>
        <v>TDD Group Functions</v>
      </c>
      <c r="AK519" s="865" t="str">
        <f>IF(ISNUMBER(SEARCH("vacant",$B519)),"Vacant","Filled")</f>
        <v>Vacant</v>
      </c>
      <c r="AL519" s="865" t="str">
        <f>IF($M519="NZ","NZ","AU")</f>
        <v>AU</v>
      </c>
      <c r="AM519" s="865">
        <f>COUNTIF($AJ$2:$AJ519,$AJ519)</f>
        <v>39</v>
      </c>
      <c r="AN519" s="865" t="str">
        <f>$AJ519&amp;"|"&amp;$AM519</f>
        <v>TDD Group Functions|39</v>
      </c>
      <c r="AP519" s="865" t="str">
        <f>IF(TRIM($B519)="","",IF($AQ519=1,"Leadership",IFERROR(INDEX(Lists!$X:$X,MATCH(TRIM($K519),Lists!$W:$W,0)),IF(OR(TRIM($K519)="",LOWER(TRIM($K519))="na"),IF(TRIM($G519)="","Unassigned",TRIM($G519)),TRIM($K519)))))</f>
        <v>Workplace &amp; Enterprise Tooling</v>
      </c>
      <c r="AQ519" s="865" t="b">
        <f>IF(TRIM($B519)="","",--OR(TRIM($K519)="Leadership",TRIM($J519)="Leadership"))</f>
        <v>0</v>
      </c>
      <c r="AR519" s="1136" t="str">
        <f>IF(TRIM($B519)="","",IF(IFERROR(INDEX(Lists!$AQ$2:$AQ$11,MATCH(ROW(),Lists!$AN$2:$AN$11,0)),"")&lt;&gt;"",IFERROR(INDEX(Lists!$AQ$2:$AQ$11,MATCH(ROW(),Lists!$AN$2:$AN$11,0)),""),IF(ISNUMBER(SEARCH("head of ",$C519)),"Head of Technology",IF(ISNUMBER(SEARCH("TDD BP",$C519)),"Business Partner",IF(OR(ISNUMBER(SEARCH("domain architect",$C519)),ISNUMBER(SEARCH("enterprise architect",$C519))),"Domain Architect",IF(ISNUMBER(SEARCH("delivery man",$C519)),"Delivery Manager",IF(OR(ISNUMBER(SEARCH("technology manager",$C519)),ISNUMBER(SEARCH("technology manger",$C519)),ISNUMBER(SEARCH("tech manager",$C519))),"Technology Manager","Squad")))))))</f>
        <v>Squad</v>
      </c>
      <c r="AS519" s="1136" t="str">
        <f>IF(TRIM($B519)="","",IFERROR(INDEX(Lists!$AA:$AA,MATCH($AP519,Lists!$Z:$Z,0)),$AP519))</f>
        <v>Workplace &amp; Enterprise Tooling</v>
      </c>
      <c r="AT519" s="1136" t="str">
        <f>IF(TRIM($B519)="","",IF(IFERROR(INDEX(Lists!$AP$2:$AP$11,MATCH(ROW(),Lists!$AN$2:$AN$11,0)),"")&lt;&gt;"",IFERROR(INDEX(Lists!$AP$2:$AP$11,MATCH(ROW(),Lists!$AN$2:$AN$11,0)),""),IF(OR(LEFT($AJ519,3)="COE",$AJ519="EGI"),$AP519,IF($AR519&lt;&gt;"Squad",$AR519,$AP519))))</f>
        <v>Workplace &amp; Enterprise Tooling</v>
      </c>
    </row>
    <row r="520" ht="18" customHeight="1" s="866">
      <c r="A520" s="1155" t="inlineStr">
        <is>
          <t>V</t>
        </is>
      </c>
      <c r="B520" s="1156" t="inlineStr">
        <is>
          <t>Vacant</t>
        </is>
      </c>
      <c r="C520" s="1199" t="inlineStr">
        <is>
          <t>Environments and Test Data Manager</t>
        </is>
      </c>
      <c r="D520" s="1291" t="inlineStr">
        <is>
          <t>Vacant</t>
        </is>
      </c>
      <c r="E520" s="1199" t="inlineStr">
        <is>
          <t>Technology Manager - DevOps and Quality Engineering</t>
        </is>
      </c>
      <c r="F520" s="1292" t="inlineStr">
        <is>
          <t>TDD Group Functions</t>
        </is>
      </c>
      <c r="G520" s="1158" t="inlineStr">
        <is>
          <t>TDD &amp; Engineering</t>
        </is>
      </c>
      <c r="H520" s="1158" t="inlineStr">
        <is>
          <t>DevOps &amp; QE</t>
        </is>
      </c>
      <c r="I520" s="1156" t="inlineStr">
        <is>
          <t>TDD</t>
        </is>
      </c>
      <c r="J520" s="1158" t="inlineStr">
        <is>
          <t>TDD</t>
        </is>
      </c>
      <c r="K520" s="1158" t="inlineStr">
        <is>
          <t>DevOps &amp; QE</t>
        </is>
      </c>
      <c r="L520" s="1158" t="n"/>
      <c r="M520" s="1159" t="inlineStr">
        <is>
          <t>Australia</t>
        </is>
      </c>
      <c r="N520" s="1160" t="inlineStr">
        <is>
          <t>CIB</t>
        </is>
      </c>
      <c r="O520" s="1160" t="n">
        <v>1</v>
      </c>
      <c r="P520" s="1160" t="n"/>
      <c r="Q520" s="1160" t="inlineStr">
        <is>
          <t>V</t>
        </is>
      </c>
      <c r="R520" s="1162" t="n"/>
      <c r="S520" s="1162" t="n"/>
      <c r="T520" s="1163" t="n">
        <v>151950</v>
      </c>
      <c r="U520" s="1164" t="n">
        <v>151950</v>
      </c>
      <c r="V520" s="1166" t="n">
        <v>0.12</v>
      </c>
      <c r="W520" s="1170" t="n">
        <v>0.055</v>
      </c>
      <c r="X520" s="1170" t="n">
        <v>0.12</v>
      </c>
      <c r="Y520" s="1171" t="n"/>
      <c r="Z520" s="1170" t="n">
        <v>0.04</v>
      </c>
      <c r="AA520" s="1168">
        <f>IF(TRIM($B520)="","",IF(N($AU520)&gt;0,$AU520,IF(N($S520)&gt;0,$S520*Lists!$AG$15*(1+N($Z520)),N($U520)*(1+N($V520)+N($W520)+N($X520)+N($Z520))+N($Y520))))</f>
        <v>202853.25</v>
      </c>
      <c r="AB520" s="1238" t="n"/>
      <c r="AC520" s="1238" t="n"/>
      <c r="AJ520" s="865" t="str">
        <f>IF(TRIM($B520)="","",IF(IFERROR(INDEX(Lists!$AO$2:$AO$11,MATCH(ROW(),Lists!$AN$2:$AN$11,0)),"")&lt;&gt;"",IFERROR(INDEX(Lists!$AO$2:$AO$11,MATCH(ROW(),Lists!$AN$2:$AN$11,0)),""),IFERROR(INDEX(Lists!$U:$U,MATCH(TRIM($I520),Lists!$T:$T,0)),TRIM($I520))))</f>
        <v>TDD Group Functions</v>
      </c>
      <c r="AK520" s="865" t="str">
        <f>IF(ISNUMBER(SEARCH("vacant",$B520)),"Vacant","Filled")</f>
        <v>Vacant</v>
      </c>
      <c r="AL520" s="865" t="str">
        <f>IF($M520="NZ","NZ","AU")</f>
        <v>AU</v>
      </c>
      <c r="AM520" s="865">
        <f>COUNTIF($AJ$2:$AJ520,$AJ520)</f>
        <v>40</v>
      </c>
      <c r="AN520" s="865" t="str">
        <f>$AJ520&amp;"|"&amp;$AM520</f>
        <v>TDD Group Functions|40</v>
      </c>
      <c r="AP520" s="865" t="str">
        <f>IF(TRIM($B520)="","",IF($AQ520=1,"Leadership",IFERROR(INDEX(Lists!$X:$X,MATCH(TRIM($K520),Lists!$W:$W,0)),IF(OR(TRIM($K520)="",LOWER(TRIM($K520))="na"),IF(TRIM($G520)="","Unassigned",TRIM($G520)),TRIM($K520)))))</f>
        <v>DevOps &amp; QE</v>
      </c>
      <c r="AQ520" s="865" t="b">
        <f>IF(TRIM($B520)="","",--OR(TRIM($K520)="Leadership",TRIM($J520)="Leadership"))</f>
        <v>0</v>
      </c>
      <c r="AR520" s="1136" t="str">
        <f>IF(TRIM($B520)="","",IF(IFERROR(INDEX(Lists!$AQ$2:$AQ$11,MATCH(ROW(),Lists!$AN$2:$AN$11,0)),"")&lt;&gt;"",IFERROR(INDEX(Lists!$AQ$2:$AQ$11,MATCH(ROW(),Lists!$AN$2:$AN$11,0)),""),IF(ISNUMBER(SEARCH("head of ",$C520)),"Head of Technology",IF(ISNUMBER(SEARCH("TDD BP",$C520)),"Business Partner",IF(OR(ISNUMBER(SEARCH("domain architect",$C520)),ISNUMBER(SEARCH("enterprise architect",$C520))),"Domain Architect",IF(ISNUMBER(SEARCH("delivery man",$C520)),"Delivery Manager",IF(OR(ISNUMBER(SEARCH("technology manager",$C520)),ISNUMBER(SEARCH("technology manger",$C520)),ISNUMBER(SEARCH("tech manager",$C520))),"Technology Manager","Squad")))))))</f>
        <v>Squad</v>
      </c>
      <c r="AS520" s="1136" t="str">
        <f>IF(TRIM($B520)="","",IFERROR(INDEX(Lists!$AA:$AA,MATCH($AP520,Lists!$Z:$Z,0)),$AP520))</f>
        <v>DevOps &amp; QE</v>
      </c>
      <c r="AT520" s="1136" t="str">
        <f>IF(TRIM($B520)="","",IF(IFERROR(INDEX(Lists!$AP$2:$AP$11,MATCH(ROW(),Lists!$AN$2:$AN$11,0)),"")&lt;&gt;"",IFERROR(INDEX(Lists!$AP$2:$AP$11,MATCH(ROW(),Lists!$AN$2:$AN$11,0)),""),IF(OR(LEFT($AJ520,3)="COE",$AJ520="EGI"),$AP520,IF($AR520&lt;&gt;"Squad",$AR520,$AP520))))</f>
        <v>DevOps &amp; QE</v>
      </c>
    </row>
    <row r="521" ht="18" customHeight="1" s="866">
      <c r="A521" s="1155" t="inlineStr">
        <is>
          <t>V</t>
        </is>
      </c>
      <c r="B521" s="1156" t="inlineStr">
        <is>
          <t>Vacant</t>
        </is>
      </c>
      <c r="C521" s="1199" t="inlineStr">
        <is>
          <t>Lead Engineer (Automation Test)</t>
        </is>
      </c>
      <c r="D521" s="1291" t="inlineStr">
        <is>
          <t>Vacant</t>
        </is>
      </c>
      <c r="E521" s="1199" t="inlineStr">
        <is>
          <t>Technology Manager - DevOps and Quality Engineering</t>
        </is>
      </c>
      <c r="F521" s="1292" t="inlineStr">
        <is>
          <t>TDD Group Functions</t>
        </is>
      </c>
      <c r="G521" s="1158" t="inlineStr">
        <is>
          <t>TDD &amp; Engineering</t>
        </is>
      </c>
      <c r="H521" s="1158" t="inlineStr">
        <is>
          <t>DevOps &amp; QE</t>
        </is>
      </c>
      <c r="I521" s="1156" t="inlineStr">
        <is>
          <t>TDD</t>
        </is>
      </c>
      <c r="J521" s="1158" t="inlineStr">
        <is>
          <t>TDD</t>
        </is>
      </c>
      <c r="K521" s="1158" t="inlineStr">
        <is>
          <t>DevOps &amp; QE</t>
        </is>
      </c>
      <c r="L521" s="1158" t="n"/>
      <c r="M521" s="1159" t="inlineStr">
        <is>
          <t>Australia</t>
        </is>
      </c>
      <c r="N521" s="1160" t="inlineStr">
        <is>
          <t>CIC</t>
        </is>
      </c>
      <c r="O521" s="1160" t="n">
        <v>1</v>
      </c>
      <c r="P521" s="1160" t="n"/>
      <c r="Q521" s="1160" t="inlineStr">
        <is>
          <t>v</t>
        </is>
      </c>
      <c r="R521" s="1162" t="n"/>
      <c r="S521" s="1162" t="n"/>
      <c r="T521" s="1163" t="n">
        <v>173550</v>
      </c>
      <c r="U521" s="1164" t="n">
        <v>173550</v>
      </c>
      <c r="V521" s="1166" t="n">
        <v>0.12</v>
      </c>
      <c r="W521" s="1170" t="n">
        <v>0.055</v>
      </c>
      <c r="X521" s="1170" t="n">
        <v>0.12</v>
      </c>
      <c r="Y521" s="1171" t="n"/>
      <c r="Z521" s="1170" t="n">
        <v>0.04</v>
      </c>
      <c r="AA521" s="1168">
        <f>IF(TRIM($B521)="","",IF(N($AU521)&gt;0,$AU521,IF(N($S521)&gt;0,$S521*Lists!$AG$15*(1+N($Z521)),N($U521)*(1+N($V521)+N($W521)+N($X521)+N($Z521))+N($Y521))))</f>
        <v>231689.25</v>
      </c>
      <c r="AB521" s="1238" t="n"/>
      <c r="AC521" s="1238" t="n"/>
      <c r="AJ521" s="865" t="str">
        <f>IF(TRIM($B521)="","",IF(IFERROR(INDEX(Lists!$AO$2:$AO$11,MATCH(ROW(),Lists!$AN$2:$AN$11,0)),"")&lt;&gt;"",IFERROR(INDEX(Lists!$AO$2:$AO$11,MATCH(ROW(),Lists!$AN$2:$AN$11,0)),""),IFERROR(INDEX(Lists!$U:$U,MATCH(TRIM($I521),Lists!$T:$T,0)),TRIM($I521))))</f>
        <v>TDD Group Functions</v>
      </c>
      <c r="AK521" s="865" t="str">
        <f>IF(ISNUMBER(SEARCH("vacant",$B521)),"Vacant","Filled")</f>
        <v>Vacant</v>
      </c>
      <c r="AL521" s="865" t="str">
        <f>IF($M521="NZ","NZ","AU")</f>
        <v>AU</v>
      </c>
      <c r="AM521" s="865">
        <f>COUNTIF($AJ$2:$AJ521,$AJ521)</f>
        <v>41</v>
      </c>
      <c r="AN521" s="865" t="str">
        <f>$AJ521&amp;"|"&amp;$AM521</f>
        <v>TDD Group Functions|41</v>
      </c>
      <c r="AP521" s="865" t="str">
        <f>IF(TRIM($B521)="","",IF($AQ521=1,"Leadership",IFERROR(INDEX(Lists!$X:$X,MATCH(TRIM($K521),Lists!$W:$W,0)),IF(OR(TRIM($K521)="",LOWER(TRIM($K521))="na"),IF(TRIM($G521)="","Unassigned",TRIM($G521)),TRIM($K521)))))</f>
        <v>DevOps &amp; QE</v>
      </c>
      <c r="AQ521" s="865" t="b">
        <f>IF(TRIM($B521)="","",--OR(TRIM($K521)="Leadership",TRIM($J521)="Leadership"))</f>
        <v>0</v>
      </c>
      <c r="AR521" s="1136" t="str">
        <f>IF(TRIM($B521)="","",IF(IFERROR(INDEX(Lists!$AQ$2:$AQ$11,MATCH(ROW(),Lists!$AN$2:$AN$11,0)),"")&lt;&gt;"",IFERROR(INDEX(Lists!$AQ$2:$AQ$11,MATCH(ROW(),Lists!$AN$2:$AN$11,0)),""),IF(ISNUMBER(SEARCH("head of ",$C521)),"Head of Technology",IF(ISNUMBER(SEARCH("TDD BP",$C521)),"Business Partner",IF(OR(ISNUMBER(SEARCH("domain architect",$C521)),ISNUMBER(SEARCH("enterprise architect",$C521))),"Domain Architect",IF(ISNUMBER(SEARCH("delivery man",$C521)),"Delivery Manager",IF(OR(ISNUMBER(SEARCH("technology manager",$C521)),ISNUMBER(SEARCH("technology manger",$C521)),ISNUMBER(SEARCH("tech manager",$C521))),"Technology Manager","Squad")))))))</f>
        <v>Squad</v>
      </c>
      <c r="AS521" s="1136" t="str">
        <f>IF(TRIM($B521)="","",IFERROR(INDEX(Lists!$AA:$AA,MATCH($AP521,Lists!$Z:$Z,0)),$AP521))</f>
        <v>DevOps &amp; QE</v>
      </c>
      <c r="AT521" s="1136" t="str">
        <f>IF(TRIM($B521)="","",IF(IFERROR(INDEX(Lists!$AP$2:$AP$11,MATCH(ROW(),Lists!$AN$2:$AN$11,0)),"")&lt;&gt;"",IFERROR(INDEX(Lists!$AP$2:$AP$11,MATCH(ROW(),Lists!$AN$2:$AN$11,0)),""),IF(OR(LEFT($AJ521,3)="COE",$AJ521="EGI"),$AP521,IF($AR521&lt;&gt;"Squad",$AR521,$AP521))))</f>
        <v>DevOps &amp; QE</v>
      </c>
    </row>
    <row r="522" ht="18" customHeight="1" s="866">
      <c r="A522" s="1155" t="inlineStr">
        <is>
          <t>V</t>
        </is>
      </c>
      <c r="B522" s="1156" t="inlineStr">
        <is>
          <t>Vacant</t>
        </is>
      </c>
      <c r="C522" s="1199" t="inlineStr">
        <is>
          <t>Lead Engineer Software</t>
        </is>
      </c>
      <c r="D522" s="1291" t="inlineStr">
        <is>
          <t>Vacant</t>
        </is>
      </c>
      <c r="E522" s="1199" t="inlineStr">
        <is>
          <t>Technology Manager - DevOps and Quality Engineering</t>
        </is>
      </c>
      <c r="F522" s="1292" t="inlineStr">
        <is>
          <t>TDD Group Functions</t>
        </is>
      </c>
      <c r="G522" s="1158" t="inlineStr">
        <is>
          <t>TDD &amp; Engineering</t>
        </is>
      </c>
      <c r="H522" s="1158" t="inlineStr">
        <is>
          <t>DevOps &amp; QE</t>
        </is>
      </c>
      <c r="I522" s="1156" t="inlineStr">
        <is>
          <t>TDD</t>
        </is>
      </c>
      <c r="J522" s="1158" t="inlineStr">
        <is>
          <t>TDD</t>
        </is>
      </c>
      <c r="K522" s="1158" t="inlineStr">
        <is>
          <t>DevOps &amp; QE</t>
        </is>
      </c>
      <c r="L522" s="1158" t="n"/>
      <c r="M522" s="1159" t="inlineStr">
        <is>
          <t>Australia</t>
        </is>
      </c>
      <c r="N522" s="1160" t="inlineStr">
        <is>
          <t>CIC</t>
        </is>
      </c>
      <c r="O522" s="1160" t="n">
        <v>1</v>
      </c>
      <c r="P522" s="1160" t="n"/>
      <c r="Q522" s="1160" t="inlineStr">
        <is>
          <t>v</t>
        </is>
      </c>
      <c r="R522" s="1162" t="n"/>
      <c r="S522" s="1162" t="n"/>
      <c r="T522" s="1163" t="n">
        <v>173550</v>
      </c>
      <c r="U522" s="1164" t="n">
        <v>173550</v>
      </c>
      <c r="V522" s="1166" t="n">
        <v>0.12</v>
      </c>
      <c r="W522" s="1170" t="n">
        <v>0.055</v>
      </c>
      <c r="X522" s="1170" t="n">
        <v>0.12</v>
      </c>
      <c r="Y522" s="1171" t="n"/>
      <c r="Z522" s="1170" t="n">
        <v>0.04</v>
      </c>
      <c r="AA522" s="1168">
        <f>IF(TRIM($B522)="","",IF(N($AU522)&gt;0,$AU522,IF(N($S522)&gt;0,$S522*Lists!$AG$15*(1+N($Z522)),N($U522)*(1+N($V522)+N($W522)+N($X522)+N($Z522))+N($Y522))))</f>
        <v>231689.25</v>
      </c>
      <c r="AB522" s="1238" t="n"/>
      <c r="AC522" s="1238" t="n"/>
      <c r="AJ522" s="865" t="str">
        <f>IF(TRIM($B522)="","",IF(IFERROR(INDEX(Lists!$AO$2:$AO$11,MATCH(ROW(),Lists!$AN$2:$AN$11,0)),"")&lt;&gt;"",IFERROR(INDEX(Lists!$AO$2:$AO$11,MATCH(ROW(),Lists!$AN$2:$AN$11,0)),""),IFERROR(INDEX(Lists!$U:$U,MATCH(TRIM($I522),Lists!$T:$T,0)),TRIM($I522))))</f>
        <v>TDD Group Functions</v>
      </c>
      <c r="AK522" s="865" t="str">
        <f>IF(ISNUMBER(SEARCH("vacant",$B522)),"Vacant","Filled")</f>
        <v>Vacant</v>
      </c>
      <c r="AL522" s="865" t="str">
        <f>IF($M522="NZ","NZ","AU")</f>
        <v>AU</v>
      </c>
      <c r="AM522" s="865">
        <f>COUNTIF($AJ$2:$AJ522,$AJ522)</f>
        <v>42</v>
      </c>
      <c r="AN522" s="865" t="str">
        <f>$AJ522&amp;"|"&amp;$AM522</f>
        <v>TDD Group Functions|42</v>
      </c>
      <c r="AP522" s="865" t="str">
        <f>IF(TRIM($B522)="","",IF($AQ522=1,"Leadership",IFERROR(INDEX(Lists!$X:$X,MATCH(TRIM($K522),Lists!$W:$W,0)),IF(OR(TRIM($K522)="",LOWER(TRIM($K522))="na"),IF(TRIM($G522)="","Unassigned",TRIM($G522)),TRIM($K522)))))</f>
        <v>DevOps &amp; QE</v>
      </c>
      <c r="AQ522" s="865" t="b">
        <f>IF(TRIM($B522)="","",--OR(TRIM($K522)="Leadership",TRIM($J522)="Leadership"))</f>
        <v>0</v>
      </c>
      <c r="AR522" s="1136" t="str">
        <f>IF(TRIM($B522)="","",IF(IFERROR(INDEX(Lists!$AQ$2:$AQ$11,MATCH(ROW(),Lists!$AN$2:$AN$11,0)),"")&lt;&gt;"",IFERROR(INDEX(Lists!$AQ$2:$AQ$11,MATCH(ROW(),Lists!$AN$2:$AN$11,0)),""),IF(ISNUMBER(SEARCH("head of ",$C522)),"Head of Technology",IF(ISNUMBER(SEARCH("TDD BP",$C522)),"Business Partner",IF(OR(ISNUMBER(SEARCH("domain architect",$C522)),ISNUMBER(SEARCH("enterprise architect",$C522))),"Domain Architect",IF(ISNUMBER(SEARCH("delivery man",$C522)),"Delivery Manager",IF(OR(ISNUMBER(SEARCH("technology manager",$C522)),ISNUMBER(SEARCH("technology manger",$C522)),ISNUMBER(SEARCH("tech manager",$C522))),"Technology Manager","Squad")))))))</f>
        <v>Squad</v>
      </c>
      <c r="AS522" s="1136" t="str">
        <f>IF(TRIM($B522)="","",IFERROR(INDEX(Lists!$AA:$AA,MATCH($AP522,Lists!$Z:$Z,0)),$AP522))</f>
        <v>DevOps &amp; QE</v>
      </c>
      <c r="AT522" s="1136" t="str">
        <f>IF(TRIM($B522)="","",IF(IFERROR(INDEX(Lists!$AP$2:$AP$11,MATCH(ROW(),Lists!$AN$2:$AN$11,0)),"")&lt;&gt;"",IFERROR(INDEX(Lists!$AP$2:$AP$11,MATCH(ROW(),Lists!$AN$2:$AN$11,0)),""),IF(OR(LEFT($AJ522,3)="COE",$AJ522="EGI"),$AP522,IF($AR522&lt;&gt;"Squad",$AR522,$AP522))))</f>
        <v>DevOps &amp; QE</v>
      </c>
    </row>
    <row r="523" ht="18" customHeight="1" s="866">
      <c r="A523" s="1155" t="inlineStr">
        <is>
          <t>V</t>
        </is>
      </c>
      <c r="B523" s="1156" t="inlineStr">
        <is>
          <t>Vacant</t>
        </is>
      </c>
      <c r="C523" s="1199" t="inlineStr">
        <is>
          <t>Technology Manager - Cloud, Network and Infrastructure Operations</t>
        </is>
      </c>
      <c r="D523" s="1199" t="inlineStr">
        <is>
          <t>Vacant</t>
        </is>
      </c>
      <c r="E523" s="1158" t="inlineStr">
        <is>
          <t>Head of Technology - TDD &amp; Engineering Capability Lead</t>
        </is>
      </c>
      <c r="F523" s="1157" t="inlineStr">
        <is>
          <t>TDD Group Functions</t>
        </is>
      </c>
      <c r="G523" s="1158" t="inlineStr">
        <is>
          <t>TDD &amp; Engineering</t>
        </is>
      </c>
      <c r="H523" s="1158" t="inlineStr">
        <is>
          <t>Cloud Network &amp; Infra Ops</t>
        </is>
      </c>
      <c r="I523" s="1158" t="inlineStr">
        <is>
          <t>TDD</t>
        </is>
      </c>
      <c r="J523" s="1158" t="inlineStr">
        <is>
          <t>TDD</t>
        </is>
      </c>
      <c r="K523" s="1158" t="inlineStr">
        <is>
          <t>Leadership</t>
        </is>
      </c>
      <c r="L523" s="1158" t="n"/>
      <c r="M523" s="1159" t="inlineStr">
        <is>
          <t>Australia</t>
        </is>
      </c>
      <c r="N523" s="1160" t="inlineStr">
        <is>
          <t>CSB</t>
        </is>
      </c>
      <c r="O523" s="1160" t="n">
        <v>1</v>
      </c>
      <c r="P523" s="1160" t="n"/>
      <c r="Q523" s="1160" t="inlineStr">
        <is>
          <t>v</t>
        </is>
      </c>
      <c r="R523" s="1162" t="n"/>
      <c r="S523" s="1162" t="n"/>
      <c r="T523" s="1163" t="n">
        <v>203550</v>
      </c>
      <c r="U523" s="1164" t="n">
        <v>203550</v>
      </c>
      <c r="V523" s="1166" t="n">
        <v>0.14</v>
      </c>
      <c r="W523" s="1170" t="n">
        <v>0.055</v>
      </c>
      <c r="X523" s="1170" t="n">
        <v>0.12</v>
      </c>
      <c r="Y523" s="1171" t="n"/>
      <c r="Z523" s="1170" t="n">
        <v>0.04</v>
      </c>
      <c r="AA523" s="1168">
        <f>IF(TRIM($B523)="","",IF(N($AU523)&gt;0,$AU523,IF(N($S523)&gt;0,$S523*Lists!$AG$15*(1+N($Z523)),N($U523)*(1+N($V523)+N($W523)+N($X523)+N($Z523))+N($Y523))))</f>
        <v>275810.25</v>
      </c>
      <c r="AB523" s="1238" t="n"/>
      <c r="AC523" s="1238" t="n"/>
      <c r="AJ523" s="865" t="str">
        <f>IF(TRIM($B523)="","",IF(IFERROR(INDEX(Lists!$AO$2:$AO$11,MATCH(ROW(),Lists!$AN$2:$AN$11,0)),"")&lt;&gt;"",IFERROR(INDEX(Lists!$AO$2:$AO$11,MATCH(ROW(),Lists!$AN$2:$AN$11,0)),""),IFERROR(INDEX(Lists!$U:$U,MATCH(TRIM($I523),Lists!$T:$T,0)),TRIM($I523))))</f>
        <v>TDD Group Functions</v>
      </c>
      <c r="AK523" s="865" t="str">
        <f>IF(ISNUMBER(SEARCH("vacant",$B523)),"Vacant","Filled")</f>
        <v>Vacant</v>
      </c>
      <c r="AL523" s="865" t="str">
        <f>IF($M523="NZ","NZ","AU")</f>
        <v>AU</v>
      </c>
      <c r="AM523" s="865">
        <f>COUNTIF($AJ$2:$AJ523,$AJ523)</f>
        <v>43</v>
      </c>
      <c r="AN523" s="865" t="str">
        <f>$AJ523&amp;"|"&amp;$AM523</f>
        <v>TDD Group Functions|43</v>
      </c>
      <c r="AP523" s="1136" t="str">
        <f>IF(TRIM($B523)="","",IF($AQ523=1,"Leadership",IFERROR(INDEX(Lists!$X:$X,MATCH(TRIM($K523),Lists!$W:$W,0)),IF(OR(TRIM($K523)="",LOWER(TRIM($K523))="na"),IF(TRIM($G523)="","Unassigned",TRIM($G523)),TRIM($K523)))))</f>
        <v>Leadership</v>
      </c>
      <c r="AQ523" s="865" t="b">
        <f>IF(TRIM($B523)="","",--OR(TRIM($K523)="Leadership",TRIM($J523)="Leadership"))</f>
        <v>1</v>
      </c>
      <c r="AR523" s="1136" t="str">
        <f>IF(TRIM($B523)="","",IF(IFERROR(INDEX(Lists!$AQ$2:$AQ$11,MATCH(ROW(),Lists!$AN$2:$AN$11,0)),"")&lt;&gt;"",IFERROR(INDEX(Lists!$AQ$2:$AQ$11,MATCH(ROW(),Lists!$AN$2:$AN$11,0)),""),IF(ISNUMBER(SEARCH("head of ",$C523)),"Head of Technology",IF(ISNUMBER(SEARCH("TDD BP",$C523)),"Business Partner",IF(OR(ISNUMBER(SEARCH("domain architect",$C523)),ISNUMBER(SEARCH("enterprise architect",$C523))),"Domain Architect",IF(ISNUMBER(SEARCH("delivery man",$C523)),"Delivery Manager",IF(OR(ISNUMBER(SEARCH("technology manager",$C523)),ISNUMBER(SEARCH("technology manger",$C523)),ISNUMBER(SEARCH("tech manager",$C523))),"Technology Manager","Squad")))))))</f>
        <v>Technology Manager</v>
      </c>
      <c r="AS523" s="1136" t="str">
        <f>IF(TRIM($B523)="","",IFERROR(INDEX(Lists!$AA:$AA,MATCH($AP523,Lists!$Z:$Z,0)),$AP523))</f>
        <v>Leadership</v>
      </c>
      <c r="AT523" s="1136" t="str">
        <f>IF(TRIM($B523)="","",IF(IFERROR(INDEX(Lists!$AP$2:$AP$11,MATCH(ROW(),Lists!$AN$2:$AN$11,0)),"")&lt;&gt;"",IFERROR(INDEX(Lists!$AP$2:$AP$11,MATCH(ROW(),Lists!$AN$2:$AN$11,0)),""),IF(OR(LEFT($AJ523,3)="COE",$AJ523="EGI"),$AP523,IF($AR523&lt;&gt;"Squad",$AR523,$AP523))))</f>
        <v>Technology Manager</v>
      </c>
    </row>
    <row r="524" ht="18" customHeight="1" s="866">
      <c r="A524" s="1155" t="inlineStr">
        <is>
          <t>V</t>
        </is>
      </c>
      <c r="B524" s="1156" t="inlineStr">
        <is>
          <t>Vacant</t>
        </is>
      </c>
      <c r="C524" s="1199" t="inlineStr">
        <is>
          <t>Technology Manager - DevOps and Quality Engineering</t>
        </is>
      </c>
      <c r="D524" s="1199" t="inlineStr">
        <is>
          <t>Vacant</t>
        </is>
      </c>
      <c r="E524" s="1158" t="inlineStr">
        <is>
          <t>Head of Technology- TDD &amp; Engineering Capability</t>
        </is>
      </c>
      <c r="F524" s="1157" t="inlineStr">
        <is>
          <t>TDD Group Functions</t>
        </is>
      </c>
      <c r="G524" s="1158" t="inlineStr">
        <is>
          <t>TDD &amp; Engineering</t>
        </is>
      </c>
      <c r="H524" s="1158" t="n"/>
      <c r="I524" s="1158" t="inlineStr">
        <is>
          <t>TDD</t>
        </is>
      </c>
      <c r="J524" s="1158" t="inlineStr">
        <is>
          <t>TDD</t>
        </is>
      </c>
      <c r="K524" s="1158" t="inlineStr">
        <is>
          <t>Leadership</t>
        </is>
      </c>
      <c r="L524" s="1158" t="n"/>
      <c r="M524" s="1159" t="inlineStr">
        <is>
          <t>Australia</t>
        </is>
      </c>
      <c r="N524" s="1160" t="inlineStr">
        <is>
          <t>CSB</t>
        </is>
      </c>
      <c r="O524" s="1160" t="n">
        <v>1</v>
      </c>
      <c r="P524" s="1160" t="n"/>
      <c r="Q524" s="1160" t="inlineStr">
        <is>
          <t>v</t>
        </is>
      </c>
      <c r="R524" s="1162" t="n"/>
      <c r="S524" s="1162" t="n"/>
      <c r="T524" s="1163" t="n">
        <v>203550</v>
      </c>
      <c r="U524" s="1164" t="n">
        <v>203550</v>
      </c>
      <c r="V524" s="1166" t="n">
        <v>0.14</v>
      </c>
      <c r="W524" s="1170" t="n">
        <v>0.055</v>
      </c>
      <c r="X524" s="1170" t="n">
        <v>0.12</v>
      </c>
      <c r="Y524" s="1171" t="n"/>
      <c r="Z524" s="1170" t="n">
        <v>0.04</v>
      </c>
      <c r="AA524" s="1168">
        <f>IF(TRIM($B524)="","",IF(N($AU524)&gt;0,$AU524,IF(N($S524)&gt;0,$S524*Lists!$AG$15*(1+N($Z524)),N($U524)*(1+N($V524)+N($W524)+N($X524)+N($Z524))+N($Y524))))</f>
        <v>275810.25</v>
      </c>
      <c r="AB524" s="1238" t="n"/>
      <c r="AC524" s="1238" t="n"/>
      <c r="AJ524" s="865" t="str">
        <f>IF(TRIM($B524)="","",IF(IFERROR(INDEX(Lists!$AO$2:$AO$11,MATCH(ROW(),Lists!$AN$2:$AN$11,0)),"")&lt;&gt;"",IFERROR(INDEX(Lists!$AO$2:$AO$11,MATCH(ROW(),Lists!$AN$2:$AN$11,0)),""),IFERROR(INDEX(Lists!$U:$U,MATCH(TRIM($I524),Lists!$T:$T,0)),TRIM($I524))))</f>
        <v>TDD Group Functions</v>
      </c>
      <c r="AK524" s="865" t="str">
        <f>IF(ISNUMBER(SEARCH("vacant",$B524)),"Vacant","Filled")</f>
        <v>Vacant</v>
      </c>
      <c r="AL524" s="865" t="str">
        <f>IF($M524="NZ","NZ","AU")</f>
        <v>AU</v>
      </c>
      <c r="AM524" s="865">
        <f>COUNTIF($AJ$2:$AJ524,$AJ524)</f>
        <v>44</v>
      </c>
      <c r="AN524" s="865" t="str">
        <f>$AJ524&amp;"|"&amp;$AM524</f>
        <v>TDD Group Functions|44</v>
      </c>
      <c r="AP524" s="1136" t="str">
        <f>IF(TRIM($B524)="","",IF($AQ524=1,"Leadership",IFERROR(INDEX(Lists!$X:$X,MATCH(TRIM($K524),Lists!$W:$W,0)),IF(OR(TRIM($K524)="",LOWER(TRIM($K524))="na"),IF(TRIM($G524)="","Unassigned",TRIM($G524)),TRIM($K524)))))</f>
        <v>Leadership</v>
      </c>
      <c r="AQ524" s="865" t="b">
        <f>IF(TRIM($B524)="","",--OR(TRIM($K524)="Leadership",TRIM($J524)="Leadership"))</f>
        <v>1</v>
      </c>
      <c r="AR524" s="1136" t="str">
        <f>IF(TRIM($B524)="","",IF(IFERROR(INDEX(Lists!$AQ$2:$AQ$11,MATCH(ROW(),Lists!$AN$2:$AN$11,0)),"")&lt;&gt;"",IFERROR(INDEX(Lists!$AQ$2:$AQ$11,MATCH(ROW(),Lists!$AN$2:$AN$11,0)),""),IF(ISNUMBER(SEARCH("head of ",$C524)),"Head of Technology",IF(ISNUMBER(SEARCH("TDD BP",$C524)),"Business Partner",IF(OR(ISNUMBER(SEARCH("domain architect",$C524)),ISNUMBER(SEARCH("enterprise architect",$C524))),"Domain Architect",IF(ISNUMBER(SEARCH("delivery man",$C524)),"Delivery Manager",IF(OR(ISNUMBER(SEARCH("technology manager",$C524)),ISNUMBER(SEARCH("technology manger",$C524)),ISNUMBER(SEARCH("tech manager",$C524))),"Technology Manager","Squad")))))))</f>
        <v>Technology Manager</v>
      </c>
      <c r="AS524" s="1136" t="str">
        <f>IF(TRIM($B524)="","",IFERROR(INDEX(Lists!$AA:$AA,MATCH($AP524,Lists!$Z:$Z,0)),$AP524))</f>
        <v>Leadership</v>
      </c>
      <c r="AT524" s="1136" t="str">
        <f>IF(TRIM($B524)="","",IF(IFERROR(INDEX(Lists!$AP$2:$AP$11,MATCH(ROW(),Lists!$AN$2:$AN$11,0)),"")&lt;&gt;"",IFERROR(INDEX(Lists!$AP$2:$AP$11,MATCH(ROW(),Lists!$AN$2:$AN$11,0)),""),IF(OR(LEFT($AJ524,3)="COE",$AJ524="EGI"),$AP524,IF($AR524&lt;&gt;"Squad",$AR524,$AP524))))</f>
        <v>Technology Manager</v>
      </c>
    </row>
    <row r="525" ht="18" customHeight="1" s="866">
      <c r="A525" s="1155" t="inlineStr">
        <is>
          <t>V</t>
        </is>
      </c>
      <c r="B525" s="1156" t="inlineStr">
        <is>
          <t>Vacant</t>
        </is>
      </c>
      <c r="C525" s="1199" t="inlineStr">
        <is>
          <t>Technology Manager, Enterprise Tooling</t>
        </is>
      </c>
      <c r="D525" s="1158" t="inlineStr">
        <is>
          <t>Vacant</t>
        </is>
      </c>
      <c r="E525" s="1199" t="inlineStr">
        <is>
          <t>Head of Technology - TDD &amp; Engineering Capability Lead</t>
        </is>
      </c>
      <c r="F525" s="1157" t="inlineStr">
        <is>
          <t>TDD Group Functions</t>
        </is>
      </c>
      <c r="G525" s="1158" t="inlineStr">
        <is>
          <t xml:space="preserve">TDD &amp; Engineering </t>
        </is>
      </c>
      <c r="H525" s="1158" t="n"/>
      <c r="I525" s="1158" t="inlineStr">
        <is>
          <t>TDD</t>
        </is>
      </c>
      <c r="J525" s="1158" t="inlineStr">
        <is>
          <t>TDD</t>
        </is>
      </c>
      <c r="K525" s="1158" t="inlineStr">
        <is>
          <t>Leadership</t>
        </is>
      </c>
      <c r="L525" s="1158" t="n"/>
      <c r="M525" s="1159" t="inlineStr">
        <is>
          <t>Australia</t>
        </is>
      </c>
      <c r="N525" s="1160" t="inlineStr">
        <is>
          <t>CSB</t>
        </is>
      </c>
      <c r="O525" s="1160" t="n">
        <v>1</v>
      </c>
      <c r="P525" s="1160" t="n"/>
      <c r="Q525" s="1160" t="inlineStr">
        <is>
          <t>v</t>
        </is>
      </c>
      <c r="R525" s="1162" t="n"/>
      <c r="S525" s="1162" t="n"/>
      <c r="T525" s="1163" t="n">
        <v>203550</v>
      </c>
      <c r="U525" s="1164" t="n">
        <v>203550</v>
      </c>
      <c r="V525" s="1166" t="n">
        <v>0.14</v>
      </c>
      <c r="W525" s="1170" t="n">
        <v>0.055</v>
      </c>
      <c r="X525" s="1170" t="n">
        <v>0.12</v>
      </c>
      <c r="Y525" s="1171" t="n"/>
      <c r="Z525" s="1170" t="n">
        <v>0.04</v>
      </c>
      <c r="AA525" s="1168">
        <f>IF(TRIM($B525)="","",IF(N($AU525)&gt;0,$AU525,IF(N($S525)&gt;0,$S525*Lists!$AG$15*(1+N($Z525)),N($U525)*(1+N($V525)+N($W525)+N($X525)+N($Z525))+N($Y525))))</f>
        <v>275810.25</v>
      </c>
      <c r="AB525" s="1238" t="n"/>
      <c r="AC525" s="1238" t="n"/>
      <c r="AJ525" s="865" t="str">
        <f>IF(TRIM($B525)="","",IF(IFERROR(INDEX(Lists!$AO$2:$AO$11,MATCH(ROW(),Lists!$AN$2:$AN$11,0)),"")&lt;&gt;"",IFERROR(INDEX(Lists!$AO$2:$AO$11,MATCH(ROW(),Lists!$AN$2:$AN$11,0)),""),IFERROR(INDEX(Lists!$U:$U,MATCH(TRIM($I525),Lists!$T:$T,0)),TRIM($I525))))</f>
        <v>TDD Group Functions</v>
      </c>
      <c r="AK525" s="865" t="str">
        <f>IF(ISNUMBER(SEARCH("vacant",$B525)),"Vacant","Filled")</f>
        <v>Vacant</v>
      </c>
      <c r="AL525" s="865" t="str">
        <f>IF($M525="NZ","NZ","AU")</f>
        <v>AU</v>
      </c>
      <c r="AM525" s="865">
        <f>COUNTIF($AJ$2:$AJ525,$AJ525)</f>
        <v>45</v>
      </c>
      <c r="AN525" s="865" t="str">
        <f>$AJ525&amp;"|"&amp;$AM525</f>
        <v>TDD Group Functions|45</v>
      </c>
      <c r="AP525" s="1136" t="str">
        <f>IF(TRIM($B525)="","",IF($AQ525=1,"Leadership",IFERROR(INDEX(Lists!$X:$X,MATCH(TRIM($K525),Lists!$W:$W,0)),IF(OR(TRIM($K525)="",LOWER(TRIM($K525))="na"),IF(TRIM($G525)="","Unassigned",TRIM($G525)),TRIM($K525)))))</f>
        <v>Leadership</v>
      </c>
      <c r="AQ525" s="865" t="b">
        <f>IF(TRIM($B525)="","",--OR(TRIM($K525)="Leadership",TRIM($J525)="Leadership"))</f>
        <v>1</v>
      </c>
      <c r="AR525" s="1136" t="str">
        <f>IF(TRIM($B525)="","",IF(IFERROR(INDEX(Lists!$AQ$2:$AQ$11,MATCH(ROW(),Lists!$AN$2:$AN$11,0)),"")&lt;&gt;"",IFERROR(INDEX(Lists!$AQ$2:$AQ$11,MATCH(ROW(),Lists!$AN$2:$AN$11,0)),""),IF(ISNUMBER(SEARCH("head of ",$C525)),"Head of Technology",IF(ISNUMBER(SEARCH("TDD BP",$C525)),"Business Partner",IF(OR(ISNUMBER(SEARCH("domain architect",$C525)),ISNUMBER(SEARCH("enterprise architect",$C525))),"Domain Architect",IF(ISNUMBER(SEARCH("delivery man",$C525)),"Delivery Manager",IF(OR(ISNUMBER(SEARCH("technology manager",$C525)),ISNUMBER(SEARCH("technology manger",$C525)),ISNUMBER(SEARCH("tech manager",$C525))),"Technology Manager","Squad")))))))</f>
        <v>Technology Manager</v>
      </c>
      <c r="AS525" s="1136" t="str">
        <f>IF(TRIM($B525)="","",IFERROR(INDEX(Lists!$AA:$AA,MATCH($AP525,Lists!$Z:$Z,0)),$AP525))</f>
        <v>Leadership</v>
      </c>
      <c r="AT525" s="1136" t="str">
        <f>IF(TRIM($B525)="","",IF(IFERROR(INDEX(Lists!$AP$2:$AP$11,MATCH(ROW(),Lists!$AN$2:$AN$11,0)),"")&lt;&gt;"",IFERROR(INDEX(Lists!$AP$2:$AP$11,MATCH(ROW(),Lists!$AN$2:$AN$11,0)),""),IF(OR(LEFT($AJ525,3)="COE",$AJ525="EGI"),$AP525,IF($AR525&lt;&gt;"Squad",$AR525,$AP525))))</f>
        <v>Technology Manager</v>
      </c>
    </row>
    <row r="526" ht="18" customHeight="1" s="866">
      <c r="A526" s="1155" t="inlineStr">
        <is>
          <t>V</t>
        </is>
      </c>
      <c r="B526" s="1156" t="inlineStr">
        <is>
          <t>Vacant</t>
        </is>
      </c>
      <c r="C526" s="1199" t="inlineStr">
        <is>
          <t>Integration Specialist (ASAPIO CTRM)</t>
        </is>
      </c>
      <c r="D526" s="1158" t="inlineStr">
        <is>
          <t>Shane Ker</t>
        </is>
      </c>
      <c r="E526" s="1199" t="inlineStr">
        <is>
          <t>Technology Manager Finance Platforms</t>
        </is>
      </c>
      <c r="F526" s="1157" t="inlineStr">
        <is>
          <t>TDD Group Functions</t>
        </is>
      </c>
      <c r="G526" s="1199" t="inlineStr">
        <is>
          <t>P&amp;C, Finance &amp; Legal</t>
        </is>
      </c>
      <c r="H526" s="1158" t="inlineStr">
        <is>
          <t>Tech, Finance Platforms</t>
        </is>
      </c>
      <c r="I526" s="1158" t="inlineStr">
        <is>
          <t>Finance</t>
        </is>
      </c>
      <c r="J526" s="1158" t="inlineStr">
        <is>
          <t>AU Finance</t>
        </is>
      </c>
      <c r="K526" s="1158" t="inlineStr">
        <is>
          <t>SAP ERP</t>
        </is>
      </c>
      <c r="L526" s="1158" t="n"/>
      <c r="M526" s="1159" t="inlineStr">
        <is>
          <t>NZ</t>
        </is>
      </c>
      <c r="N526" s="1160" t="inlineStr">
        <is>
          <t>CIB</t>
        </is>
      </c>
      <c r="O526" s="1160" t="n">
        <v>1</v>
      </c>
      <c r="P526" s="1160" t="n"/>
      <c r="Q526" s="1160" t="inlineStr">
        <is>
          <t>v</t>
        </is>
      </c>
      <c r="R526" s="1162" t="n"/>
      <c r="S526" s="1162" t="n"/>
      <c r="T526" s="1163" t="n">
        <v>151950</v>
      </c>
      <c r="U526" s="1164" t="n">
        <v>139794</v>
      </c>
      <c r="V526" s="1165" t="n">
        <v>0.15</v>
      </c>
      <c r="W526" s="1162" t="n"/>
      <c r="X526" s="1166" t="n">
        <v>0.05</v>
      </c>
      <c r="Y526" s="1907" t="n">
        <v>2910</v>
      </c>
      <c r="Z526" s="1166" t="n">
        <v>0.03</v>
      </c>
      <c r="AA526" s="1168">
        <f>IF(TRIM($B526)="","",IF(N($AU526)&gt;0,$AU526,IF(N($S526)&gt;0,$S526*Lists!$AG$15*(1+N($Z526)),N($U526)*(1+N($V526)+N($W526)+N($X526)+N($Z526))+N($Y526))))</f>
        <v>174856.62</v>
      </c>
      <c r="AB526" s="1238" t="n"/>
      <c r="AC526" s="1238" t="n"/>
      <c r="AJ526" s="865" t="str">
        <f>IF(TRIM($B526)="","",IF(IFERROR(INDEX(Lists!$AO$2:$AO$11,MATCH(ROW(),Lists!$AN$2:$AN$11,0)),"")&lt;&gt;"",IFERROR(INDEX(Lists!$AO$2:$AO$11,MATCH(ROW(),Lists!$AN$2:$AN$11,0)),""),IFERROR(INDEX(Lists!$U:$U,MATCH(TRIM($I526),Lists!$T:$T,0)),TRIM($I526))))</f>
        <v>Finance</v>
      </c>
      <c r="AK526" s="865" t="str">
        <f>IF(ISNUMBER(SEARCH("vacant",$B526)),"Vacant","Filled")</f>
        <v>Vacant</v>
      </c>
      <c r="AL526" s="865" t="str">
        <f>IF($M526="NZ","NZ","AU")</f>
        <v>NZ</v>
      </c>
      <c r="AM526" s="865">
        <f>COUNTIF($AJ$2:$AJ526,$AJ526)</f>
        <v>16</v>
      </c>
      <c r="AN526" s="865" t="str">
        <f>$AJ526&amp;"|"&amp;$AM526</f>
        <v>Finance|16</v>
      </c>
      <c r="AP526" s="865" t="str">
        <f>IF(TRIM($B526)="","",IF($AQ526=1,"Leadership",IFERROR(INDEX(Lists!$X:$X,MATCH(TRIM($K526),Lists!$W:$W,0)),IF(OR(TRIM($K526)="",LOWER(TRIM($K526))="na"),IF(TRIM($G526)="","Unassigned",TRIM($G526)),TRIM($K526)))))</f>
        <v>SAP ERP</v>
      </c>
      <c r="AQ526" s="865" t="b">
        <f>IF(TRIM($B526)="","",--OR(TRIM($K526)="Leadership",TRIM($J526)="Leadership"))</f>
        <v>0</v>
      </c>
      <c r="AR526" s="1136" t="str">
        <f>IF(TRIM($B526)="","",IF(IFERROR(INDEX(Lists!$AQ$2:$AQ$11,MATCH(ROW(),Lists!$AN$2:$AN$11,0)),"")&lt;&gt;"",IFERROR(INDEX(Lists!$AQ$2:$AQ$11,MATCH(ROW(),Lists!$AN$2:$AN$11,0)),""),IF(ISNUMBER(SEARCH("head of ",$C526)),"Head of Technology",IF(ISNUMBER(SEARCH("TDD BP",$C526)),"Business Partner",IF(OR(ISNUMBER(SEARCH("domain architect",$C526)),ISNUMBER(SEARCH("enterprise architect",$C526))),"Domain Architect",IF(ISNUMBER(SEARCH("delivery man",$C526)),"Delivery Manager",IF(OR(ISNUMBER(SEARCH("technology manager",$C526)),ISNUMBER(SEARCH("technology manger",$C526)),ISNUMBER(SEARCH("tech manager",$C526))),"Technology Manager","Squad")))))))</f>
        <v>Squad</v>
      </c>
      <c r="AS526" s="1136" t="str">
        <f>IF(TRIM($B526)="","",IFERROR(INDEX(Lists!$AA:$AA,MATCH($AP526,Lists!$Z:$Z,0)),$AP526))</f>
        <v>SAP ERP</v>
      </c>
      <c r="AT526" s="1136" t="str">
        <f>IF(TRIM($B526)="","",IF(IFERROR(INDEX(Lists!$AP$2:$AP$11,MATCH(ROW(),Lists!$AN$2:$AN$11,0)),"")&lt;&gt;"",IFERROR(INDEX(Lists!$AP$2:$AP$11,MATCH(ROW(),Lists!$AN$2:$AN$11,0)),""),IF(OR(LEFT($AJ526,3)="COE",$AJ526="EGI"),$AP526,IF($AR526&lt;&gt;"Squad",$AR526,$AP526))))</f>
        <v>SAP ERP</v>
      </c>
    </row>
    <row r="527" ht="18" customHeight="1" s="866">
      <c r="A527" s="1155" t="n">
        <v>99999101446</v>
      </c>
      <c r="B527" s="1156" t="inlineStr">
        <is>
          <t>Rob Struthers</t>
        </is>
      </c>
      <c r="C527" s="1156" t="inlineStr">
        <is>
          <t>Engineer - Modern Workplaces</t>
        </is>
      </c>
      <c r="D527" s="1158" t="inlineStr">
        <is>
          <t>Vacant</t>
        </is>
      </c>
      <c r="E527" s="1156" t="inlineStr">
        <is>
          <t>Technology Manager, Enterprise Tooling</t>
        </is>
      </c>
      <c r="F527" s="1157" t="inlineStr">
        <is>
          <t>TDD Group Functions</t>
        </is>
      </c>
      <c r="G527" s="1158" t="inlineStr">
        <is>
          <t xml:space="preserve">TDD &amp; Engineering </t>
        </is>
      </c>
      <c r="H527" s="1156" t="inlineStr">
        <is>
          <t>Workplace &amp; Enterprise Tooling</t>
        </is>
      </c>
      <c r="I527" s="1156" t="inlineStr">
        <is>
          <t>TDD</t>
        </is>
      </c>
      <c r="J527" s="1158" t="inlineStr">
        <is>
          <t>TDD</t>
        </is>
      </c>
      <c r="K527" s="1158" t="inlineStr">
        <is>
          <t>Workplace &amp; Enterprise Tooling</t>
        </is>
      </c>
      <c r="L527" s="1158" t="n"/>
      <c r="M527" s="1159" t="inlineStr">
        <is>
          <t>NZ</t>
        </is>
      </c>
      <c r="N527" s="1160" t="inlineStr">
        <is>
          <t>CIA</t>
        </is>
      </c>
      <c r="O527" s="1161" t="n">
        <v>1</v>
      </c>
      <c r="P527" s="1160" t="n"/>
      <c r="Q527" s="1161" t="inlineStr">
        <is>
          <t>Permanent - Full Time</t>
        </is>
      </c>
      <c r="R527" s="1162" t="n"/>
      <c r="S527" s="1162" t="n"/>
      <c r="T527" s="1163" t="n">
        <v>124390</v>
      </c>
      <c r="U527" s="1164" t="n">
        <v>114438.8</v>
      </c>
      <c r="V527" s="1165" t="n">
        <v>0.15</v>
      </c>
      <c r="W527" s="1162" t="n"/>
      <c r="X527" s="1166" t="n">
        <v>0.05</v>
      </c>
      <c r="Y527" s="1907" t="n">
        <v>2910</v>
      </c>
      <c r="Z527" s="1166" t="n">
        <v>0.03</v>
      </c>
      <c r="AA527" s="1168">
        <f>IF(TRIM($B527)="","",IF(N($AU527)&gt;0,$AU527,IF(N($S527)&gt;0,$S527*Lists!$AG$15*(1+N($Z527)),N($U527)*(1+N($V527)+N($W527)+N($X527)+N($Z527))+N($Y527))))</f>
        <v>143669.724</v>
      </c>
      <c r="AB527" s="1238" t="n"/>
      <c r="AC527" s="1238" t="n"/>
      <c r="AJ527" s="865" t="str">
        <f>IF(TRIM($B527)="","",IF(IFERROR(INDEX(Lists!$AO$2:$AO$11,MATCH(ROW(),Lists!$AN$2:$AN$11,0)),"")&lt;&gt;"",IFERROR(INDEX(Lists!$AO$2:$AO$11,MATCH(ROW(),Lists!$AN$2:$AN$11,0)),""),IFERROR(INDEX(Lists!$U:$U,MATCH(TRIM($I527),Lists!$T:$T,0)),TRIM($I527))))</f>
        <v>TDD Group Functions</v>
      </c>
      <c r="AK527" s="865" t="str">
        <f>IF(ISNUMBER(SEARCH("vacant",$B527)),"Vacant","Filled")</f>
        <v>Filled</v>
      </c>
      <c r="AL527" s="865" t="str">
        <f>IF($M527="NZ","NZ","AU")</f>
        <v>NZ</v>
      </c>
      <c r="AM527" s="865">
        <f>COUNTIF($AJ$2:$AJ527,$AJ527)</f>
        <v>46</v>
      </c>
      <c r="AN527" s="865" t="str">
        <f>$AJ527&amp;"|"&amp;$AM527</f>
        <v>TDD Group Functions|46</v>
      </c>
      <c r="AP527" s="865" t="str">
        <f>IF(TRIM($B527)="","",IF($AQ527=1,"Leadership",IFERROR(INDEX(Lists!$X:$X,MATCH(TRIM($K527),Lists!$W:$W,0)),IF(OR(TRIM($K527)="",LOWER(TRIM($K527))="na"),IF(TRIM($G527)="","Unassigned",TRIM($G527)),TRIM($K527)))))</f>
        <v>Workplace &amp; Enterprise Tooling</v>
      </c>
      <c r="AQ527" s="865" t="b">
        <f>IF(TRIM($B527)="","",--OR(TRIM($K527)="Leadership",TRIM($J527)="Leadership"))</f>
        <v>0</v>
      </c>
      <c r="AR527" s="1136" t="str">
        <f>IF(TRIM($B527)="","",IF(IFERROR(INDEX(Lists!$AQ$2:$AQ$11,MATCH(ROW(),Lists!$AN$2:$AN$11,0)),"")&lt;&gt;"",IFERROR(INDEX(Lists!$AQ$2:$AQ$11,MATCH(ROW(),Lists!$AN$2:$AN$11,0)),""),IF(ISNUMBER(SEARCH("head of ",$C527)),"Head of Technology",IF(ISNUMBER(SEARCH("TDD BP",$C527)),"Business Partner",IF(OR(ISNUMBER(SEARCH("domain architect",$C527)),ISNUMBER(SEARCH("enterprise architect",$C527))),"Domain Architect",IF(ISNUMBER(SEARCH("delivery man",$C527)),"Delivery Manager",IF(OR(ISNUMBER(SEARCH("technology manager",$C527)),ISNUMBER(SEARCH("technology manger",$C527)),ISNUMBER(SEARCH("tech manager",$C527))),"Technology Manager","Squad")))))))</f>
        <v>Squad</v>
      </c>
      <c r="AS527" s="1136" t="str">
        <f>IF(TRIM($B527)="","",IFERROR(INDEX(Lists!$AA:$AA,MATCH($AP527,Lists!$Z:$Z,0)),$AP527))</f>
        <v>Workplace &amp; Enterprise Tooling</v>
      </c>
      <c r="AT527" s="1136" t="str">
        <f>IF(TRIM($B527)="","",IF(IFERROR(INDEX(Lists!$AP$2:$AP$11,MATCH(ROW(),Lists!$AN$2:$AN$11,0)),"")&lt;&gt;"",IFERROR(INDEX(Lists!$AP$2:$AP$11,MATCH(ROW(),Lists!$AN$2:$AN$11,0)),""),IF(OR(LEFT($AJ527,3)="COE",$AJ527="EGI"),$AP527,IF($AR527&lt;&gt;"Squad",$AR527,$AP527))))</f>
        <v>Workplace &amp; Enterprise Tooling</v>
      </c>
    </row>
    <row r="528" ht="18" customHeight="1" s="866">
      <c r="A528" s="1155" t="inlineStr">
        <is>
          <t>c</t>
        </is>
      </c>
      <c r="B528" s="1156" t="inlineStr">
        <is>
          <t>Jens Tom</t>
        </is>
      </c>
      <c r="C528" s="1156" t="inlineStr">
        <is>
          <t>SAP Solution Architect</t>
        </is>
      </c>
      <c r="D528" s="1156" t="inlineStr">
        <is>
          <t>Shane Ker</t>
        </is>
      </c>
      <c r="E528" s="1156" t="inlineStr">
        <is>
          <t>Solution Architect SAP</t>
        </is>
      </c>
      <c r="F528" s="1157" t="inlineStr">
        <is>
          <t>TDD Group Functions</t>
        </is>
      </c>
      <c r="G528" s="1158" t="n"/>
      <c r="H528" s="1158" t="n"/>
      <c r="I528" s="1158" t="inlineStr">
        <is>
          <t>Finance</t>
        </is>
      </c>
      <c r="J528" s="1158" t="n"/>
      <c r="K528" s="1156" t="n"/>
      <c r="L528" s="1158" t="n"/>
      <c r="M528" s="1159" t="n"/>
      <c r="N528" s="1162" t="inlineStr">
        <is>
          <t>na</t>
        </is>
      </c>
      <c r="O528" s="1162" t="n">
        <v>1</v>
      </c>
      <c r="P528" s="1162" t="n"/>
      <c r="Q528" s="1162" t="inlineStr">
        <is>
          <t>cxc</t>
        </is>
      </c>
      <c r="R528" s="1162" t="inlineStr">
        <is>
          <t>daily</t>
        </is>
      </c>
      <c r="S528" s="1162" t="n">
        <v>1600</v>
      </c>
      <c r="T528" s="1163" t="n">
        <v>0</v>
      </c>
      <c r="U528" s="1164" t="n"/>
      <c r="V528" s="1166" t="n"/>
      <c r="W528" s="1170" t="n"/>
      <c r="X528" s="1170" t="n"/>
      <c r="Y528" s="1171" t="n"/>
      <c r="Z528" s="1170" t="n"/>
      <c r="AA528" s="1173">
        <f>IF(TRIM($B528)="","",IF(N($AU528)&gt;0,$AU528,IF(N($S528)&gt;0,$S528*Lists!$AG$15*(1+N($Z528)),N($U528)*(1+N($V528)+N($W528)+N($X528)+N($Z528))+N($Y528))))</f>
        <v>355200</v>
      </c>
      <c r="AB528" s="1238" t="n"/>
      <c r="AC528" s="1238" t="n"/>
      <c r="AJ528" s="865" t="str">
        <f>IF(TRIM($B528)="","",IF(IFERROR(INDEX(Lists!$AO$2:$AO$11,MATCH(ROW(),Lists!$AN$2:$AN$11,0)),"")&lt;&gt;"",IFERROR(INDEX(Lists!$AO$2:$AO$11,MATCH(ROW(),Lists!$AN$2:$AN$11,0)),""),IFERROR(INDEX(Lists!$U:$U,MATCH(TRIM($I528),Lists!$T:$T,0)),TRIM($I528))))</f>
        <v>Finance</v>
      </c>
      <c r="AK528" s="865" t="str">
        <f>IF(ISNUMBER(SEARCH("vacant",$B528)),"Vacant","Filled")</f>
        <v>Filled</v>
      </c>
      <c r="AL528" s="865" t="str">
        <f>IF($M528="NZ","NZ","AU")</f>
        <v>AU</v>
      </c>
      <c r="AM528" s="865">
        <f>COUNTIF($AJ$2:$AJ528,$AJ528)</f>
        <v>17</v>
      </c>
      <c r="AN528" s="865" t="str">
        <f>$AJ528&amp;"|"&amp;$AM528</f>
        <v>Finance|17</v>
      </c>
      <c r="AP528" s="865" t="str">
        <f>IF(TRIM($B528)="","",IF($AQ528=1,"Leadership",IFERROR(INDEX(Lists!$X:$X,MATCH(TRIM($K528),Lists!$W:$W,0)),IF(OR(TRIM($K528)="",LOWER(TRIM($K528))="na"),IF(TRIM($G528)="","Unassigned",TRIM($G528)),TRIM($K528)))))</f>
        <v>Unassigned</v>
      </c>
      <c r="AQ528" s="865" t="b">
        <f>IF(TRIM($B528)="","",--OR(TRIM($K528)="Leadership",TRIM($J528)="Leadership"))</f>
        <v>0</v>
      </c>
      <c r="AR528" s="1136" t="str">
        <f>IF(TRIM($B528)="","",IF(IFERROR(INDEX(Lists!$AQ$2:$AQ$11,MATCH(ROW(),Lists!$AN$2:$AN$11,0)),"")&lt;&gt;"",IFERROR(INDEX(Lists!$AQ$2:$AQ$11,MATCH(ROW(),Lists!$AN$2:$AN$11,0)),""),IF(ISNUMBER(SEARCH("head of ",$C528)),"Head of Technology",IF(ISNUMBER(SEARCH("TDD BP",$C528)),"Business Partner",IF(OR(ISNUMBER(SEARCH("domain architect",$C528)),ISNUMBER(SEARCH("enterprise architect",$C528))),"Domain Architect",IF(ISNUMBER(SEARCH("delivery man",$C528)),"Delivery Manager",IF(OR(ISNUMBER(SEARCH("technology manager",$C528)),ISNUMBER(SEARCH("technology manger",$C528)),ISNUMBER(SEARCH("tech manager",$C528))),"Technology Manager","Squad")))))))</f>
        <v>Squad</v>
      </c>
      <c r="AS528" s="1136" t="str">
        <f>IF(TRIM($B528)="","",IFERROR(INDEX(Lists!$AA:$AA,MATCH($AP528,Lists!$Z:$Z,0)),$AP528))</f>
        <v>Unassigned</v>
      </c>
      <c r="AT528" s="1136" t="str">
        <f>IF(TRIM($B528)="","",IF(IFERROR(INDEX(Lists!$AP$2:$AP$11,MATCH(ROW(),Lists!$AN$2:$AN$11,0)),"")&lt;&gt;"",IFERROR(INDEX(Lists!$AP$2:$AP$11,MATCH(ROW(),Lists!$AN$2:$AN$11,0)),""),IF(OR(LEFT($AJ528,3)="COE",$AJ528="EGI"),$AP528,IF($AR528&lt;&gt;"Squad",$AR528,$AP528))))</f>
        <v>SAP ERP</v>
      </c>
    </row>
  </sheetData>
  <autoFilter ref="A1:AH528">
    <sortState ref="A2:AH528">
      <sortCondition ref="A2:A528" customList=""/>
    </sortState>
  </autoFilter>
  <printOptions horizontalCentered="0" verticalCentered="0" headings="0" gridLines="0" gridLinesSet="1"/>
  <pageMargins left="0.75" right="0.75" top="1" bottom="1" header="0.5" footer="0.511811023622047"/>
  <pageSetup orientation="landscape" paperSize="1" scale="100" fitToHeight="0" fitToWidth="1" pageOrder="downThenOver" blackAndWhite="0" draft="0" horizontalDpi="300" verticalDpi="300" copies="1"/>
  <headerFooter differentOddEven="0" differentFirst="0">
    <oddHeader>&amp;L&amp;"Aptos,Regular"&amp;1  Restricted#_x000d_</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filterMode="0">
    <tabColor rgb="FF1F4E79"/>
    <outlinePr summaryBelow="1" summaryRight="1"/>
    <pageSetUpPr fitToPage="0"/>
  </sheetPr>
  <dimension ref="B2:B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4.25" zeroHeight="0" outlineLevelRow="0"/>
  <cols>
    <col width="2" customWidth="1" style="865" min="1" max="1"/>
    <col width="60" customWidth="1" style="865" min="2" max="2"/>
  </cols>
  <sheetData>
    <row r="2" ht="21" customHeight="1" s="866">
      <c r="B2" s="1313" t="inlineStr">
        <is>
          <t>PORTFOLIOS  &gt;&gt;&gt;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1F4E79"/>
    <outlinePr summaryBelow="1" summaryRight="1"/>
    <pageSetUpPr fitToPage="1"/>
  </sheetPr>
  <dimension ref="A1:O95"/>
  <sheetViews>
    <sheetView showFormulas="0" showGridLines="0" showRowColHeaders="1" showZeros="1" rightToLeft="0" tabSelected="0" showOutlineSymbols="1" defaultGridColor="1" view="normal" topLeftCell="A1" colorId="64" zoomScale="110" zoomScaleNormal="110" zoomScalePageLayoutView="100" workbookViewId="0">
      <selection pane="topLeft" activeCell="E6" activeCellId="0" sqref="E6"/>
    </sheetView>
  </sheetViews>
  <sheetFormatPr baseColWidth="8" defaultColWidth="8.54296875" defaultRowHeight="14.25" zeroHeight="0" outlineLevelRow="0"/>
  <cols>
    <col width="2" customWidth="1" style="865" min="1" max="1"/>
    <col width="40" customWidth="1" style="865" min="2" max="2"/>
    <col width="26" customWidth="1" style="865" min="3" max="3"/>
    <col width="11" customWidth="1" style="865" min="4" max="4"/>
    <col width="18" customWidth="1" style="865" min="5" max="5"/>
    <col width="10" customWidth="1" style="865" min="6" max="6"/>
    <col width="15" customWidth="1" style="865" min="7" max="7"/>
    <col width="34" customWidth="1" style="865" min="8" max="8"/>
    <col width="14" customWidth="1" style="865" min="9" max="9"/>
    <col width="24" customWidth="1" style="865" min="10" max="10"/>
    <col width="22" customWidth="1" style="865" min="11" max="11"/>
    <col width="30" customWidth="1" style="865" min="12" max="12"/>
  </cols>
  <sheetData>
    <row r="1" ht="14.25" customHeight="1" s="866">
      <c r="B1" s="865" t="n"/>
      <c r="C1" s="865" t="n"/>
      <c r="D1" s="865" t="n"/>
      <c r="E1" s="865" t="n"/>
      <c r="F1" s="1314" t="n"/>
      <c r="G1" s="865" t="n"/>
      <c r="H1" s="865" t="n"/>
      <c r="I1" s="865" t="n"/>
      <c r="J1" s="865" t="n"/>
      <c r="K1" s="865" t="n"/>
      <c r="L1" s="865" t="n"/>
      <c r="M1" s="865" t="n"/>
      <c r="N1" s="865" t="n"/>
      <c r="O1" s="865" t="n"/>
    </row>
    <row r="2" ht="21" customHeight="1" s="866">
      <c r="B2" s="1315" t="inlineStr">
        <is>
          <t>Ampol Retail</t>
        </is>
      </c>
      <c r="C2" s="865" t="n"/>
      <c r="D2" s="865" t="n"/>
      <c r="E2" s="865" t="n"/>
      <c r="F2" s="1314" t="n"/>
      <c r="G2" s="865" t="n"/>
      <c r="H2" s="865" t="n"/>
      <c r="I2" s="865" t="n"/>
      <c r="J2" s="865" t="n"/>
      <c r="K2" s="865" t="n"/>
      <c r="L2" s="865" t="n"/>
      <c r="M2" s="865" t="n"/>
      <c r="N2" s="865" t="n"/>
      <c r="O2" s="865" t="n"/>
    </row>
    <row r="3" ht="14.25" customHeight="1" s="866">
      <c r="B3" s="876" t="n"/>
      <c r="C3" s="876" t="n"/>
      <c r="D3" s="876" t="n"/>
      <c r="E3" s="876" t="n"/>
      <c r="F3" s="1314" t="n"/>
      <c r="G3" s="876" t="n"/>
      <c r="H3" s="876" t="n"/>
      <c r="I3" s="876" t="n"/>
      <c r="J3" s="876" t="n"/>
      <c r="K3" s="876" t="n"/>
      <c r="L3" s="865" t="n"/>
      <c r="M3" s="865" t="n"/>
      <c r="N3" s="865" t="n"/>
      <c r="O3" s="865" t="n"/>
    </row>
    <row r="4" ht="19" customHeight="1" s="866">
      <c r="B4" s="1316" t="inlineStr">
        <is>
          <t>Portfolio Summary</t>
        </is>
      </c>
      <c r="C4" s="1003" t="n"/>
      <c r="D4" s="1003" t="n"/>
      <c r="E4" s="1004" t="n"/>
      <c r="F4" s="1849" t="n"/>
      <c r="G4" s="876" t="n"/>
      <c r="H4" s="1317" t="inlineStr">
        <is>
          <t>Budget vs TDD Cost</t>
        </is>
      </c>
      <c r="I4" s="1318" t="n"/>
      <c r="J4" s="876" t="n"/>
      <c r="K4" s="865" t="n"/>
      <c r="L4" s="865" t="n"/>
      <c r="M4" s="865" t="n"/>
      <c r="N4" s="865" t="n"/>
      <c r="O4" s="865" t="n"/>
    </row>
    <row r="5" ht="31.5" customHeight="1" s="866">
      <c r="B5" s="1319" t="inlineStr">
        <is>
          <t>Cost</t>
        </is>
      </c>
      <c r="C5" s="1320" t="inlineStr">
        <is>
          <t>TDD AU ($m)</t>
        </is>
      </c>
      <c r="D5" s="1320" t="inlineStr">
        <is>
          <t>TDD NZ ($m)</t>
        </is>
      </c>
      <c r="E5" s="1320" t="inlineStr">
        <is>
          <t>Other ($m)</t>
        </is>
      </c>
      <c r="F5" s="1320" t="inlineStr">
        <is>
          <t>Total ($m)</t>
        </is>
      </c>
      <c r="G5" s="865" t="n"/>
      <c r="H5" s="1321" t="inlineStr">
        <is>
          <t>TDD Budget Allocation (people - 0.2 Data Config)</t>
        </is>
      </c>
      <c r="I5" s="1850">
        <f>'0.2 Data Config'!$E$11</f>
        <v>5.5</v>
      </c>
      <c r="J5" s="876" t="n"/>
      <c r="K5" s="865" t="n"/>
      <c r="L5" s="865" t="n"/>
      <c r="M5" s="865" t="n"/>
      <c r="N5" s="865" t="n"/>
      <c r="O5" s="865" t="n"/>
    </row>
    <row r="6" ht="14.25" customHeight="1" s="866">
      <c r="B6" s="1012" t="inlineStr">
        <is>
          <t>Portfolio Overhead (see 0.2 Data Config)</t>
        </is>
      </c>
      <c r="C6" s="1323">
        <f>IF('0.2 Data Config'!$D$11&gt;'0.2 Data Config'!$C$11,0,'0.2 Data Config'!$L$10)</f>
        <v>0.7975</v>
      </c>
      <c r="D6" s="1323">
        <f>IF('0.2 Data Config'!$D$11&gt;'0.2 Data Config'!$C$11,'0.2 Data Config'!$L$10,0)</f>
        <v>0</v>
      </c>
      <c r="E6" s="1323">
        <f>0</f>
        <v>0</v>
      </c>
      <c r="F6" s="1323">
        <f>C6+D6+E6</f>
        <v>0.7975</v>
      </c>
      <c r="G6" s="865" t="n"/>
      <c r="H6" s="1324" t="inlineStr">
        <is>
          <t>AU Budget ($m)</t>
        </is>
      </c>
      <c r="I6" s="1325">
        <f>'0.2 Data Config'!$C$11</f>
        <v>5.5</v>
      </c>
      <c r="J6" s="876" t="n"/>
      <c r="K6" s="865" t="n"/>
      <c r="L6" s="865" t="n"/>
      <c r="M6" s="865" t="n"/>
      <c r="N6" s="865" t="n"/>
      <c r="O6" s="865" t="n"/>
    </row>
    <row r="7" ht="14.25" customHeight="1" s="866">
      <c r="B7" s="1012" t="inlineStr">
        <is>
          <t>Platform Overheads</t>
        </is>
      </c>
      <c r="C7" s="1323">
        <f>IF('0.2 Data Config'!$D$11&gt;'0.2 Data Config'!$C$11,0,SUM(I29,I36,I43,I49,I55,I61))</f>
        <v>0.66</v>
      </c>
      <c r="D7" s="1323">
        <f>IF('0.2 Data Config'!$D$11&gt;'0.2 Data Config'!$C$11,SUM(I29,I36,I43,I49,I55,I61),0)</f>
        <v>0</v>
      </c>
      <c r="E7" s="1323">
        <f>0</f>
        <v>0</v>
      </c>
      <c r="F7" s="1323">
        <f>C7+D7+E7</f>
        <v>0.66</v>
      </c>
      <c r="G7" s="865" t="n"/>
      <c r="H7" s="1326" t="inlineStr">
        <is>
          <t>NZ Budget ($m)</t>
        </is>
      </c>
      <c r="I7" s="1327">
        <f>'0.2 Data Config'!$D$11</f>
        <v>0</v>
      </c>
      <c r="J7" s="876" t="n"/>
      <c r="K7" s="865" t="n"/>
      <c r="L7" s="865" t="n"/>
      <c r="M7" s="865" t="n"/>
      <c r="N7" s="865" t="n"/>
      <c r="O7" s="865" t="n"/>
    </row>
    <row r="8" ht="14.25" customHeight="1" s="866">
      <c r="B8" s="1012" t="inlineStr">
        <is>
          <t>Squad Support Costs</t>
        </is>
      </c>
      <c r="C8" s="1323">
        <f>SUMIF($F$25:$F$28,"AU",$I$25:$I$28)+SUMIF($F$34:$F$34,"AU",$I$34:$I$34)+SUMIF($F$48:$F$48,"AU",$I$48:$I$48)+SUMIF($F$54:$F$54,"AU",$I$54:$I$54)+SUMIF($F$60:$F$60,"AU",$I$60:$I$60)+SUMIF($F$66:$F$66,"AU",$I$66:$I$66)</f>
        <v>4.622</v>
      </c>
      <c r="D8" s="1323">
        <f>SUMIF($F$25:$F$28,"NZ",$I$25:$I$28)+SUMIF($F$34:$F$34,"NZ",$I$34:$I$34)+SUMIF($F$48:$F$48,"NZ",$I$48:$I$48)+SUMIF($F$54:$F$54,"NZ",$I$54:$I$54)+SUMIF($F$60:$F$60,"NZ",$I$60:$I$60)+SUMIF($F$66:$F$66,"NZ",$I$66:$I$66)</f>
        <v>0</v>
      </c>
      <c r="E8" s="1323">
        <f>SUM($J$25:$J$28)+SUM($J$34:$J$34)+SUM($J$48:$J$48)+SUM($J$54:$J$54)+SUM($J$60:$J$60)+SUM($J$66:$J$66)</f>
        <v>8.182089</v>
      </c>
      <c r="F8" s="1323">
        <f>C8+D8+E8</f>
        <v>12.804089</v>
      </c>
      <c r="G8" s="865" t="n"/>
      <c r="H8" s="1328" t="inlineStr">
        <is>
          <t>AU over/(under) budget ($m)</t>
        </is>
      </c>
      <c r="I8" s="1329">
        <f>C9-I6</f>
        <v>0.5795</v>
      </c>
      <c r="J8" s="876" t="n"/>
      <c r="K8" s="865" t="n"/>
      <c r="L8" s="865" t="n"/>
      <c r="M8" s="865" t="n"/>
      <c r="N8" s="865" t="n"/>
      <c r="O8" s="865" t="n"/>
    </row>
    <row r="9" ht="14.25" customHeight="1" s="866">
      <c r="B9" s="1330" t="inlineStr">
        <is>
          <t>Total Cost</t>
        </is>
      </c>
      <c r="C9" s="1331">
        <f>SUM(C6:C8)</f>
        <v>6.0795</v>
      </c>
      <c r="D9" s="1331">
        <f>SUM(D6:D8)</f>
        <v>0</v>
      </c>
      <c r="E9" s="1331">
        <f>SUM(E6:E8)</f>
        <v>8.182089</v>
      </c>
      <c r="F9" s="1331">
        <f>SUM(F6:F8)</f>
        <v>14.261589</v>
      </c>
      <c r="G9" s="865" t="n"/>
      <c r="H9" s="1332" t="inlineStr">
        <is>
          <t>NZ over/(under) budget ($m)</t>
        </is>
      </c>
      <c r="I9" s="1333">
        <f>D9-I7</f>
        <v>0</v>
      </c>
      <c r="J9" s="876" t="n"/>
      <c r="K9" s="865" t="n"/>
      <c r="L9" s="865" t="n"/>
      <c r="M9" s="865" t="n"/>
      <c r="N9" s="865" t="n"/>
      <c r="O9" s="865" t="n"/>
    </row>
    <row r="10" ht="14.25" customHeight="1" s="866">
      <c r="B10" s="865" t="n"/>
      <c r="C10" s="865" t="n"/>
      <c r="D10" s="865" t="n"/>
      <c r="E10" s="865" t="n"/>
      <c r="F10" s="865" t="n"/>
      <c r="G10" s="865" t="n"/>
      <c r="H10" s="1334" t="inlineStr">
        <is>
          <t>TDD over/(under) budget ($m)</t>
        </is>
      </c>
      <c r="I10" s="1335">
        <f>I8+I9</f>
        <v>0.5795</v>
      </c>
      <c r="J10" s="876" t="n"/>
      <c r="K10" s="865" t="n"/>
      <c r="L10" s="865" t="n"/>
      <c r="M10" s="865" t="n"/>
      <c r="N10" s="865" t="n"/>
      <c r="O10" s="865" t="n"/>
    </row>
    <row r="11" ht="14.25" customFormat="1" customHeight="1" s="865">
      <c r="B11" s="1336" t="inlineStr">
        <is>
          <t>Funding position ($m)</t>
        </is>
      </c>
      <c r="C11" s="1337" t="n"/>
      <c r="H11" s="876" t="n"/>
      <c r="I11" s="876" t="n"/>
      <c r="J11" s="876" t="n"/>
    </row>
    <row r="12" ht="14.25" customHeight="1" s="866">
      <c r="B12" s="1338" t="inlineStr">
        <is>
          <t>Over/(under) TDD budget</t>
        </is>
      </c>
      <c r="C12" s="1339">
        <f>$I$8+$I$9</f>
        <v>0.5795</v>
      </c>
      <c r="D12" s="876" t="n"/>
      <c r="E12" s="876" t="n"/>
      <c r="F12" s="1314" t="n"/>
      <c r="G12" s="876" t="n"/>
      <c r="H12" s="1316" t="inlineStr">
        <is>
          <t>Other funding</t>
        </is>
      </c>
      <c r="I12" s="1914" t="n"/>
      <c r="J12" s="1914" t="n"/>
      <c r="K12" s="1915" t="n"/>
      <c r="L12" s="865" t="n"/>
      <c r="M12" s="865" t="n"/>
      <c r="N12" s="865" t="n"/>
      <c r="O12" s="865" t="n"/>
    </row>
    <row r="13" ht="31.5" customHeight="1" s="866">
      <c r="B13" s="1342" t="inlineStr">
        <is>
          <t>Still to fund outside TDD</t>
        </is>
      </c>
      <c r="C13" s="1343">
        <f>$J21</f>
        <v>-0.00200000000000022</v>
      </c>
      <c r="D13" s="865" t="n"/>
      <c r="E13" s="865" t="n"/>
      <c r="F13" s="1314" t="n"/>
      <c r="G13" s="876" t="n"/>
      <c r="H13" s="1319" t="inlineStr">
        <is>
          <t>Budget line</t>
        </is>
      </c>
      <c r="I13" s="1319" t="inlineStr">
        <is>
          <t>Budget ($m)</t>
        </is>
      </c>
      <c r="J13" s="1319" t="inlineStr">
        <is>
          <t>Amount that can be allocated to people</t>
        </is>
      </c>
      <c r="K13" s="1319" t="inlineStr">
        <is>
          <t>Remaining for non-people ($m)</t>
        </is>
      </c>
      <c r="L13" s="865" t="n"/>
      <c r="M13" s="865" t="n"/>
      <c r="N13" s="865" t="n"/>
      <c r="O13" s="865" t="n"/>
    </row>
    <row r="14" ht="14.25" customHeight="1" s="866">
      <c r="B14" s="1344" t="inlineStr">
        <is>
          <t>Total to fund</t>
        </is>
      </c>
      <c r="C14" s="1345">
        <f>$C12+$C13</f>
        <v>0.577499999999999</v>
      </c>
      <c r="D14" s="865" t="n"/>
      <c r="E14" s="865" t="n"/>
      <c r="F14" s="1314" t="n"/>
      <c r="G14" s="876" t="n"/>
      <c r="H14" s="1012" t="inlineStr">
        <is>
          <t>Retail Lights On</t>
        </is>
      </c>
      <c r="I14" s="1851">
        <f>N('0.1 Budget Table (Fin)'!L9)</f>
        <v>13.9</v>
      </c>
      <c r="J14" s="1026">
        <f>N('0.1 Budget Table (Fin)'!$I$20)</f>
        <v>3.4</v>
      </c>
      <c r="K14" s="1014">
        <f>IFERROR(I14-J14,0)</f>
        <v>10.5</v>
      </c>
      <c r="L14" s="865" t="n"/>
      <c r="M14" s="865" t="n"/>
      <c r="N14" s="865" t="n"/>
      <c r="O14" s="865" t="n"/>
    </row>
    <row r="15" ht="14.25" customHeight="1" s="866">
      <c r="B15" s="876" t="n"/>
      <c r="C15" s="876" t="n"/>
      <c r="D15" s="876" t="n"/>
      <c r="E15" s="876" t="n"/>
      <c r="F15" s="1314" t="n"/>
      <c r="G15" s="876" t="n"/>
      <c r="H15" s="1012" t="inlineStr">
        <is>
          <t>OpEx Initiatives</t>
        </is>
      </c>
      <c r="I15" s="1830">
        <f>N('0.1 Budget Table (Fin)'!N9)</f>
        <v>1.3</v>
      </c>
      <c r="J15" s="1852" t="n">
        <v>0</v>
      </c>
      <c r="K15" s="1014">
        <f>IFERROR(I15-J15,0)</f>
        <v>1.3</v>
      </c>
      <c r="L15" s="865" t="n"/>
      <c r="M15" s="865" t="n"/>
      <c r="N15" s="865" t="n"/>
      <c r="O15" s="865" t="n"/>
    </row>
    <row r="16" ht="14.25" customHeight="1" s="866">
      <c r="B16" s="865" t="n"/>
      <c r="C16" s="865" t="n"/>
      <c r="D16" s="876" t="n"/>
      <c r="E16" s="876" t="n"/>
      <c r="F16" s="1314" t="n"/>
      <c r="G16" s="876" t="n"/>
      <c r="H16" s="1012" t="inlineStr">
        <is>
          <t>Retail CapEx</t>
        </is>
      </c>
      <c r="I16" s="1830">
        <f>N('0.1 Budget Table (Fin)'!P9)</f>
        <v>11.8</v>
      </c>
      <c r="J16" s="1852" t="n">
        <v>5.26</v>
      </c>
      <c r="K16" s="1014">
        <f>IFERROR(I16-J16,0)</f>
        <v>6.54</v>
      </c>
      <c r="L16" s="865" t="n"/>
      <c r="M16" s="865" t="n"/>
      <c r="N16" s="865" t="n"/>
      <c r="O16" s="865" t="n"/>
    </row>
    <row r="17" ht="14.25" customHeight="1" s="866">
      <c r="A17" s="865" t="n"/>
      <c r="B17" s="865" t="n"/>
      <c r="C17" s="865" t="n"/>
      <c r="D17" s="876" t="n"/>
      <c r="E17" s="876" t="n"/>
      <c r="F17" s="1314" t="n"/>
      <c r="G17" s="876" t="n"/>
      <c r="H17" s="1012" t="inlineStr">
        <is>
          <t>Significant Items</t>
        </is>
      </c>
      <c r="I17" s="1830">
        <f>N('0.1 Budget Table (Fin)'!O9)</f>
        <v>6.8</v>
      </c>
      <c r="J17" s="1830">
        <f>J48</f>
        <v>1.404089</v>
      </c>
      <c r="K17" s="1014">
        <f>IFERROR(I17-J17,0)</f>
        <v>5.395911</v>
      </c>
      <c r="L17" s="865" t="n"/>
      <c r="M17" s="865" t="n"/>
      <c r="N17" s="865" t="n"/>
      <c r="O17" s="865" t="n"/>
    </row>
    <row r="18" ht="14.25" customHeight="1" s="866">
      <c r="A18" s="865" t="n"/>
      <c r="B18" s="865" t="n"/>
      <c r="C18" s="865" t="n"/>
      <c r="D18" s="876" t="n"/>
      <c r="E18" s="1350" t="n"/>
      <c r="F18" s="1314" t="n"/>
      <c r="G18" s="876" t="n"/>
      <c r="H18" s="1012" t="inlineStr">
        <is>
          <t>Significant Items EGI</t>
        </is>
      </c>
      <c r="I18" s="1830" t="n"/>
      <c r="J18" s="1830">
        <f>J66</f>
        <v>1.52</v>
      </c>
      <c r="K18" s="1014" t="n"/>
      <c r="L18" s="865" t="n"/>
      <c r="M18" s="865" t="n"/>
      <c r="N18" s="865" t="n"/>
      <c r="O18" s="865" t="n"/>
    </row>
    <row r="19" ht="14.25" customHeight="1" s="866">
      <c r="A19" s="865" t="n"/>
      <c r="B19" s="865" t="n"/>
      <c r="C19" s="865" t="n"/>
      <c r="D19" s="876" t="n"/>
      <c r="E19" s="876" t="n"/>
      <c r="F19" s="1314" t="n"/>
      <c r="G19" s="876" t="n"/>
      <c r="H19" s="1012" t="inlineStr">
        <is>
          <t>Total applied</t>
        </is>
      </c>
      <c r="I19" s="1830" t="n"/>
      <c r="J19" s="1830">
        <f>SUM(J14:J18)</f>
        <v>11.584089</v>
      </c>
      <c r="K19" s="1014" t="n"/>
      <c r="L19" s="865" t="n"/>
      <c r="M19" s="865" t="n"/>
      <c r="N19" s="865" t="n"/>
      <c r="O19" s="865" t="n"/>
    </row>
    <row r="20" ht="14.25" customHeight="1" s="866">
      <c r="A20" s="865" t="n"/>
      <c r="B20" s="1351" t="inlineStr">
        <is>
          <t xml:space="preserve">Total Retail budget </t>
        </is>
      </c>
      <c r="C20" s="1352" t="n"/>
      <c r="D20" s="1353" t="n"/>
      <c r="E20" s="1354">
        <f>SUM(I14:I18)</f>
        <v>33.8</v>
      </c>
      <c r="F20" s="1314" t="n"/>
      <c r="G20" s="876" t="n"/>
      <c r="H20" s="1012" t="inlineStr">
        <is>
          <t>Other cost (this model)</t>
        </is>
      </c>
      <c r="I20" s="1830" t="n"/>
      <c r="J20" s="1830">
        <f>E9</f>
        <v>8.182089</v>
      </c>
      <c r="K20" s="1014" t="n"/>
      <c r="L20" s="865" t="n"/>
      <c r="M20" s="865" t="n"/>
      <c r="N20" s="865" t="n"/>
      <c r="O20" s="865" t="n"/>
    </row>
    <row r="21" ht="14.25" customHeight="1" s="866">
      <c r="A21" s="876" t="n"/>
      <c r="B21" s="1916" t="inlineStr">
        <is>
          <t xml:space="preserve">Reconciled to Finance </t>
        </is>
      </c>
      <c r="C21" s="1352" t="n"/>
      <c r="D21" s="1353" t="n"/>
      <c r="E21" s="1919">
        <f>N('0.1 Budget Table (Fin)'!Q9)</f>
        <v>33.8</v>
      </c>
      <c r="F21" s="1920" t="n"/>
      <c r="G21" s="1921" t="n"/>
      <c r="H21" s="1922" t="inlineStr">
        <is>
          <t>Left to fund</t>
        </is>
      </c>
      <c r="I21" s="1923" t="n"/>
      <c r="J21" s="1924">
        <f>SUM(E9-J15-J16-J17-J18)</f>
        <v>-0.00200000000000022</v>
      </c>
      <c r="K21" s="1014" t="n"/>
      <c r="L21" s="865" t="n"/>
      <c r="M21" s="865" t="n"/>
      <c r="N21" s="865" t="n"/>
      <c r="O21" s="865" t="n"/>
    </row>
    <row r="22" ht="14.25" customHeight="1" s="866">
      <c r="A22" s="865" t="n"/>
      <c r="B22" s="876" t="n"/>
      <c r="C22" s="876" t="n"/>
      <c r="D22" s="876" t="n"/>
      <c r="E22" s="876" t="n"/>
      <c r="F22" s="1314" t="n"/>
      <c r="G22" s="876" t="n"/>
      <c r="H22" s="876" t="n"/>
      <c r="I22" s="876" t="n"/>
      <c r="J22" s="876" t="n"/>
      <c r="K22" s="876" t="n"/>
      <c r="L22" s="865" t="n"/>
      <c r="M22" s="865" t="n"/>
      <c r="N22" s="865" t="n"/>
      <c r="O22" s="865" t="n"/>
    </row>
    <row r="23" ht="19" customHeight="1" s="866">
      <c r="A23" s="865" t="n"/>
      <c r="B23" s="1316" t="inlineStr">
        <is>
          <t>Platform: Store Operations</t>
        </is>
      </c>
      <c r="C23" s="1003" t="n"/>
      <c r="D23" s="1003" t="n"/>
      <c r="E23" s="1003" t="n"/>
      <c r="F23" s="1003" t="n"/>
      <c r="G23" s="1003" t="n"/>
      <c r="H23" s="1003" t="n"/>
      <c r="I23" s="1003" t="n"/>
      <c r="J23" s="1004" t="n"/>
      <c r="K23" s="876" t="n"/>
      <c r="L23" s="865" t="n"/>
      <c r="M23" s="865" t="n"/>
      <c r="N23" s="865" t="n"/>
      <c r="O23" s="865" t="n"/>
    </row>
    <row r="24" ht="31.5" customHeight="1" s="866">
      <c r="A24" s="865" t="n"/>
      <c r="B24" s="1319" t="inlineStr">
        <is>
          <t>Squad</t>
        </is>
      </c>
      <c r="C24" s="1319" t="inlineStr">
        <is>
          <t>Squad Type</t>
        </is>
      </c>
      <c r="D24" s="1319" t="inlineStr">
        <is>
          <t>Size</t>
        </is>
      </c>
      <c r="E24" s="1319" t="inlineStr">
        <is>
          <t>Onshore / Offshore</t>
        </is>
      </c>
      <c r="F24" s="1320" t="inlineStr">
        <is>
          <t>AU / NZ</t>
        </is>
      </c>
      <c r="G24" s="1319" t="inlineStr">
        <is>
          <t>% funded by TDD</t>
        </is>
      </c>
      <c r="H24" s="1319" t="inlineStr">
        <is>
          <t>Total Squad Cost ($m)</t>
        </is>
      </c>
      <c r="I24" s="1319" t="inlineStr">
        <is>
          <t>TDD Cost ($m)</t>
        </is>
      </c>
      <c r="J24" s="1319" t="inlineStr">
        <is>
          <t>Funded outside TDD ($m)</t>
        </is>
      </c>
      <c r="K24" s="876" t="n"/>
      <c r="L24" s="1356" t="n"/>
      <c r="M24" s="865" t="n"/>
      <c r="N24" s="865" t="n"/>
      <c r="O24" s="865" t="n"/>
    </row>
    <row r="25" ht="14.25" customHeight="1" s="866">
      <c r="A25" s="865" t="n"/>
      <c r="B25" s="1012" t="inlineStr">
        <is>
          <t>POS</t>
        </is>
      </c>
      <c r="C25" s="1357" t="inlineStr">
        <is>
          <t>Configuration / Integration</t>
        </is>
      </c>
      <c r="D25" s="1357" t="inlineStr">
        <is>
          <t>M</t>
        </is>
      </c>
      <c r="E25" s="1357" t="inlineStr">
        <is>
          <t>Onshore</t>
        </is>
      </c>
      <c r="F25" s="1358" t="inlineStr">
        <is>
          <t>AU</t>
        </is>
      </c>
      <c r="G25" s="1359" t="n">
        <v>0.7</v>
      </c>
      <c r="H25" s="1830">
        <f>IFERROR(IF($E25="Onshore",INDEX('0.3 Squad Archetypes'!$G$5:$G$23,MATCH($C25&amp;"|"&amp;$D25,'0.3 Squad Archetypes'!$A$5:$A$23,0)),INDEX('0.3 Squad Archetypes'!$H$5:$H$23,MATCH($C25&amp;"|"&amp;$D25,'0.3 Squad Archetypes'!$A$5:$A$23,0))),"check size")</f>
        <v>2.1</v>
      </c>
      <c r="I25" s="1014">
        <f>IFERROR($H25*$G25,"")</f>
        <v>1.47</v>
      </c>
      <c r="J25" s="1014">
        <f>IFERROR($H25*(1-$G25),"")</f>
        <v>0.63</v>
      </c>
      <c r="K25" s="876" t="n"/>
      <c r="L25" s="1360" t="n"/>
      <c r="M25" s="865" t="n"/>
      <c r="N25" s="865" t="n"/>
      <c r="O25" s="865" t="n"/>
    </row>
    <row r="26" ht="14.25" customHeight="1" s="866">
      <c r="A26" s="865" t="n"/>
      <c r="B26" s="1012" t="inlineStr">
        <is>
          <t>Payments</t>
        </is>
      </c>
      <c r="C26" s="1357" t="inlineStr">
        <is>
          <t>Configuration / Integration</t>
        </is>
      </c>
      <c r="D26" s="1357" t="inlineStr">
        <is>
          <t>S</t>
        </is>
      </c>
      <c r="E26" s="1357" t="inlineStr">
        <is>
          <t>Onshore</t>
        </is>
      </c>
      <c r="F26" s="1358" t="inlineStr">
        <is>
          <t>AU</t>
        </is>
      </c>
      <c r="G26" s="1359" t="n">
        <v>0.2</v>
      </c>
      <c r="H26" s="1830">
        <f>IFERROR(IF($E26="Onshore",INDEX('0.3 Squad Archetypes'!$G$5:$G$23,MATCH($C26&amp;"|"&amp;$D26,'0.3 Squad Archetypes'!$A$5:$A$23,0)),INDEX('0.3 Squad Archetypes'!$H$5:$H$23,MATCH($C26&amp;"|"&amp;$D26,'0.3 Squad Archetypes'!$A$5:$A$23,0))),"check size")</f>
        <v>1.4</v>
      </c>
      <c r="I26" s="1014">
        <f>IFERROR($H26*$G26,"")</f>
        <v>0.28</v>
      </c>
      <c r="J26" s="1014">
        <f>IFERROR($H26*(1-$G26),"")</f>
        <v>1.12</v>
      </c>
      <c r="K26" s="876" t="n"/>
      <c r="L26" s="1360" t="n"/>
      <c r="M26" s="865" t="n"/>
      <c r="N26" s="865" t="n"/>
      <c r="O26" s="865" t="n"/>
    </row>
    <row r="27" ht="14.25" customHeight="1" s="866">
      <c r="A27" s="865" t="n"/>
      <c r="B27" s="1012" t="inlineStr">
        <is>
          <t>Store Operations</t>
        </is>
      </c>
      <c r="C27" s="1357" t="inlineStr">
        <is>
          <t>Operations</t>
        </is>
      </c>
      <c r="D27" s="1357" t="inlineStr">
        <is>
          <t>M</t>
        </is>
      </c>
      <c r="E27" s="1357" t="inlineStr">
        <is>
          <t>Onshore</t>
        </is>
      </c>
      <c r="F27" s="1358" t="inlineStr">
        <is>
          <t>AU</t>
        </is>
      </c>
      <c r="G27" s="1359" t="n">
        <v>1</v>
      </c>
      <c r="H27" s="1830">
        <f>IFERROR(IF($E27="Onshore",INDEX('0.3 Squad Archetypes'!$G$5:$G$23,MATCH($C27&amp;"|"&amp;$D27,'0.3 Squad Archetypes'!$A$5:$A$23,0)),INDEX('0.3 Squad Archetypes'!$H$5:$H$23,MATCH($C27&amp;"|"&amp;$D27,'0.3 Squad Archetypes'!$A$5:$A$23,0))),"check size")</f>
        <v>1.4</v>
      </c>
      <c r="I27" s="1014">
        <f>IFERROR($H27*$G27,"")</f>
        <v>1.4</v>
      </c>
      <c r="J27" s="1014">
        <f>IFERROR($H27*(1-$G27),"")</f>
        <v>0</v>
      </c>
      <c r="K27" s="876" t="n"/>
      <c r="L27" s="1360" t="n"/>
      <c r="M27" s="865" t="n"/>
      <c r="N27" s="865" t="n"/>
      <c r="O27" s="865" t="n"/>
    </row>
    <row r="28" ht="14.25" customHeight="1" s="866">
      <c r="A28" s="865" t="n"/>
      <c r="B28" s="1012" t="inlineStr">
        <is>
          <t>Deployment</t>
        </is>
      </c>
      <c r="C28" s="1357" t="inlineStr">
        <is>
          <t>Operations</t>
        </is>
      </c>
      <c r="D28" s="1357" t="inlineStr">
        <is>
          <t>S</t>
        </is>
      </c>
      <c r="E28" s="1357" t="inlineStr">
        <is>
          <t>Onshore</t>
        </is>
      </c>
      <c r="F28" s="1358" t="inlineStr">
        <is>
          <t>AU</t>
        </is>
      </c>
      <c r="G28" s="1359" t="n">
        <v>0.2</v>
      </c>
      <c r="H28" s="1830">
        <f>IFERROR(IF($E28="Onshore",INDEX('0.3 Squad Archetypes'!$G$5:$G$23,MATCH($C28&amp;"|"&amp;$D28,'0.3 Squad Archetypes'!$A$5:$A$23,0)),INDEX('0.3 Squad Archetypes'!$H$5:$H$23,MATCH($C28&amp;"|"&amp;$D28,'0.3 Squad Archetypes'!$A$5:$A$23,0))),"check size")</f>
        <v>0.8</v>
      </c>
      <c r="I28" s="1014">
        <f>IFERROR($H28*$G28,"")</f>
        <v>0.16</v>
      </c>
      <c r="J28" s="1014">
        <f>IFERROR($H28*(1-$G28),"")</f>
        <v>0.64</v>
      </c>
      <c r="K28" s="876" t="n"/>
      <c r="L28" s="1360" t="n"/>
      <c r="M28" s="865" t="n"/>
      <c r="N28" s="865" t="n"/>
      <c r="O28" s="865" t="n"/>
    </row>
    <row r="29" ht="14.25" customHeight="1" s="866">
      <c r="A29" s="865" t="n"/>
      <c r="B29" s="1012" t="inlineStr">
        <is>
          <t>Platform Overhead</t>
        </is>
      </c>
      <c r="C29" s="1361" t="n"/>
      <c r="D29" s="1362" t="n"/>
      <c r="E29" s="1362" t="n"/>
      <c r="F29" s="1314" t="n"/>
      <c r="G29" s="1362" t="n"/>
      <c r="H29" s="1362" t="n"/>
      <c r="I29" s="1830">
        <f>'0.2 Data Config'!$L$16</f>
        <v>0.165</v>
      </c>
      <c r="J29" s="1362" t="n"/>
      <c r="K29" s="876" t="n"/>
      <c r="L29" s="865" t="n"/>
      <c r="M29" s="865" t="n"/>
      <c r="N29" s="865" t="n"/>
      <c r="O29" s="865" t="n"/>
    </row>
    <row r="30" ht="14.25" customHeight="1" s="866">
      <c r="A30" s="865" t="n"/>
      <c r="B30" s="1363" t="inlineStr">
        <is>
          <t>Store Operations Total</t>
        </is>
      </c>
      <c r="C30" s="865" t="n"/>
      <c r="D30" s="1361" t="n"/>
      <c r="E30" s="1361" t="n"/>
      <c r="F30" s="1314" t="n"/>
      <c r="G30" s="1361" t="n"/>
      <c r="H30" s="1364">
        <f>SUM(H25:H28)</f>
        <v>5.7</v>
      </c>
      <c r="I30" s="1364">
        <f>SUM(I25:I29)</f>
        <v>3.475</v>
      </c>
      <c r="J30" s="1364">
        <f>SUM(J25:J28)</f>
        <v>2.39</v>
      </c>
      <c r="K30" s="876" t="n"/>
      <c r="L30" s="865" t="n"/>
      <c r="M30" s="865" t="n"/>
      <c r="N30" s="865" t="n"/>
      <c r="O30" s="865" t="n"/>
    </row>
    <row r="31" ht="14.25" customHeight="1" s="866">
      <c r="A31" s="865" t="n"/>
      <c r="B31" s="876" t="n"/>
      <c r="C31" s="876" t="n"/>
      <c r="D31" s="876" t="n"/>
      <c r="E31" s="876" t="n"/>
      <c r="F31" s="1314" t="n"/>
      <c r="G31" s="876" t="n"/>
      <c r="H31" s="876" t="n"/>
      <c r="I31" s="876" t="n"/>
      <c r="J31" s="876" t="n"/>
      <c r="K31" s="876" t="n"/>
      <c r="L31" s="865" t="n"/>
      <c r="M31" s="865" t="n"/>
      <c r="N31" s="865" t="n"/>
      <c r="O31" s="865" t="n"/>
    </row>
    <row r="32" ht="19" customHeight="1" s="866">
      <c r="A32" s="865" t="n"/>
      <c r="B32" s="1316" t="inlineStr">
        <is>
          <t>Platform: Above Store</t>
        </is>
      </c>
      <c r="C32" s="1003" t="n"/>
      <c r="D32" s="1003" t="n"/>
      <c r="E32" s="1003" t="n"/>
      <c r="F32" s="1003" t="n"/>
      <c r="G32" s="1003" t="n"/>
      <c r="H32" s="1003" t="n"/>
      <c r="I32" s="1003" t="n"/>
      <c r="J32" s="1004" t="n"/>
      <c r="K32" s="876" t="n"/>
      <c r="L32" s="865" t="n"/>
      <c r="M32" s="865" t="n"/>
      <c r="N32" s="865" t="n"/>
      <c r="O32" s="865" t="n"/>
    </row>
    <row r="33" ht="31.5" customHeight="1" s="866">
      <c r="B33" s="1319" t="inlineStr">
        <is>
          <t>Squad</t>
        </is>
      </c>
      <c r="C33" s="1319" t="inlineStr">
        <is>
          <t>Squad Type</t>
        </is>
      </c>
      <c r="D33" s="1319" t="inlineStr">
        <is>
          <t>Size</t>
        </is>
      </c>
      <c r="E33" s="1319" t="inlineStr">
        <is>
          <t>Onshore / Offshore</t>
        </is>
      </c>
      <c r="F33" s="1320" t="inlineStr">
        <is>
          <t>AU / NZ</t>
        </is>
      </c>
      <c r="G33" s="1319" t="inlineStr">
        <is>
          <t>% funded by TDD</t>
        </is>
      </c>
      <c r="H33" s="1319" t="inlineStr">
        <is>
          <t>Total Squad Cost ($m)</t>
        </is>
      </c>
      <c r="I33" s="1319" t="inlineStr">
        <is>
          <t>TDD Cost ($m)</t>
        </is>
      </c>
      <c r="J33" s="1319" t="inlineStr">
        <is>
          <t>Funded outside TDD ($m)</t>
        </is>
      </c>
      <c r="K33" s="876" t="n"/>
      <c r="L33" s="1356" t="n"/>
      <c r="M33" s="865" t="n"/>
      <c r="N33" s="865" t="n"/>
      <c r="O33" s="865" t="n"/>
    </row>
    <row r="34" ht="14.25" customHeight="1" s="866">
      <c r="B34" s="1012" t="inlineStr">
        <is>
          <t>Above Store</t>
        </is>
      </c>
      <c r="C34" s="1357" t="inlineStr">
        <is>
          <t>Configuration / Integration</t>
        </is>
      </c>
      <c r="D34" s="1357" t="inlineStr">
        <is>
          <t>M</t>
        </is>
      </c>
      <c r="E34" s="1357" t="inlineStr">
        <is>
          <t>Onshore</t>
        </is>
      </c>
      <c r="F34" s="1358" t="inlineStr">
        <is>
          <t>AU</t>
        </is>
      </c>
      <c r="G34" s="1359" t="n">
        <v>0.2</v>
      </c>
      <c r="H34" s="1830">
        <f>IFERROR(IF($E34="Onshore",INDEX('0.3 Squad Archetypes'!$G$5:$G$23,MATCH($C34&amp;"|"&amp;$D34,'0.3 Squad Archetypes'!$A$5:$A$23,0)),INDEX('0.3 Squad Archetypes'!$H$5:$H$23,MATCH($C34&amp;"|"&amp;$D34,'0.3 Squad Archetypes'!$A$5:$A$23,0))),"check size")</f>
        <v>2.1</v>
      </c>
      <c r="I34" s="1014">
        <f>IFERROR($H34*$G34,"")</f>
        <v>0.42</v>
      </c>
      <c r="J34" s="1014">
        <f>IFERROR($H34*(1-$G34),"")</f>
        <v>1.68</v>
      </c>
      <c r="K34" s="876" t="n"/>
      <c r="L34" s="1360" t="n"/>
      <c r="M34" s="865" t="n"/>
      <c r="N34" s="865" t="n"/>
      <c r="O34" s="865" t="n"/>
    </row>
    <row r="35" ht="14.25" customHeight="1" s="866">
      <c r="B35" s="1012" t="n"/>
      <c r="C35" s="1012" t="n"/>
      <c r="D35" s="1012" t="n"/>
      <c r="E35" s="1012" t="n"/>
      <c r="F35" s="1314" t="n"/>
      <c r="G35" s="1365" t="n"/>
      <c r="H35" s="1830" t="n"/>
      <c r="I35" s="1014" t="n"/>
      <c r="J35" s="1014" t="n"/>
      <c r="K35" s="876" t="n"/>
      <c r="L35" s="865" t="n"/>
      <c r="M35" s="865" t="n"/>
      <c r="N35" s="865" t="n"/>
      <c r="O35" s="865" t="n"/>
    </row>
    <row r="36" ht="14.25" customHeight="1" s="866">
      <c r="B36" s="1012" t="inlineStr">
        <is>
          <t>Platform Overhead</t>
        </is>
      </c>
      <c r="C36" s="1362" t="n"/>
      <c r="D36" s="1362" t="n"/>
      <c r="E36" s="1362" t="n"/>
      <c r="F36" s="1314" t="n"/>
      <c r="G36" s="1362" t="n"/>
      <c r="H36" s="1362" t="n"/>
      <c r="I36" s="1830">
        <f>'0.2 Data Config'!$L$16</f>
        <v>0.165</v>
      </c>
      <c r="J36" s="1362" t="n"/>
      <c r="K36" s="876" t="n"/>
      <c r="L36" s="865" t="n"/>
      <c r="M36" s="865" t="n"/>
      <c r="N36" s="865" t="n"/>
      <c r="O36" s="865" t="n"/>
    </row>
    <row r="37" ht="14.25" customHeight="1" s="866">
      <c r="B37" s="1363" t="inlineStr">
        <is>
          <t>Above Store Total</t>
        </is>
      </c>
      <c r="C37" s="1361" t="n"/>
      <c r="D37" s="1361" t="n"/>
      <c r="E37" s="1361" t="n"/>
      <c r="F37" s="1314" t="n"/>
      <c r="G37" s="1361" t="n"/>
      <c r="H37" s="1364">
        <f>SUM(H34:H35)</f>
        <v>2.1</v>
      </c>
      <c r="I37" s="1364">
        <f>SUM(I34:I36)</f>
        <v>0.585</v>
      </c>
      <c r="J37" s="1364">
        <f>SUM(J34:J35)</f>
        <v>1.68</v>
      </c>
      <c r="K37" s="876" t="n"/>
      <c r="L37" s="865" t="n"/>
      <c r="M37" s="865" t="n"/>
      <c r="N37" s="865" t="n"/>
      <c r="O37" s="865" t="n"/>
    </row>
    <row r="38" ht="14.25" customHeight="1" s="866">
      <c r="B38" s="876" t="n"/>
      <c r="C38" s="876" t="n"/>
      <c r="D38" s="876" t="n"/>
      <c r="E38" s="876" t="n"/>
      <c r="F38" s="1314" t="n"/>
      <c r="G38" s="876" t="n"/>
      <c r="H38" s="876" t="n"/>
      <c r="I38" s="876" t="n"/>
      <c r="J38" s="876" t="n"/>
      <c r="K38" s="876" t="n"/>
      <c r="L38" s="865" t="n"/>
      <c r="M38" s="865" t="n"/>
      <c r="N38" s="865" t="n"/>
      <c r="O38" s="865" t="n"/>
    </row>
    <row r="39" s="866">
      <c r="B39" s="1809" t="inlineStr">
        <is>
          <t>Platform: Pricing &amp; WFM - combined into Above Store, no squad of its own</t>
        </is>
      </c>
      <c r="C39" s="1810" t="n"/>
      <c r="D39" s="1810" t="n"/>
      <c r="E39" s="1810" t="n"/>
      <c r="F39" s="1810" t="n"/>
      <c r="G39" s="1810" t="n"/>
      <c r="H39" s="1810" t="n"/>
      <c r="I39" s="1810" t="n"/>
      <c r="J39" s="1810" t="n"/>
      <c r="K39" s="1811" t="n"/>
      <c r="L39" s="1811" t="n"/>
      <c r="M39" s="865" t="n"/>
      <c r="N39" s="865" t="n"/>
      <c r="O39" s="865" t="n"/>
    </row>
    <row r="40" s="866">
      <c r="B40" s="1812" t="n"/>
      <c r="C40" s="1812" t="n"/>
      <c r="D40" s="1812" t="n"/>
      <c r="E40" s="1812" t="n"/>
      <c r="F40" s="1812" t="n"/>
      <c r="G40" s="1812" t="n"/>
      <c r="H40" s="1812" t="n"/>
      <c r="I40" s="1812" t="n"/>
      <c r="J40" s="1812" t="n"/>
      <c r="K40" s="1811" t="n"/>
      <c r="L40" s="1811" t="n"/>
      <c r="M40" s="865" t="n"/>
      <c r="N40" s="865" t="n"/>
      <c r="O40" s="865" t="n"/>
    </row>
    <row r="41" s="866">
      <c r="B41" s="1811" t="n"/>
      <c r="C41" s="1811" t="n"/>
      <c r="D41" s="1811" t="n"/>
      <c r="E41" s="1811" t="n"/>
      <c r="F41" s="1811" t="n"/>
      <c r="G41" s="1813" t="n"/>
      <c r="H41" s="1814" t="n"/>
      <c r="I41" s="1814" t="n"/>
      <c r="J41" s="1814" t="n"/>
      <c r="K41" s="1811" t="n"/>
      <c r="L41" s="1811" t="n"/>
      <c r="M41" s="865" t="n"/>
      <c r="N41" s="865" t="n"/>
      <c r="O41" s="865" t="n"/>
    </row>
    <row r="42" s="866">
      <c r="B42" s="1811" t="n"/>
      <c r="C42" s="1811" t="n"/>
      <c r="D42" s="1811" t="n"/>
      <c r="E42" s="1811" t="n"/>
      <c r="F42" s="1811" t="n"/>
      <c r="G42" s="1813" t="n"/>
      <c r="H42" s="1814" t="n"/>
      <c r="I42" s="1814" t="n"/>
      <c r="J42" s="1814" t="n"/>
      <c r="K42" s="1811" t="n"/>
      <c r="L42" s="1811" t="n"/>
      <c r="M42" s="865" t="n"/>
      <c r="N42" s="865" t="n"/>
      <c r="O42" s="865" t="n"/>
    </row>
    <row r="43" s="866">
      <c r="B43" s="1811" t="n"/>
      <c r="C43" s="1811" t="n"/>
      <c r="D43" s="1811" t="n"/>
      <c r="E43" s="1811" t="n"/>
      <c r="F43" s="1811" t="n"/>
      <c r="G43" s="1811" t="n"/>
      <c r="H43" s="1811" t="n"/>
      <c r="I43" s="1814" t="n"/>
      <c r="J43" s="1811" t="n"/>
      <c r="K43" s="1811" t="n"/>
      <c r="L43" s="1811" t="n"/>
      <c r="M43" s="865" t="n"/>
      <c r="N43" s="865" t="n"/>
      <c r="O43" s="865" t="n"/>
    </row>
    <row r="44" s="866">
      <c r="B44" s="1811" t="n"/>
      <c r="C44" s="1811" t="n"/>
      <c r="D44" s="1811" t="n"/>
      <c r="E44" s="1811" t="n"/>
      <c r="F44" s="1811" t="n"/>
      <c r="G44" s="1811" t="n"/>
      <c r="H44" s="1814" t="n"/>
      <c r="I44" s="1814" t="n"/>
      <c r="J44" s="1814" t="n"/>
      <c r="K44" s="1811" t="n"/>
      <c r="L44" s="1811" t="n"/>
      <c r="M44" s="865" t="n"/>
      <c r="N44" s="865" t="n"/>
      <c r="O44" s="865" t="n"/>
    </row>
    <row r="45" s="866">
      <c r="B45" s="1811" t="n"/>
      <c r="C45" s="1811" t="n"/>
      <c r="D45" s="1811" t="n"/>
      <c r="E45" s="1811" t="n"/>
      <c r="F45" s="1811" t="n"/>
      <c r="G45" s="1811" t="n"/>
      <c r="H45" s="1811" t="n"/>
      <c r="I45" s="1811" t="n"/>
      <c r="J45" s="1811" t="n"/>
      <c r="K45" s="1811" t="n"/>
      <c r="L45" s="1811" t="n"/>
      <c r="M45" s="865" t="n"/>
      <c r="N45" s="865" t="n"/>
      <c r="O45" s="865" t="n"/>
    </row>
    <row r="46" ht="19" customHeight="1" s="866">
      <c r="B46" s="1316" t="inlineStr">
        <is>
          <t>Platform: AmPOS</t>
        </is>
      </c>
      <c r="C46" s="1003" t="n"/>
      <c r="D46" s="1003" t="n"/>
      <c r="E46" s="1003" t="n"/>
      <c r="F46" s="1003" t="n"/>
      <c r="G46" s="1003" t="n"/>
      <c r="H46" s="1003" t="n"/>
      <c r="I46" s="1003" t="n"/>
      <c r="J46" s="1004" t="n"/>
      <c r="K46" s="876" t="n"/>
      <c r="L46" s="865" t="n"/>
      <c r="M46" s="865" t="n"/>
      <c r="N46" s="865" t="n"/>
      <c r="O46" s="865" t="n"/>
    </row>
    <row r="47" ht="31.5" customHeight="1" s="866">
      <c r="B47" s="1319" t="inlineStr">
        <is>
          <t>Squad</t>
        </is>
      </c>
      <c r="C47" s="1319" t="inlineStr">
        <is>
          <t>Squad Type</t>
        </is>
      </c>
      <c r="D47" s="1319" t="inlineStr">
        <is>
          <t>Size</t>
        </is>
      </c>
      <c r="E47" s="1319" t="inlineStr">
        <is>
          <t>Onshore / Offshore</t>
        </is>
      </c>
      <c r="F47" s="1320" t="inlineStr">
        <is>
          <t>AU / NZ</t>
        </is>
      </c>
      <c r="G47" s="1319" t="inlineStr">
        <is>
          <t>% funded by TDD</t>
        </is>
      </c>
      <c r="H47" s="1319" t="inlineStr">
        <is>
          <t>Total Squad Cost ($m)</t>
        </is>
      </c>
      <c r="I47" s="1319" t="inlineStr">
        <is>
          <t>TDD Cost ($m)</t>
        </is>
      </c>
      <c r="J47" s="1319" t="inlineStr">
        <is>
          <t>Funded outside TDD ($m)</t>
        </is>
      </c>
      <c r="K47" s="876" t="n"/>
      <c r="L47" s="1356" t="n"/>
      <c r="M47" s="865" t="n"/>
      <c r="N47" s="865" t="n"/>
      <c r="O47" s="865" t="n"/>
    </row>
    <row r="48" ht="14.25" customHeight="1" s="866">
      <c r="B48" s="1012" t="inlineStr">
        <is>
          <t>AmPOS</t>
        </is>
      </c>
      <c r="C48" s="1357" t="inlineStr">
        <is>
          <t>Strategic Programs</t>
        </is>
      </c>
      <c r="D48" s="1357" t="n"/>
      <c r="E48" s="1357" t="inlineStr">
        <is>
          <t>Onshore</t>
        </is>
      </c>
      <c r="F48" s="1358" t="inlineStr">
        <is>
          <t>AU</t>
        </is>
      </c>
      <c r="G48" s="1359" t="n">
        <v>0</v>
      </c>
      <c r="H48" s="1852" t="n">
        <v>1.404089</v>
      </c>
      <c r="I48" s="1014">
        <f>IFERROR($H48*$G48,"")</f>
        <v>0</v>
      </c>
      <c r="J48" s="1014">
        <f>IFERROR($H48*(1-$G48),"")</f>
        <v>1.404089</v>
      </c>
      <c r="K48" s="876" t="n"/>
      <c r="L48" s="1360" t="n"/>
      <c r="M48" s="865" t="inlineStr">
        <is>
          <t>7 FTE in AmPOS</t>
        </is>
      </c>
      <c r="N48" s="1366" t="str">
        <f>"People in this program today cost "&amp;TEXT(SUMIFS('REVIEW - Complete Role Mapping'!$AA$2:$AA$528,'REVIEW - Complete Role Mapping'!$AT$2:$AT$528,$B48)/1000000,"0.00")&amp;"m. Set the agreed cost in the cream cell."</f>
        <v>People in this program today cost 2.12m. Set the agreed cost in the cream cell.</v>
      </c>
      <c r="O48" s="865" t="n"/>
    </row>
    <row r="49" ht="14.25" customHeight="1" s="866">
      <c r="B49" s="1012" t="n"/>
      <c r="C49" s="1362" t="n"/>
      <c r="D49" s="1362" t="n"/>
      <c r="E49" s="1362" t="n"/>
      <c r="F49" s="1314" t="n"/>
      <c r="G49" s="1362" t="n"/>
      <c r="H49" s="1362" t="n"/>
      <c r="I49" s="1830" t="n"/>
      <c r="J49" s="1362" t="n"/>
      <c r="K49" s="876" t="n"/>
      <c r="L49" s="865" t="n"/>
      <c r="M49" s="865" t="n"/>
      <c r="N49" s="865" t="n"/>
      <c r="O49" s="865" t="n"/>
    </row>
    <row r="50" ht="14.25" customHeight="1" s="866">
      <c r="B50" s="1363" t="inlineStr">
        <is>
          <t>AmPOS Total</t>
        </is>
      </c>
      <c r="C50" s="1361" t="n"/>
      <c r="D50" s="1361" t="n"/>
      <c r="E50" s="1361" t="n"/>
      <c r="F50" s="1314" t="n"/>
      <c r="G50" s="1361" t="n"/>
      <c r="H50" s="1364">
        <f>SUM(H48:H48)</f>
        <v>1.404089</v>
      </c>
      <c r="I50" s="1364">
        <f>SUM(I48:I49)</f>
        <v>0</v>
      </c>
      <c r="J50" s="1364">
        <f>SUM(J48:J48)</f>
        <v>1.404089</v>
      </c>
      <c r="K50" s="876" t="n"/>
      <c r="L50" s="865" t="n"/>
      <c r="M50" s="865" t="n"/>
      <c r="N50" s="865" t="n"/>
      <c r="O50" s="865" t="n"/>
    </row>
    <row r="51" ht="14.25" customHeight="1" s="866">
      <c r="B51" s="876" t="n"/>
      <c r="C51" s="876" t="n"/>
      <c r="D51" s="876" t="n"/>
      <c r="E51" s="876" t="n"/>
      <c r="F51" s="1314" t="n"/>
      <c r="G51" s="876" t="n"/>
      <c r="H51" s="876" t="n"/>
      <c r="I51" s="876" t="n"/>
      <c r="J51" s="876" t="n"/>
      <c r="K51" s="876" t="n"/>
      <c r="L51" s="865" t="n"/>
      <c r="M51" s="865" t="n"/>
      <c r="N51" s="865" t="n"/>
      <c r="O51" s="865" t="n"/>
    </row>
    <row r="52" ht="19" customHeight="1" s="866">
      <c r="B52" s="1316" t="inlineStr">
        <is>
          <t>Platform: Network / QSR</t>
        </is>
      </c>
      <c r="C52" s="1003" t="n"/>
      <c r="D52" s="1003" t="n"/>
      <c r="E52" s="1003" t="n"/>
      <c r="F52" s="1003" t="n"/>
      <c r="G52" s="1003" t="n"/>
      <c r="H52" s="1003" t="n"/>
      <c r="I52" s="1003" t="n"/>
      <c r="J52" s="1004" t="n"/>
      <c r="K52" s="876" t="n"/>
      <c r="L52" s="865" t="n"/>
      <c r="M52" s="865" t="n"/>
      <c r="N52" s="865" t="n"/>
      <c r="O52" s="865" t="n"/>
    </row>
    <row r="53" ht="31.5" customHeight="1" s="866">
      <c r="B53" s="1319" t="inlineStr">
        <is>
          <t>Squad</t>
        </is>
      </c>
      <c r="C53" s="1319" t="inlineStr">
        <is>
          <t>Squad Type</t>
        </is>
      </c>
      <c r="D53" s="1319" t="inlineStr">
        <is>
          <t>Size</t>
        </is>
      </c>
      <c r="E53" s="1319" t="inlineStr">
        <is>
          <t>Onshore / Offshore</t>
        </is>
      </c>
      <c r="F53" s="1320" t="inlineStr">
        <is>
          <t>AU / NZ</t>
        </is>
      </c>
      <c r="G53" s="1319" t="inlineStr">
        <is>
          <t>% funded by TDD</t>
        </is>
      </c>
      <c r="H53" s="1319" t="inlineStr">
        <is>
          <t>Total Squad Cost ($m)</t>
        </is>
      </c>
      <c r="I53" s="1319" t="inlineStr">
        <is>
          <t>TDD Cost ($m)</t>
        </is>
      </c>
      <c r="J53" s="1319" t="inlineStr">
        <is>
          <t>Funded outside TDD ($m)</t>
        </is>
      </c>
      <c r="K53" s="876" t="n"/>
      <c r="L53" s="1356" t="n"/>
      <c r="M53" s="865" t="n"/>
      <c r="N53" s="865" t="n"/>
      <c r="O53" s="865" t="n"/>
    </row>
    <row r="54" ht="14.25" customHeight="1" s="866">
      <c r="B54" s="1012" t="inlineStr">
        <is>
          <t>Network &amp; QSR</t>
        </is>
      </c>
      <c r="C54" s="1357" t="inlineStr">
        <is>
          <t>Configuration / Integration</t>
        </is>
      </c>
      <c r="D54" s="1357" t="inlineStr">
        <is>
          <t>S</t>
        </is>
      </c>
      <c r="E54" s="1357" t="inlineStr">
        <is>
          <t>Onshore</t>
        </is>
      </c>
      <c r="F54" s="1358" t="inlineStr">
        <is>
          <t>AU</t>
        </is>
      </c>
      <c r="G54" s="1359" t="n">
        <v>0.2</v>
      </c>
      <c r="H54" s="1830">
        <f>IFERROR(IF($E54="Onshore",INDEX('0.3 Squad Archetypes'!$G$5:$G$23,MATCH($C54&amp;"|"&amp;$D54,'0.3 Squad Archetypes'!$A$5:$A$23,0)),INDEX('0.3 Squad Archetypes'!$H$5:$H$23,MATCH($C54&amp;"|"&amp;$D54,'0.3 Squad Archetypes'!$A$5:$A$23,0))),"check size")</f>
        <v>1.4</v>
      </c>
      <c r="I54" s="1014">
        <f>IFERROR($H54*$G54,"")</f>
        <v>0.28</v>
      </c>
      <c r="J54" s="1014">
        <f>IFERROR($H54*(1-$G54),"")</f>
        <v>1.12</v>
      </c>
      <c r="K54" s="876" t="n"/>
      <c r="L54" s="1360" t="n"/>
      <c r="M54" s="865" t="n"/>
      <c r="N54" s="865" t="n"/>
      <c r="O54" s="865" t="n"/>
    </row>
    <row r="55" ht="14.25" customHeight="1" s="866">
      <c r="B55" s="1012" t="inlineStr">
        <is>
          <t>Platform Overhead</t>
        </is>
      </c>
      <c r="C55" s="1362" t="n"/>
      <c r="D55" s="1362" t="n"/>
      <c r="E55" s="1362" t="n"/>
      <c r="F55" s="1314" t="n"/>
      <c r="G55" s="1362" t="n"/>
      <c r="H55" s="1362" t="n"/>
      <c r="I55" s="1830">
        <f>'0.2 Data Config'!$L$16</f>
        <v>0.165</v>
      </c>
      <c r="J55" s="1362" t="n"/>
      <c r="K55" s="876" t="n"/>
      <c r="L55" s="865" t="n"/>
      <c r="M55" s="865" t="n"/>
      <c r="N55" s="865" t="n"/>
      <c r="O55" s="865" t="n"/>
    </row>
    <row r="56" ht="14.25" customHeight="1" s="866">
      <c r="B56" s="1363" t="inlineStr">
        <is>
          <t>Network / QSR Total</t>
        </is>
      </c>
      <c r="C56" s="1361" t="n"/>
      <c r="D56" s="1361" t="n"/>
      <c r="E56" s="1361" t="n"/>
      <c r="F56" s="1314" t="n"/>
      <c r="G56" s="1361" t="n"/>
      <c r="H56" s="1364">
        <f>SUM(H54:H54)</f>
        <v>1.4</v>
      </c>
      <c r="I56" s="1364">
        <f>SUM(I54:I55)</f>
        <v>0.445</v>
      </c>
      <c r="J56" s="1364">
        <f>SUM(J54:J54)</f>
        <v>1.12</v>
      </c>
      <c r="K56" s="876" t="n"/>
      <c r="L56" s="865" t="n"/>
      <c r="M56" s="865" t="n"/>
      <c r="N56" s="865" t="n"/>
      <c r="O56" s="865" t="n"/>
    </row>
    <row r="57" ht="14.25" customHeight="1" s="866">
      <c r="B57" s="876" t="n"/>
      <c r="C57" s="876" t="n"/>
      <c r="D57" s="876" t="n"/>
      <c r="E57" s="876" t="n"/>
      <c r="F57" s="1314" t="n"/>
      <c r="G57" s="876" t="n"/>
      <c r="H57" s="876" t="n"/>
      <c r="I57" s="876" t="n"/>
      <c r="J57" s="876" t="n"/>
      <c r="K57" s="876" t="n"/>
      <c r="L57" s="865" t="n"/>
      <c r="M57" s="865" t="n"/>
      <c r="N57" s="865" t="n"/>
      <c r="O57" s="865" t="n"/>
    </row>
    <row r="58" ht="19" customHeight="1" s="866">
      <c r="B58" s="1316" t="inlineStr">
        <is>
          <t>Platform: Data AU</t>
        </is>
      </c>
      <c r="C58" s="1003" t="n"/>
      <c r="D58" s="1003" t="n"/>
      <c r="E58" s="1003" t="n"/>
      <c r="F58" s="1003" t="n"/>
      <c r="G58" s="1003" t="n"/>
      <c r="H58" s="1003" t="n"/>
      <c r="I58" s="1003" t="n"/>
      <c r="J58" s="1004" t="n"/>
      <c r="K58" s="865" t="n"/>
      <c r="L58" s="865" t="n"/>
      <c r="M58" s="865" t="n"/>
      <c r="N58" s="865" t="n"/>
      <c r="O58" s="865" t="n"/>
    </row>
    <row r="59" ht="31.5" customHeight="1" s="866">
      <c r="B59" s="1319" t="inlineStr">
        <is>
          <t>Squad</t>
        </is>
      </c>
      <c r="C59" s="1319" t="inlineStr">
        <is>
          <t>Squad Type</t>
        </is>
      </c>
      <c r="D59" s="1319" t="inlineStr">
        <is>
          <t>Size</t>
        </is>
      </c>
      <c r="E59" s="1319" t="inlineStr">
        <is>
          <t>Onshore / Offshore</t>
        </is>
      </c>
      <c r="F59" s="1320" t="inlineStr">
        <is>
          <t>AU / NZ</t>
        </is>
      </c>
      <c r="G59" s="1319" t="inlineStr">
        <is>
          <t>% funded by TDD</t>
        </is>
      </c>
      <c r="H59" s="1319" t="inlineStr">
        <is>
          <t>Total Squad Cost ($m)</t>
        </is>
      </c>
      <c r="I59" s="1319" t="inlineStr">
        <is>
          <t>TDD Cost ($m)</t>
        </is>
      </c>
      <c r="J59" s="1319" t="inlineStr">
        <is>
          <t>Funded outside TDD ($m)</t>
        </is>
      </c>
      <c r="K59" s="865" t="n"/>
      <c r="L59" s="1356" t="n"/>
      <c r="M59" s="865" t="n"/>
      <c r="N59" s="865" t="n"/>
      <c r="O59" s="865" t="n"/>
    </row>
    <row r="60" ht="14.25" customHeight="1" s="866">
      <c r="B60" s="1012" t="inlineStr">
        <is>
          <t>Data AU</t>
        </is>
      </c>
      <c r="C60" s="1357" t="inlineStr">
        <is>
          <t>Enterprise Data and Insights</t>
        </is>
      </c>
      <c r="D60" s="1357" t="inlineStr">
        <is>
          <t>M</t>
        </is>
      </c>
      <c r="E60" s="1357" t="inlineStr">
        <is>
          <t>Offshore</t>
        </is>
      </c>
      <c r="F60" s="1358" t="inlineStr">
        <is>
          <t>AU</t>
        </is>
      </c>
      <c r="G60" s="1359" t="n">
        <v>0.9</v>
      </c>
      <c r="H60" s="1830">
        <f>IFERROR(IF($E60="Onshore",INDEX('0.3 Squad Archetypes'!$G$5:$G$23,MATCH($C60&amp;"|"&amp;$D60,'0.3 Squad Archetypes'!$A$5:$A$23,0)),INDEX('0.3 Squad Archetypes'!$H$5:$H$23,MATCH($C60&amp;"|"&amp;$D60,'0.3 Squad Archetypes'!$A$5:$A$23,0))),"check size")</f>
        <v>0.68</v>
      </c>
      <c r="I60" s="1014">
        <f>IFERROR($H60*$G60,"")</f>
        <v>0.612</v>
      </c>
      <c r="J60" s="1014">
        <f>IFERROR($H60*(1-$G60),"")</f>
        <v>0.068</v>
      </c>
      <c r="K60" s="865" t="n"/>
      <c r="L60" s="1360" t="n"/>
      <c r="M60" s="865" t="n"/>
      <c r="N60" s="865" t="n"/>
      <c r="O60" s="865" t="n"/>
    </row>
    <row r="61" ht="14.25" customHeight="1" s="866">
      <c r="B61" s="1012" t="inlineStr">
        <is>
          <t>Platform Overhead</t>
        </is>
      </c>
      <c r="C61" s="1362" t="n"/>
      <c r="D61" s="1362" t="n"/>
      <c r="E61" s="1362" t="n"/>
      <c r="F61" s="1314" t="n"/>
      <c r="G61" s="1362" t="n"/>
      <c r="H61" s="1362" t="n"/>
      <c r="I61" s="1830">
        <f>'0.2 Data Config'!$L$16</f>
        <v>0.165</v>
      </c>
      <c r="J61" s="1362" t="n"/>
      <c r="K61" s="865" t="n"/>
      <c r="L61" s="865" t="n"/>
      <c r="M61" s="865" t="n"/>
      <c r="N61" s="865" t="n"/>
      <c r="O61" s="865" t="n"/>
    </row>
    <row r="62" ht="14.25" customHeight="1" s="866">
      <c r="B62" s="1363" t="inlineStr">
        <is>
          <t>Data AU Total</t>
        </is>
      </c>
      <c r="C62" s="1361" t="n"/>
      <c r="D62" s="1361" t="n"/>
      <c r="E62" s="1361" t="n"/>
      <c r="F62" s="1314" t="n"/>
      <c r="G62" s="1361" t="n"/>
      <c r="H62" s="1364">
        <f>SUM(H60:H60)</f>
        <v>0.68</v>
      </c>
      <c r="I62" s="1364">
        <f>SUM(I60:I61)</f>
        <v>0.777</v>
      </c>
      <c r="J62" s="1364">
        <f>SUM(J60:J60)</f>
        <v>0.068</v>
      </c>
      <c r="K62" s="865" t="n"/>
      <c r="L62" s="865" t="n"/>
      <c r="M62" s="865" t="n"/>
      <c r="N62" s="865" t="n"/>
      <c r="O62" s="865" t="n"/>
    </row>
    <row r="63" ht="14.25" customHeight="1" s="866">
      <c r="B63" s="865" t="n"/>
      <c r="C63" s="865" t="n"/>
      <c r="D63" s="865" t="n"/>
      <c r="E63" s="865" t="n"/>
      <c r="F63" s="1314" t="n"/>
      <c r="G63" s="865" t="n"/>
      <c r="H63" s="865" t="n"/>
      <c r="I63" s="865" t="n"/>
      <c r="J63" s="865" t="n"/>
      <c r="K63" s="865" t="n"/>
      <c r="L63" s="865" t="n"/>
      <c r="M63" s="865" t="n"/>
      <c r="N63" s="865" t="n"/>
      <c r="O63" s="865" t="n"/>
    </row>
    <row r="64" ht="19" customHeight="1" s="866">
      <c r="B64" s="1316" t="inlineStr">
        <is>
          <t>Platform: EGI Retail</t>
        </is>
      </c>
      <c r="C64" s="1003" t="n"/>
      <c r="D64" s="1003" t="n"/>
      <c r="E64" s="1003" t="n"/>
      <c r="F64" s="1003" t="n"/>
      <c r="G64" s="1003" t="n"/>
      <c r="H64" s="1003" t="n"/>
      <c r="I64" s="1003" t="n"/>
      <c r="J64" s="1004" t="n"/>
      <c r="K64" s="865" t="n"/>
      <c r="L64" s="865" t="n"/>
      <c r="M64" s="865" t="n"/>
      <c r="N64" s="865" t="n"/>
      <c r="O64" s="865" t="n"/>
    </row>
    <row r="65" ht="31.5" customHeight="1" s="866">
      <c r="B65" s="1319" t="inlineStr">
        <is>
          <t>Squad</t>
        </is>
      </c>
      <c r="C65" s="1319" t="inlineStr">
        <is>
          <t>Squad Type</t>
        </is>
      </c>
      <c r="D65" s="1319" t="inlineStr">
        <is>
          <t>Size</t>
        </is>
      </c>
      <c r="E65" s="1319" t="inlineStr">
        <is>
          <t>Onshore / Offshore</t>
        </is>
      </c>
      <c r="F65" s="1320" t="inlineStr">
        <is>
          <t>AU / NZ</t>
        </is>
      </c>
      <c r="G65" s="1319" t="inlineStr">
        <is>
          <t>% funded by TDD</t>
        </is>
      </c>
      <c r="H65" s="1319" t="inlineStr">
        <is>
          <t>Total Squad Cost ($m)</t>
        </is>
      </c>
      <c r="I65" s="1319" t="inlineStr">
        <is>
          <t>TDD Cost ($m)</t>
        </is>
      </c>
      <c r="J65" s="1319" t="inlineStr">
        <is>
          <t>Funded outside TDD ($m)</t>
        </is>
      </c>
      <c r="K65" s="865" t="n"/>
      <c r="L65" s="1356" t="n"/>
      <c r="M65" s="865" t="n"/>
      <c r="N65" s="865" t="n"/>
      <c r="O65" s="865" t="n"/>
    </row>
    <row r="66" ht="14.25" customHeight="1" s="866">
      <c r="B66" s="1012" t="inlineStr">
        <is>
          <t>EGI Retail</t>
        </is>
      </c>
      <c r="C66" s="1357" t="inlineStr">
        <is>
          <t>Strategic Programs</t>
        </is>
      </c>
      <c r="D66" s="1357" t="n"/>
      <c r="E66" s="1357" t="inlineStr">
        <is>
          <t>Onshore</t>
        </is>
      </c>
      <c r="F66" s="1358" t="inlineStr">
        <is>
          <t>AU</t>
        </is>
      </c>
      <c r="G66" s="1359" t="n">
        <v>0</v>
      </c>
      <c r="H66" s="1852" t="n">
        <v>1.52</v>
      </c>
      <c r="I66" s="1014">
        <f>IFERROR($H66*$G66,"")</f>
        <v>0</v>
      </c>
      <c r="J66" s="1014">
        <f>IFERROR($H66*(1-$G66),"")</f>
        <v>1.52</v>
      </c>
      <c r="K66" s="865" t="n"/>
      <c r="L66" s="1360" t="n"/>
      <c r="M66" s="865" t="n"/>
      <c r="N66" s="1366" t="str">
        <f>"People in this program today cost "&amp;TEXT(SUMIFS('REVIEW - Complete Role Mapping'!$AA$2:$AA$528,'REVIEW - Complete Role Mapping'!$AT$2:$AT$528,$B66)/1000000,"0.00")&amp;"m. Set the agreed cost in the cream cell."</f>
        <v>People in this program today cost 1.22m. Set the agreed cost in the cream cell.</v>
      </c>
      <c r="O66" s="865" t="n"/>
    </row>
    <row r="67" ht="14.25" customHeight="1" s="866">
      <c r="B67" s="1367" t="n"/>
      <c r="C67" s="1362" t="n"/>
      <c r="D67" s="1362" t="n"/>
      <c r="E67" s="1362" t="n"/>
      <c r="F67" s="1314" t="n"/>
      <c r="G67" s="1362" t="n"/>
      <c r="H67" s="1362" t="n"/>
      <c r="I67" s="1830" t="n"/>
      <c r="J67" s="1362" t="n"/>
      <c r="K67" s="865" t="n"/>
      <c r="L67" s="865" t="n"/>
      <c r="M67" s="865" t="n"/>
      <c r="N67" s="865" t="n"/>
      <c r="O67" s="865" t="n"/>
    </row>
    <row r="68" ht="14.25" customHeight="1" s="866">
      <c r="B68" s="1363" t="inlineStr">
        <is>
          <t>EGI Retail Total</t>
        </is>
      </c>
      <c r="C68" s="1361" t="n"/>
      <c r="D68" s="1361" t="n"/>
      <c r="E68" s="1361" t="n"/>
      <c r="F68" s="1314" t="n"/>
      <c r="G68" s="1361" t="n"/>
      <c r="H68" s="1364">
        <f>SUM(H66:H66)</f>
        <v>1.52</v>
      </c>
      <c r="I68" s="1364">
        <f>SUM(I66:I66)</f>
        <v>0</v>
      </c>
      <c r="J68" s="1364">
        <f>SUM(J66:J66)</f>
        <v>1.52</v>
      </c>
      <c r="K68" s="865" t="n"/>
      <c r="L68" s="865" t="n"/>
      <c r="M68" s="865" t="n"/>
      <c r="N68" s="865" t="n"/>
      <c r="O68" s="865" t="n"/>
    </row>
    <row r="69" ht="14.25" customHeight="1" s="866">
      <c r="B69" s="865" t="n"/>
      <c r="C69" s="865" t="n"/>
      <c r="D69" s="865" t="n"/>
      <c r="E69" s="865" t="n"/>
      <c r="F69" s="1314" t="n"/>
      <c r="G69" s="865" t="n"/>
      <c r="H69" s="865" t="n"/>
      <c r="I69" s="865" t="n"/>
      <c r="J69" s="865" t="n"/>
      <c r="K69" s="865" t="n"/>
      <c r="L69" s="865" t="n"/>
      <c r="M69" s="865" t="n"/>
      <c r="N69" s="865" t="n"/>
      <c r="O69" s="865" t="n"/>
    </row>
    <row r="70" ht="14.25" customHeight="1" s="866">
      <c r="B70" s="1366" t="n"/>
      <c r="C70" s="1368" t="n"/>
      <c r="D70" s="1314" t="n"/>
      <c r="E70" s="865" t="n"/>
      <c r="F70" s="1314" t="n"/>
      <c r="G70" s="865" t="n"/>
      <c r="H70" s="865" t="n"/>
      <c r="I70" s="865" t="n"/>
      <c r="J70" s="865" t="n"/>
      <c r="K70" s="865" t="n"/>
      <c r="L70" s="865" t="n"/>
      <c r="M70" s="865" t="n"/>
      <c r="N70" s="865" t="n"/>
      <c r="O70" s="865" t="n"/>
    </row>
    <row r="71" ht="14.25" customHeight="1" s="866">
      <c r="B71" s="1366" t="n"/>
      <c r="C71" s="1368" t="n"/>
      <c r="D71" s="1314" t="n"/>
      <c r="E71" s="865" t="n"/>
      <c r="F71" s="1314" t="n"/>
      <c r="G71" s="865" t="n"/>
      <c r="H71" s="865" t="n"/>
      <c r="I71" s="865" t="n"/>
      <c r="J71" s="865" t="n"/>
      <c r="K71" s="865" t="n"/>
      <c r="L71" s="865" t="n"/>
      <c r="M71" s="865" t="n"/>
      <c r="N71" s="865" t="n"/>
      <c r="O71" s="865" t="n"/>
    </row>
    <row r="74" ht="19" customHeight="1" s="866">
      <c r="B74" s="1527" t="inlineStr">
        <is>
          <t>Archetype against actual - every squad on this tab</t>
        </is>
      </c>
      <c r="C74" s="1528" t="n"/>
      <c r="D74" s="1528" t="n"/>
      <c r="E74" s="1528" t="n"/>
      <c r="F74" s="1528" t="n"/>
      <c r="G74" s="1528" t="n"/>
      <c r="H74" s="1528" t="n"/>
      <c r="I74" s="1528" t="n"/>
      <c r="J74" s="1528" t="n"/>
      <c r="K74" s="1528" t="n"/>
      <c r="L74" s="1528" t="n"/>
    </row>
    <row r="75" ht="34" customHeight="1" s="866">
      <c r="B75" s="1529" t="inlineStr">
        <is>
          <t>Platform</t>
        </is>
      </c>
      <c r="C75" s="1945" t="n"/>
      <c r="D75" s="1529" t="inlineStr">
        <is>
          <t>Squad</t>
        </is>
      </c>
      <c r="E75" s="1945" t="n"/>
      <c r="F75" s="1945" t="n"/>
      <c r="G75" s="1945" t="n"/>
      <c r="H75" s="1529" t="inlineStr">
        <is>
          <t>Total Squad Cost ($m)</t>
        </is>
      </c>
      <c r="I75" s="1529" t="inlineStr">
        <is>
          <t>TDD Cost ($m)</t>
        </is>
      </c>
      <c r="J75" s="1529" t="inlineStr">
        <is>
          <t>Funded outside TDD ($m)</t>
        </is>
      </c>
      <c r="K75" s="1529" t="inlineStr">
        <is>
          <t>Actual cost after decisions ($m)</t>
        </is>
      </c>
      <c r="L75" s="1529" t="inlineStr">
        <is>
          <t>Variance to archetype ($m)</t>
        </is>
      </c>
    </row>
    <row r="76">
      <c r="B76" s="1788" t="inlineStr">
        <is>
          <t>Store Operations</t>
        </is>
      </c>
      <c r="C76" s="1946" t="n"/>
      <c r="D76" s="1788" t="str">
        <f>$B25</f>
        <v>POS</v>
      </c>
      <c r="E76" s="1946" t="n"/>
      <c r="F76" s="1946" t="n"/>
      <c r="G76" s="1946" t="n"/>
      <c r="H76" s="1791">
        <f>IF(H25="","-",H25)</f>
        <v>2.1</v>
      </c>
      <c r="I76" s="1791">
        <f>IF(I25="","-",I25)</f>
        <v>1.47</v>
      </c>
      <c r="J76" s="1791">
        <f>IF(J25="","-",J25)</f>
        <v>0.63</v>
      </c>
      <c r="K76" s="1791">
        <f>IFERROR(INDEX('2.1 Ampol Retail'!$P$8:$P$29,MATCH($D76,'2.1 Ampol Retail'!$B$8:$B$29,0)),"-")</f>
        <v>1.576223685</v>
      </c>
      <c r="L76" s="1791">
        <f>IF(AND(ISNUMBER($H76),ISNUMBER($K76)),ROUND($K76-$H76,6),"-")</f>
        <v>-0.523776</v>
      </c>
    </row>
    <row r="77">
      <c r="B77" s="1788" t="inlineStr">
        <is>
          <t>Store Operations</t>
        </is>
      </c>
      <c r="C77" s="1946" t="n"/>
      <c r="D77" s="1788" t="str">
        <f>$B26</f>
        <v>Payments</v>
      </c>
      <c r="E77" s="1946" t="n"/>
      <c r="F77" s="1946" t="n"/>
      <c r="G77" s="1946" t="n"/>
      <c r="H77" s="1791">
        <f>IF(H26="","-",H26)</f>
        <v>1.4</v>
      </c>
      <c r="I77" s="1791">
        <f>IF(I26="","-",I26)</f>
        <v>0.28</v>
      </c>
      <c r="J77" s="1791">
        <f>IF(J26="","-",J26)</f>
        <v>1.12</v>
      </c>
      <c r="K77" s="1791">
        <f>IFERROR(INDEX('2.1 Ampol Retail'!$P$8:$P$29,MATCH($D77,'2.1 Ampol Retail'!$B$8:$B$29,0)),"-")</f>
        <v>0.789428585</v>
      </c>
      <c r="L77" s="1791">
        <f>IF(AND(ISNUMBER($H77),ISNUMBER($K77)),ROUND($K77-$H77,6),"-")</f>
        <v>-0.610571</v>
      </c>
    </row>
    <row r="78">
      <c r="B78" s="1788" t="inlineStr">
        <is>
          <t>Store Operations</t>
        </is>
      </c>
      <c r="C78" s="1946" t="n"/>
      <c r="D78" s="1788" t="str">
        <f>$B27</f>
        <v>Store Operations</v>
      </c>
      <c r="E78" s="1946" t="n"/>
      <c r="F78" s="1946" t="n"/>
      <c r="G78" s="1946" t="n"/>
      <c r="H78" s="1791">
        <f>IF(H27="","-",H27)</f>
        <v>1.4</v>
      </c>
      <c r="I78" s="1791">
        <f>IF(I27="","-",I27)</f>
        <v>1.4</v>
      </c>
      <c r="J78" s="1791">
        <f>IF(J27="","-",J27)</f>
        <v>0</v>
      </c>
      <c r="K78" s="1791">
        <f>IFERROR(INDEX('2.1 Ampol Retail'!$P$8:$P$29,MATCH($D78,'2.1 Ampol Retail'!$B$8:$B$29,0)),"-")</f>
        <v>1.429759453</v>
      </c>
      <c r="L78" s="1791">
        <f>IF(AND(ISNUMBER($H78),ISNUMBER($K78)),ROUND($K78-$H78,6),"-")</f>
        <v>0.029759</v>
      </c>
    </row>
    <row r="79">
      <c r="B79" s="1788" t="inlineStr">
        <is>
          <t>Store Operations</t>
        </is>
      </c>
      <c r="C79" s="1946" t="n"/>
      <c r="D79" s="1788" t="str">
        <f>$B28</f>
        <v>Deployment</v>
      </c>
      <c r="E79" s="1946" t="n"/>
      <c r="F79" s="1946" t="n"/>
      <c r="G79" s="1946" t="n"/>
      <c r="H79" s="1791">
        <f>IF(H28="","-",H28)</f>
        <v>0.8</v>
      </c>
      <c r="I79" s="1791">
        <f>IF(I28="","-",I28)</f>
        <v>0.16</v>
      </c>
      <c r="J79" s="1791">
        <f>IF(J28="","-",J28)</f>
        <v>0.64</v>
      </c>
      <c r="K79" s="1791">
        <f>IFERROR(INDEX('2.1 Ampol Retail'!$P$8:$P$29,MATCH($D79,'2.1 Ampol Retail'!$B$8:$B$29,0)),"-")</f>
        <v>0.893835732</v>
      </c>
      <c r="L79" s="1791">
        <f>IF(AND(ISNUMBER($H79),ISNUMBER($K79)),ROUND($K79-$H79,6),"-")</f>
        <v>0.093836</v>
      </c>
    </row>
    <row r="80">
      <c r="B80" s="1535" t="inlineStr">
        <is>
          <t>Store Operations total</t>
        </is>
      </c>
      <c r="C80" s="1947" t="n"/>
      <c r="D80" s="1947" t="n"/>
      <c r="E80" s="1947" t="n"/>
      <c r="F80" s="1947" t="n"/>
      <c r="G80" s="1947" t="n"/>
      <c r="H80" s="1771">
        <f>IF(COUNT($H76,$H77,$H78,$H79)=4,SUM($H76,$H77,$H78,$H79),"-")</f>
        <v>5.7</v>
      </c>
      <c r="I80" s="1771">
        <f>IF(COUNT($I76,$I77,$I78,$I79)=4,SUM($I76,$I77,$I78,$I79),"-")</f>
        <v>3.31</v>
      </c>
      <c r="J80" s="1771">
        <f>IF(COUNT($J76,$J77,$J78,$J79)=4,SUM($J76,$J77,$J78,$J79),"-")</f>
        <v>2.39</v>
      </c>
      <c r="K80" s="1771">
        <f>SUM($K76:$K79)</f>
        <v>4.689247455</v>
      </c>
      <c r="L80" s="1771">
        <f>IF(AND(ISNUMBER($H80),ISNUMBER($K80)),ROUND($K80-$H80,6),"-")</f>
        <v>-1.010753</v>
      </c>
    </row>
    <row r="81">
      <c r="B81" s="1788" t="inlineStr">
        <is>
          <t>Above Store</t>
        </is>
      </c>
      <c r="C81" s="1946" t="n"/>
      <c r="D81" s="1788" t="str">
        <f>$B34</f>
        <v>Above Store</v>
      </c>
      <c r="E81" s="1946" t="n"/>
      <c r="F81" s="1946" t="n"/>
      <c r="G81" s="1946" t="n"/>
      <c r="H81" s="1791">
        <f>IF(H34="","-",H34)</f>
        <v>2.1</v>
      </c>
      <c r="I81" s="1791">
        <f>IF(I34="","-",I34)</f>
        <v>0.42</v>
      </c>
      <c r="J81" s="1791">
        <f>IF(J34="","-",J34)</f>
        <v>1.68</v>
      </c>
      <c r="K81" s="1791">
        <f>IFERROR(INDEX('2.1 Ampol Retail'!$P$8:$P$29,MATCH($D81,'2.1 Ampol Retail'!$B$8:$B$29,0)),"-")</f>
        <v>2.097921857</v>
      </c>
      <c r="L81" s="1791">
        <f>IF(AND(ISNUMBER($H81),ISNUMBER($K81)),ROUND($K81-$H81,6),"-")</f>
        <v>-0.002078</v>
      </c>
    </row>
    <row r="82">
      <c r="B82" s="1535" t="inlineStr">
        <is>
          <t>Above Store total</t>
        </is>
      </c>
      <c r="C82" s="1947" t="n"/>
      <c r="D82" s="1947" t="n"/>
      <c r="E82" s="1947" t="n"/>
      <c r="F82" s="1947" t="n"/>
      <c r="G82" s="1947" t="n"/>
      <c r="H82" s="1771">
        <f>IF(COUNT($H81)=1,SUM($H81),"-")</f>
        <v>2.1</v>
      </c>
      <c r="I82" s="1771">
        <f>IF(COUNT($I81)=1,SUM($I81),"-")</f>
        <v>0.42</v>
      </c>
      <c r="J82" s="1771">
        <f>IF(COUNT($J81)=1,SUM($J81),"-")</f>
        <v>1.68</v>
      </c>
      <c r="K82" s="1771">
        <f>SUM($K81:$K81)</f>
        <v>2.097921857</v>
      </c>
      <c r="L82" s="1771">
        <f>IF(AND(ISNUMBER($H82),ISNUMBER($K82)),ROUND($K82-$H82,6),"-")</f>
        <v>-0.002078</v>
      </c>
    </row>
    <row r="83">
      <c r="B83" s="1788" t="inlineStr">
        <is>
          <t>AmPOS</t>
        </is>
      </c>
      <c r="C83" s="1946" t="n"/>
      <c r="D83" s="1788" t="str">
        <f>$B48</f>
        <v>AmPOS</v>
      </c>
      <c r="E83" s="1946" t="n"/>
      <c r="F83" s="1946" t="n"/>
      <c r="G83" s="1946" t="n"/>
      <c r="H83" s="1791">
        <f>IF(H48="","-",H48)</f>
        <v>1.404089</v>
      </c>
      <c r="I83" s="1791">
        <f>IF(I48="","-",I48)</f>
        <v>0</v>
      </c>
      <c r="J83" s="1791">
        <f>IF(J48="","-",J48)</f>
        <v>1.404089</v>
      </c>
      <c r="K83" s="1791">
        <f>IFERROR(INDEX('2.1 Ampol Retail'!$P$8:$P$29,MATCH($D83,'2.1 Ampol Retail'!$B$8:$B$29,0)),"-")</f>
        <v>2.115029718</v>
      </c>
      <c r="L83" s="1791">
        <f>IF(AND(ISNUMBER($H83),ISNUMBER($K83)),ROUND($K83-$H83,6),"-")</f>
        <v>0.710941</v>
      </c>
    </row>
    <row r="84">
      <c r="B84" s="1535" t="inlineStr">
        <is>
          <t>AmPOS total</t>
        </is>
      </c>
      <c r="C84" s="1947" t="n"/>
      <c r="D84" s="1947" t="n"/>
      <c r="E84" s="1947" t="n"/>
      <c r="F84" s="1947" t="n"/>
      <c r="G84" s="1947" t="n"/>
      <c r="H84" s="1771">
        <f>IF(COUNT($H83)=1,SUM($H83),"-")</f>
        <v>1.404089</v>
      </c>
      <c r="I84" s="1771">
        <f>IF(COUNT($I83)=1,SUM($I83),"-")</f>
        <v>0</v>
      </c>
      <c r="J84" s="1771">
        <f>IF(COUNT($J83)=1,SUM($J83),"-")</f>
        <v>1.404089</v>
      </c>
      <c r="K84" s="1771">
        <f>SUM($K83:$K83)</f>
        <v>2.115029718</v>
      </c>
      <c r="L84" s="1771">
        <f>IF(AND(ISNUMBER($H84),ISNUMBER($K84)),ROUND($K84-$H84,6),"-")</f>
        <v>0.710941</v>
      </c>
    </row>
    <row r="85">
      <c r="B85" s="1788" t="inlineStr">
        <is>
          <t>Network / QSR</t>
        </is>
      </c>
      <c r="C85" s="1946" t="n"/>
      <c r="D85" s="1788" t="str">
        <f>$B54</f>
        <v>Network &amp; QSR</v>
      </c>
      <c r="E85" s="1946" t="n"/>
      <c r="F85" s="1946" t="n"/>
      <c r="G85" s="1946" t="n"/>
      <c r="H85" s="1791">
        <f>IF(H54="","-",H54)</f>
        <v>1.4</v>
      </c>
      <c r="I85" s="1791">
        <f>IF(I54="","-",I54)</f>
        <v>0.28</v>
      </c>
      <c r="J85" s="1791">
        <f>IF(J54="","-",J54)</f>
        <v>1.12</v>
      </c>
      <c r="K85" s="1791">
        <f>IFERROR(INDEX('2.1 Ampol Retail'!$P$8:$P$29,MATCH($D85,'2.1 Ampol Retail'!$B$8:$B$29,0)),"-")</f>
        <v>1.1140311</v>
      </c>
      <c r="L85" s="1791">
        <f>IF(AND(ISNUMBER($H85),ISNUMBER($K85)),ROUND($K85-$H85,6),"-")</f>
        <v>-0.285969</v>
      </c>
    </row>
    <row r="86">
      <c r="B86" s="1535" t="inlineStr">
        <is>
          <t>Network / QSR total</t>
        </is>
      </c>
      <c r="C86" s="1947" t="n"/>
      <c r="D86" s="1947" t="n"/>
      <c r="E86" s="1947" t="n"/>
      <c r="F86" s="1947" t="n"/>
      <c r="G86" s="1947" t="n"/>
      <c r="H86" s="1771">
        <f>IF(COUNT($H85)=1,SUM($H85),"-")</f>
        <v>1.4</v>
      </c>
      <c r="I86" s="1771">
        <f>IF(COUNT($I85)=1,SUM($I85),"-")</f>
        <v>0.28</v>
      </c>
      <c r="J86" s="1771">
        <f>IF(COUNT($J85)=1,SUM($J85),"-")</f>
        <v>1.12</v>
      </c>
      <c r="K86" s="1771">
        <f>SUM($K85:$K85)</f>
        <v>1.1140311</v>
      </c>
      <c r="L86" s="1771">
        <f>IF(AND(ISNUMBER($H86),ISNUMBER($K86)),ROUND($K86-$H86,6),"-")</f>
        <v>-0.285969</v>
      </c>
    </row>
    <row r="87">
      <c r="B87" s="1788" t="inlineStr">
        <is>
          <t>Data AU</t>
        </is>
      </c>
      <c r="C87" s="1946" t="n"/>
      <c r="D87" s="1788" t="str">
        <f>$B60</f>
        <v>Data AU</v>
      </c>
      <c r="E87" s="1946" t="n"/>
      <c r="F87" s="1946" t="n"/>
      <c r="G87" s="1946" t="n"/>
      <c r="H87" s="1791">
        <f>IF(H60="","-",H60)</f>
        <v>0.68</v>
      </c>
      <c r="I87" s="1791">
        <f>IF(I60="","-",I60)</f>
        <v>0.612</v>
      </c>
      <c r="J87" s="1791">
        <f>IF(J60="","-",J60)</f>
        <v>0.068</v>
      </c>
      <c r="K87" s="1791">
        <f>IFERROR(INDEX('2.1 Ampol Retail'!$P$8:$P$29,MATCH($D87,'2.1 Ampol Retail'!$B$8:$B$29,0)),"-")</f>
        <v>1.21232375</v>
      </c>
      <c r="L87" s="1791">
        <f>IF(AND(ISNUMBER($H87),ISNUMBER($K87)),ROUND($K87-$H87,6),"-")</f>
        <v>0.532324</v>
      </c>
    </row>
    <row r="88">
      <c r="B88" s="1535" t="inlineStr">
        <is>
          <t>Data AU total</t>
        </is>
      </c>
      <c r="C88" s="1947" t="n"/>
      <c r="D88" s="1947" t="n"/>
      <c r="E88" s="1947" t="n"/>
      <c r="F88" s="1947" t="n"/>
      <c r="G88" s="1947" t="n"/>
      <c r="H88" s="1771">
        <f>IF(COUNT($H87)=1,SUM($H87),"-")</f>
        <v>0.68</v>
      </c>
      <c r="I88" s="1771">
        <f>IF(COUNT($I87)=1,SUM($I87),"-")</f>
        <v>0.612</v>
      </c>
      <c r="J88" s="1771">
        <f>IF(COUNT($J87)=1,SUM($J87),"-")</f>
        <v>0.068</v>
      </c>
      <c r="K88" s="1771">
        <f>SUM($K87:$K87)</f>
        <v>1.21232375</v>
      </c>
      <c r="L88" s="1771">
        <f>IF(AND(ISNUMBER($H88),ISNUMBER($K88)),ROUND($K88-$H88,6),"-")</f>
        <v>0.532324</v>
      </c>
    </row>
    <row r="89">
      <c r="B89" s="1788" t="inlineStr">
        <is>
          <t>EGI Retail</t>
        </is>
      </c>
      <c r="C89" s="1946" t="n"/>
      <c r="D89" s="1788" t="str">
        <f>$B66</f>
        <v>EGI Retail</v>
      </c>
      <c r="E89" s="1946" t="n"/>
      <c r="F89" s="1946" t="n"/>
      <c r="G89" s="1946" t="n"/>
      <c r="H89" s="1791">
        <f>IF(H66="","-",H66)</f>
        <v>1.52</v>
      </c>
      <c r="I89" s="1791">
        <f>IF(I66="","-",I66)</f>
        <v>0</v>
      </c>
      <c r="J89" s="1791">
        <f>IF(J66="","-",J66)</f>
        <v>1.52</v>
      </c>
      <c r="K89" s="1791">
        <f>IFERROR(INDEX('2.1 Ampol Retail'!$P$8:$P$29,MATCH($D89,'2.1 Ampol Retail'!$B$8:$B$29,0)),"-")</f>
        <v>1.221357614</v>
      </c>
      <c r="L89" s="1791">
        <f>IF(AND(ISNUMBER($H89),ISNUMBER($K89)),ROUND($K89-$H89,6),"-")</f>
        <v>-0.298642</v>
      </c>
    </row>
    <row r="90">
      <c r="B90" s="1535" t="inlineStr">
        <is>
          <t>EGI Retail total</t>
        </is>
      </c>
      <c r="C90" s="1947" t="n"/>
      <c r="D90" s="1947" t="n"/>
      <c r="E90" s="1947" t="n"/>
      <c r="F90" s="1947" t="n"/>
      <c r="G90" s="1947" t="n"/>
      <c r="H90" s="1771">
        <f>IF(COUNT($H89)=1,SUM($H89),"-")</f>
        <v>1.52</v>
      </c>
      <c r="I90" s="1771">
        <f>IF(COUNT($I89)=1,SUM($I89),"-")</f>
        <v>0</v>
      </c>
      <c r="J90" s="1771">
        <f>IF(COUNT($J89)=1,SUM($J89),"-")</f>
        <v>1.52</v>
      </c>
      <c r="K90" s="1771">
        <f>SUM($K89:$K89)</f>
        <v>1.221357614</v>
      </c>
      <c r="L90" s="1771">
        <f>IF(AND(ISNUMBER($H90),ISNUMBER($K90)),ROUND($K90-$H90,6),"-")</f>
        <v>-0.298642</v>
      </c>
    </row>
    <row r="91">
      <c r="B91" s="1541" t="inlineStr">
        <is>
          <t>Squads priced by an archetype</t>
        </is>
      </c>
      <c r="C91" s="1948" t="n"/>
      <c r="D91" s="1948" t="n"/>
      <c r="E91" s="1948" t="n"/>
      <c r="F91" s="1948" t="n"/>
      <c r="G91" s="1948" t="n"/>
      <c r="H91" s="1949">
        <f>N($H80)+N($H82)+N($H84)+N($H86)+N($H88)+N($H90)</f>
        <v>12.804089</v>
      </c>
      <c r="I91" s="1541" t="n"/>
      <c r="J91" s="1541" t="n"/>
      <c r="K91" s="1949">
        <f>N($K80)+N($K82)+N($K84)+N($K86)+N($K88)+N($K90)</f>
        <v>12.449911494</v>
      </c>
      <c r="L91" s="1949">
        <f>IF(AND(ISNUMBER($H91),ISNUMBER($K91)),ROUND($K91-$H91,6),"-")</f>
        <v>-0.354178</v>
      </c>
    </row>
    <row r="92">
      <c r="B92" s="1788" t="inlineStr">
        <is>
          <t>Overhead roles in this portfolio - no archetype prices them</t>
        </is>
      </c>
      <c r="C92" s="1946" t="n"/>
      <c r="D92" s="1946" t="n"/>
      <c r="E92" s="1946" t="n"/>
      <c r="F92" s="1946" t="n"/>
      <c r="G92" s="1946" t="n"/>
      <c r="H92" s="1791" t="str">
        <f>"-"</f>
        <v>-</v>
      </c>
      <c r="I92" s="1788" t="n"/>
      <c r="J92" s="1788" t="n"/>
      <c r="K92" s="1791">
        <f>N('2.1 Ampol Retail'!$P$28)</f>
        <v>1.255615963</v>
      </c>
      <c r="L92" s="1791" t="str">
        <f>"-"</f>
        <v>-</v>
      </c>
    </row>
    <row r="93">
      <c r="B93" s="1788" t="inlineStr">
        <is>
          <t>On the working tab with no row on this tab</t>
        </is>
      </c>
      <c r="C93" s="1946" t="n"/>
      <c r="D93" s="1946" t="n"/>
      <c r="E93" s="1946" t="n"/>
      <c r="F93" s="1946" t="n"/>
      <c r="G93" s="1946" t="n"/>
      <c r="H93" s="1791" t="str">
        <f>"-"</f>
        <v>-</v>
      </c>
      <c r="I93" s="1788" t="n"/>
      <c r="J93" s="1788" t="n"/>
      <c r="K93" s="1791">
        <f>ROUND(N('2.1 Ampol Retail'!$P$29)-$K91-$K92,6)</f>
        <v>0.2997</v>
      </c>
      <c r="L93" s="1791" t="str">
        <f>"-"</f>
        <v>-</v>
      </c>
    </row>
    <row r="94">
      <c r="B94" s="1541" t="inlineStr">
        <is>
          <t>Total actual cost after decisions - ties to the working tab</t>
        </is>
      </c>
      <c r="C94" s="1948" t="n"/>
      <c r="D94" s="1948" t="n"/>
      <c r="E94" s="1948" t="n"/>
      <c r="F94" s="1948" t="n"/>
      <c r="G94" s="1948" t="n"/>
      <c r="H94" s="1949" t="str">
        <f>"-"</f>
        <v>-</v>
      </c>
      <c r="I94" s="1541" t="n"/>
      <c r="J94" s="1541" t="n"/>
      <c r="K94" s="1949">
        <f>'2.1 Ampol Retail'!$P$29</f>
        <v>14.005227457</v>
      </c>
      <c r="L94" s="1949" t="str">
        <f>"-"</f>
        <v>-</v>
      </c>
    </row>
    <row r="95">
      <c r="B95" s="1788" t="inlineStr">
        <is>
          <t>Control - every line above against the working tab, must be 0</t>
        </is>
      </c>
      <c r="C95" s="1946" t="n"/>
      <c r="D95" s="1946" t="n"/>
      <c r="E95" s="1946" t="n"/>
      <c r="F95" s="1946" t="n"/>
      <c r="G95" s="1946" t="n"/>
      <c r="K95" s="1806">
        <f>ROUND($K91+$K92+$K93-$K94,6)</f>
        <v>0</v>
      </c>
    </row>
  </sheetData>
  <mergeCells count="40">
    <mergeCell ref="D83:G83"/>
    <mergeCell ref="B81:C81"/>
    <mergeCell ref="B23:J23"/>
    <mergeCell ref="B88:G88"/>
    <mergeCell ref="B82:G82"/>
    <mergeCell ref="D89:G89"/>
    <mergeCell ref="D85:G85"/>
    <mergeCell ref="B77:C77"/>
    <mergeCell ref="D79:G79"/>
    <mergeCell ref="B4:E4"/>
    <mergeCell ref="B84:G84"/>
    <mergeCell ref="B92:G92"/>
    <mergeCell ref="D81:G81"/>
    <mergeCell ref="B20:D20"/>
    <mergeCell ref="B64:J64"/>
    <mergeCell ref="B80:G80"/>
    <mergeCell ref="B87:C87"/>
    <mergeCell ref="B95:G95"/>
    <mergeCell ref="B78:C78"/>
    <mergeCell ref="B94:G94"/>
    <mergeCell ref="B32:J32"/>
    <mergeCell ref="D77:G77"/>
    <mergeCell ref="B83:C83"/>
    <mergeCell ref="D76:G76"/>
    <mergeCell ref="B91:G91"/>
    <mergeCell ref="B90:G90"/>
    <mergeCell ref="D75:G75"/>
    <mergeCell ref="B46:J46"/>
    <mergeCell ref="B76:C76"/>
    <mergeCell ref="B89:C89"/>
    <mergeCell ref="B85:C85"/>
    <mergeCell ref="B93:G93"/>
    <mergeCell ref="D78:G78"/>
    <mergeCell ref="B21:D21"/>
    <mergeCell ref="D87:G87"/>
    <mergeCell ref="B79:C79"/>
    <mergeCell ref="B58:J58"/>
    <mergeCell ref="B86:G86"/>
    <mergeCell ref="B52:J52"/>
    <mergeCell ref="B75:C75"/>
  </mergeCells>
  <dataValidations count="5">
    <dataValidation sqref="C25:C28 C34:C35 C41:C42 C48 C54 C60 C66" showDropDown="0" showInputMessage="0" showErrorMessage="1" allowBlank="1" errorTitle="Invalid entry" error="Pick a value from the list" type="list" errorStyle="stop" operator="between">
      <formula1>SquadTypes</formula1>
      <formula2>0</formula2>
    </dataValidation>
    <dataValidation sqref="D25:D28 D34:D35 D41:D42 D48 D54 D60 D66" showDropDown="0" showInputMessage="0" showErrorMessage="1" allowBlank="1" errorTitle="Invalid entry" error="Pick a value from the list" type="list" errorStyle="stop" operator="between">
      <formula1>SquadSizes</formula1>
      <formula2>0</formula2>
    </dataValidation>
    <dataValidation sqref="E25:E28 E34:E35 E41:E42 E48 E54 E60 E66" showDropDown="0" showInputMessage="0" showErrorMessage="1" allowBlank="1" errorTitle="Invalid entry" error="Pick a value from the list" type="list" errorStyle="stop" operator="between">
      <formula1>OnOff</formula1>
      <formula2>0</formula2>
    </dataValidation>
    <dataValidation sqref="G25:G28 G34:G35 G41:G42 G48 G54 G60 G66" showDropDown="0" showInputMessage="0" showErrorMessage="1" allowBlank="1" errorTitle="Invalid entry" error="Pick a value from the list" type="list" errorStyle="stop" operator="between">
      <formula1>SupportPct</formula1>
      <formula2>0</formula2>
    </dataValidation>
    <dataValidation sqref="F25:F28 F34 F48 F54 F60 F66" showDropDown="0" showInputMessage="0" showErrorMessage="1" allowBlank="0" type="list" errorStyle="stop" operator="between">
      <formula1>"AU,NZ"</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0.xml><?xml version="1.0" encoding="utf-8"?>
<worksheet xmlns="http://schemas.openxmlformats.org/spreadsheetml/2006/main">
  <sheetPr filterMode="0">
    <tabColor rgb="FF1F4E79"/>
    <outlinePr summaryBelow="1" summaryRight="1"/>
    <pageSetUpPr fitToPage="1"/>
  </sheetPr>
  <dimension ref="A1:O80"/>
  <sheetViews>
    <sheetView showFormulas="0" showGridLines="0" showRowColHeaders="1" showZeros="1" rightToLeft="0" tabSelected="0" showOutlineSymbols="1" defaultGridColor="1" view="normal" topLeftCell="A11" colorId="64" zoomScale="100" zoomScaleNormal="100" zoomScalePageLayoutView="100" workbookViewId="0">
      <selection pane="topLeft" activeCell="Q33" activeCellId="0" sqref="Q33"/>
    </sheetView>
  </sheetViews>
  <sheetFormatPr baseColWidth="8" defaultColWidth="8.54296875" defaultRowHeight="14.25" zeroHeight="0" outlineLevelRow="0"/>
  <cols>
    <col width="2" customWidth="1" style="865" min="1" max="1"/>
    <col width="40" customWidth="1" style="865" min="2" max="2"/>
    <col width="26" customWidth="1" style="865" min="3" max="3"/>
    <col width="11" customWidth="1" style="865" min="4" max="4"/>
    <col width="18" customWidth="1" style="865" min="5" max="5"/>
    <col width="10" customWidth="1" style="865" min="6" max="6"/>
    <col width="15" customWidth="1" style="865" min="7" max="7"/>
    <col width="34" customWidth="1" style="865" min="8" max="8"/>
    <col width="14" customWidth="1" style="865" min="9" max="9"/>
    <col width="24" customWidth="1" style="865" min="10" max="10"/>
    <col width="22" customWidth="1" style="865" min="11" max="11"/>
    <col width="30" customWidth="1" style="865" min="12" max="12"/>
  </cols>
  <sheetData>
    <row r="1" ht="14.25" customHeight="1" s="866">
      <c r="B1" s="865" t="n"/>
      <c r="C1" s="865" t="n"/>
      <c r="D1" s="865" t="n"/>
      <c r="E1" s="865" t="n"/>
      <c r="F1" s="1314" t="n"/>
      <c r="G1" s="865" t="n"/>
      <c r="H1" s="865" t="n"/>
      <c r="I1" s="865" t="n"/>
      <c r="J1" s="865" t="n"/>
      <c r="K1" s="865" t="n"/>
      <c r="L1" s="865" t="n"/>
      <c r="M1" s="865" t="n"/>
      <c r="N1" s="865" t="n"/>
      <c r="O1" s="865" t="n"/>
    </row>
    <row r="2" ht="21" customHeight="1" s="866">
      <c r="B2" s="1315" t="inlineStr">
        <is>
          <t>Customer</t>
        </is>
      </c>
      <c r="C2" s="865" t="n"/>
      <c r="D2" s="865" t="n"/>
      <c r="E2" s="865" t="n"/>
      <c r="F2" s="1314" t="n"/>
      <c r="G2" s="865" t="n"/>
      <c r="H2" s="865" t="n"/>
      <c r="I2" s="865" t="n"/>
      <c r="J2" s="865" t="n"/>
      <c r="K2" s="865" t="n"/>
      <c r="L2" s="865" t="n"/>
      <c r="M2" s="865" t="n"/>
      <c r="N2" s="865" t="n"/>
      <c r="O2" s="865" t="n"/>
    </row>
    <row r="3" ht="14.25" customHeight="1" s="866">
      <c r="B3" s="865" t="n"/>
      <c r="C3" s="865" t="n"/>
      <c r="D3" s="865" t="n"/>
      <c r="E3" s="865" t="n"/>
      <c r="F3" s="1314" t="n"/>
      <c r="G3" s="865" t="n"/>
      <c r="H3" s="865" t="n"/>
      <c r="I3" s="865" t="n"/>
      <c r="J3" s="865" t="n"/>
      <c r="K3" s="865" t="n"/>
      <c r="L3" s="865" t="n"/>
      <c r="M3" s="865" t="n"/>
      <c r="N3" s="865" t="n"/>
      <c r="O3" s="865" t="n"/>
    </row>
    <row r="4" ht="19" customHeight="1" s="866">
      <c r="B4" s="1316" t="inlineStr">
        <is>
          <t>Portfolio Summary</t>
        </is>
      </c>
      <c r="C4" s="1003" t="n"/>
      <c r="D4" s="1003" t="n"/>
      <c r="E4" s="1004" t="n"/>
      <c r="F4" s="1849" t="n"/>
      <c r="G4" s="865" t="n"/>
      <c r="H4" s="1317" t="inlineStr">
        <is>
          <t>Budget vs TDD Cost</t>
        </is>
      </c>
      <c r="I4" s="1318" t="n"/>
      <c r="J4" s="865" t="n"/>
      <c r="K4" s="865" t="n"/>
      <c r="L4" s="865" t="n"/>
      <c r="M4" s="865" t="n"/>
      <c r="N4" s="865" t="n"/>
      <c r="O4" s="865" t="n"/>
    </row>
    <row r="5" ht="31.5" customHeight="1" s="866">
      <c r="B5" s="1319" t="inlineStr">
        <is>
          <t>Cost</t>
        </is>
      </c>
      <c r="C5" s="1320" t="inlineStr">
        <is>
          <t>TDD AU ($m)</t>
        </is>
      </c>
      <c r="D5" s="1320" t="inlineStr">
        <is>
          <t>TDD NZ ($m)</t>
        </is>
      </c>
      <c r="E5" s="1320" t="inlineStr">
        <is>
          <t>Other ($m)</t>
        </is>
      </c>
      <c r="F5" s="1320" t="inlineStr">
        <is>
          <t>Total ($m)</t>
        </is>
      </c>
      <c r="G5" s="865" t="n"/>
      <c r="H5" s="1321" t="inlineStr">
        <is>
          <t>TDD Budget Allocation (people - 0.2 Data Config)</t>
        </is>
      </c>
      <c r="I5" s="1850">
        <f>'0.2 Data Config'!$E$13+'0.2 Data Config'!$E$14</f>
        <v>6.5</v>
      </c>
      <c r="J5" s="865" t="n"/>
      <c r="K5" s="865" t="n"/>
      <c r="L5" s="865" t="n"/>
      <c r="M5" s="865" t="n"/>
      <c r="N5" s="865" t="n"/>
      <c r="O5" s="865" t="n"/>
    </row>
    <row r="6" ht="14.25" customHeight="1" s="866">
      <c r="B6" s="1012" t="inlineStr">
        <is>
          <t>Portfolio Overhead (see 0.2 Data Config)</t>
        </is>
      </c>
      <c r="C6" s="1323">
        <f>IF(('0.2 Data Config'!$D$13+'0.2 Data Config'!$D$14)&gt;('0.2 Data Config'!$C$13+'0.2 Data Config'!$C$14),0,'0.2 Data Config'!$L$10)</f>
        <v>0</v>
      </c>
      <c r="D6" s="1323">
        <f>IF(('0.2 Data Config'!$D$13+'0.2 Data Config'!$D$14)&gt;('0.2 Data Config'!$C$13+'0.2 Data Config'!$C$14),'0.2 Data Config'!$L$10,0)</f>
        <v>0.7975</v>
      </c>
      <c r="E6" s="1323">
        <f>0</f>
        <v>0</v>
      </c>
      <c r="F6" s="1323">
        <f>C6+D6+E6</f>
        <v>0.7975</v>
      </c>
      <c r="G6" s="865" t="n"/>
      <c r="H6" s="1369" t="inlineStr">
        <is>
          <t>AU Budget ($m)</t>
        </is>
      </c>
      <c r="I6" s="1323">
        <f>'0.2 Data Config'!$C$13+'0.2 Data Config'!$C$14</f>
        <v>2.5</v>
      </c>
      <c r="J6" s="865" t="n"/>
      <c r="K6" s="865" t="n"/>
      <c r="L6" s="865" t="n"/>
      <c r="M6" s="865" t="n"/>
      <c r="N6" s="865" t="n"/>
      <c r="O6" s="865" t="n"/>
    </row>
    <row r="7" ht="14.25" customHeight="1" s="866">
      <c r="B7" s="1012" t="inlineStr">
        <is>
          <t>Platform Overheads</t>
        </is>
      </c>
      <c r="C7" s="1323">
        <f>IF(('0.2 Data Config'!$D$13+'0.2 Data Config'!$D$14)&gt;('0.2 Data Config'!$C$13+'0.2 Data Config'!$C$14),0,SUM(I34,I42,I49))</f>
        <v>0</v>
      </c>
      <c r="D7" s="1323">
        <f>IF(('0.2 Data Config'!$D$13+'0.2 Data Config'!$D$14)&gt;('0.2 Data Config'!$C$13+'0.2 Data Config'!$C$14),SUM(I34,I42,I49),0)</f>
        <v>0.495</v>
      </c>
      <c r="E7" s="1323">
        <f>0</f>
        <v>0</v>
      </c>
      <c r="F7" s="1323">
        <f>C7+D7+E7</f>
        <v>0.495</v>
      </c>
      <c r="G7" s="865" t="n"/>
      <c r="H7" s="1370" t="inlineStr">
        <is>
          <t>NZ Budget ($m)</t>
        </is>
      </c>
      <c r="I7" s="1371">
        <f>'0.2 Data Config'!$D$13+'0.2 Data Config'!$D$14</f>
        <v>4</v>
      </c>
      <c r="J7" s="865" t="n"/>
      <c r="K7" s="865" t="n"/>
      <c r="L7" s="865" t="n"/>
      <c r="M7" s="865" t="n"/>
      <c r="N7" s="865" t="n"/>
      <c r="O7" s="865" t="n"/>
    </row>
    <row r="8" ht="14.25" customHeight="1" s="866">
      <c r="B8" s="1012" t="inlineStr">
        <is>
          <t>Squad Support Costs</t>
        </is>
      </c>
      <c r="C8" s="1323">
        <f>SUMIF($F$31:$F$33,"AU",$I$31:$I$33)+SUMIF($F$39:$F$41,"AU",$I$39:$I$41)+SUMIF($F$47:$F$48,"AU",$I$47:$I$48)+SUMIF($F$54:$F$54,"AU",$I$54:$I$54)</f>
        <v>2.04</v>
      </c>
      <c r="D8" s="1323">
        <f>SUMIF($F$31:$F$33,"NZ",$I$31:$I$33)+SUMIF($F$39:$F$41,"NZ",$I$39:$I$41)+SUMIF($F$47:$F$48,"NZ",$I$47:$I$48)+SUMIF($F$54:$F$54,"NZ",$I$54:$I$54)</f>
        <v>4.1</v>
      </c>
      <c r="E8" s="1323">
        <f>SUM($J$31:$J$33)+SUM($J$39:$J$41)+SUM($J$47:$J$48)+SUM($J$54:$J$54)</f>
        <v>5.92</v>
      </c>
      <c r="F8" s="1323">
        <f>C8+D8+E8</f>
        <v>12.06</v>
      </c>
      <c r="G8" s="865" t="n"/>
      <c r="H8" s="1372" t="inlineStr">
        <is>
          <t>AU over/(under) budget ($m)</t>
        </is>
      </c>
      <c r="I8" s="1853">
        <f>C9-I6</f>
        <v>-0.46</v>
      </c>
      <c r="J8" s="865" t="n"/>
      <c r="K8" s="865" t="n"/>
      <c r="L8" s="865" t="n"/>
      <c r="M8" s="865" t="n"/>
      <c r="N8" s="865" t="n"/>
      <c r="O8" s="865" t="n"/>
    </row>
    <row r="9" ht="14.25" customHeight="1" s="866">
      <c r="B9" s="1330" t="inlineStr">
        <is>
          <t>Total Cost</t>
        </is>
      </c>
      <c r="C9" s="1331">
        <f>SUM(C6:C8)</f>
        <v>2.04</v>
      </c>
      <c r="D9" s="1331">
        <f>SUM(D6:D8)</f>
        <v>5.3925</v>
      </c>
      <c r="E9" s="1331">
        <f>SUM(E6:E8)</f>
        <v>5.92</v>
      </c>
      <c r="F9" s="1331">
        <f>SUM(F6:F8)</f>
        <v>13.3525</v>
      </c>
      <c r="G9" s="865" t="n"/>
      <c r="H9" s="1372" t="inlineStr">
        <is>
          <t>NZ over/(under) budget ($m)</t>
        </is>
      </c>
      <c r="I9" s="1396">
        <f>D9-I7</f>
        <v>1.3925</v>
      </c>
      <c r="J9" s="865" t="n"/>
      <c r="K9" s="865" t="n"/>
      <c r="L9" s="865" t="n"/>
      <c r="M9" s="865" t="n"/>
      <c r="N9" s="865" t="n"/>
      <c r="O9" s="865" t="n"/>
    </row>
    <row r="10" ht="14.25" customHeight="1" s="866">
      <c r="B10" s="865" t="n"/>
      <c r="C10" s="865" t="n"/>
      <c r="D10" s="865" t="n"/>
      <c r="E10" s="865" t="n"/>
      <c r="F10" s="865" t="n"/>
      <c r="G10" s="865" t="n"/>
      <c r="H10" s="1397" t="inlineStr">
        <is>
          <t>TDD over/(under) budget ($m)</t>
        </is>
      </c>
      <c r="I10" s="1398">
        <f>I8+I9</f>
        <v>0.9325</v>
      </c>
      <c r="J10" s="865" t="n"/>
      <c r="K10" s="865" t="n"/>
      <c r="L10" s="865" t="n"/>
      <c r="M10" s="865" t="n"/>
      <c r="N10" s="865" t="n"/>
      <c r="O10" s="865" t="n"/>
    </row>
    <row r="11" ht="14.25" customFormat="1" customHeight="1" s="865"/>
    <row r="12" ht="14.25" customHeight="1" s="866">
      <c r="B12" s="865" t="n"/>
      <c r="C12" s="865" t="n"/>
      <c r="D12" s="865" t="n"/>
      <c r="E12" s="865" t="n"/>
      <c r="F12" s="1314" t="n"/>
      <c r="G12" s="865" t="n"/>
      <c r="H12" s="1399" t="inlineStr">
        <is>
          <t xml:space="preserve">Other funding </t>
        </is>
      </c>
      <c r="I12" s="1400" t="n"/>
      <c r="J12" s="1400" t="n"/>
      <c r="K12" s="1400" t="n"/>
      <c r="L12" s="865" t="n"/>
      <c r="M12" s="865" t="n"/>
      <c r="N12" s="865" t="n"/>
      <c r="O12" s="865" t="n"/>
    </row>
    <row r="13" ht="31.5" customHeight="1" s="866">
      <c r="B13" s="1377" t="inlineStr">
        <is>
          <t xml:space="preserve">Total Customer budget </t>
        </is>
      </c>
      <c r="D13" s="1378" t="n"/>
      <c r="E13" s="1379">
        <f>SUM(I14:I23)</f>
        <v>11.7</v>
      </c>
      <c r="F13" s="1314" t="n"/>
      <c r="G13" s="865" t="n"/>
      <c r="H13" s="1319" t="inlineStr">
        <is>
          <t>Budget line</t>
        </is>
      </c>
      <c r="I13" s="1319" t="inlineStr">
        <is>
          <t>Budget ($m)</t>
        </is>
      </c>
      <c r="J13" s="1319" t="inlineStr">
        <is>
          <t>Amount that can be allocated to people</t>
        </is>
      </c>
      <c r="K13" s="1319" t="inlineStr">
        <is>
          <t>Remaining for non-people ($m)</t>
        </is>
      </c>
      <c r="L13" s="865" t="n"/>
      <c r="M13" s="865" t="n"/>
      <c r="N13" s="865" t="n"/>
      <c r="O13" s="865" t="n"/>
    </row>
    <row r="14" ht="14.25" customHeight="1" s="866">
      <c r="B14" s="1401" t="inlineStr">
        <is>
          <t xml:space="preserve">Reconciled to Finance </t>
        </is>
      </c>
      <c r="D14" s="1378" t="n"/>
      <c r="E14" s="1354">
        <f>N('0.1 Budget Table (Fin)'!Q13)</f>
        <v>11.7</v>
      </c>
      <c r="F14" s="1314" t="n"/>
      <c r="G14" s="865" t="n"/>
      <c r="H14" s="1012" t="inlineStr">
        <is>
          <t>Customer Lights On</t>
        </is>
      </c>
      <c r="I14" s="1830">
        <f>N('0.1 Budget Table (Fin)'!L13)</f>
        <v>1.7</v>
      </c>
      <c r="J14" s="1026">
        <f>N('0.1 Budget Table (Fin)'!$I$24)</f>
        <v>1.2</v>
      </c>
      <c r="K14" s="1014">
        <f>IFERROR(I14-J14,0)</f>
        <v>0.5</v>
      </c>
      <c r="L14" s="1402" t="inlineStr">
        <is>
          <t>Notes</t>
        </is>
      </c>
      <c r="M14" s="865" t="n"/>
      <c r="N14" s="865" t="n"/>
      <c r="O14" s="865" t="n"/>
    </row>
    <row r="15" ht="14.25" customHeight="1" s="866">
      <c r="B15" s="865" t="n"/>
      <c r="C15" s="865" t="n"/>
      <c r="D15" s="865" t="n"/>
      <c r="E15" s="865" t="n"/>
      <c r="F15" s="1314" t="n"/>
      <c r="G15" s="865" t="n"/>
      <c r="H15" s="1012" t="inlineStr">
        <is>
          <t>OpEx Initiatives</t>
        </is>
      </c>
      <c r="I15" s="1830">
        <f>N('0.1 Budget Table (Fin)'!N13)</f>
        <v>0</v>
      </c>
      <c r="J15" s="1852" t="n">
        <v>0</v>
      </c>
      <c r="K15" s="1014">
        <f>IFERROR(I15-J15,0)</f>
        <v>0</v>
      </c>
      <c r="L15" s="1925" t="n"/>
      <c r="M15" s="865" t="n"/>
      <c r="N15" s="865" t="n"/>
      <c r="O15" s="865" t="n"/>
    </row>
    <row r="16" ht="14.25" customHeight="1" s="866">
      <c r="B16" s="1336" t="inlineStr">
        <is>
          <t>Funding position ($m)</t>
        </is>
      </c>
      <c r="C16" s="1337" t="n"/>
      <c r="D16" s="865" t="n"/>
      <c r="E16" s="865" t="n"/>
      <c r="F16" s="1314" t="n"/>
      <c r="G16" s="865" t="n"/>
      <c r="H16" s="1012" t="inlineStr">
        <is>
          <t>CapEx</t>
        </is>
      </c>
      <c r="I16" s="1830">
        <f>N('0.1 Budget Table (Fin)'!P13)</f>
        <v>5</v>
      </c>
      <c r="J16" s="1852" t="n">
        <v>5</v>
      </c>
      <c r="K16" s="1014">
        <f>IFERROR(I16-J16,0)</f>
        <v>0</v>
      </c>
      <c r="L16" s="1403" t="n"/>
      <c r="M16" s="865" t="n"/>
      <c r="N16" s="865" t="n"/>
      <c r="O16" s="865" t="n"/>
    </row>
    <row r="17" ht="14.25" customHeight="1" s="866">
      <c r="B17" s="1338" t="inlineStr">
        <is>
          <t>Over/(under) TDD budget</t>
        </is>
      </c>
      <c r="C17" s="1339">
        <f>$I$8+$I$9</f>
        <v>0.9325</v>
      </c>
      <c r="D17" s="865" t="n"/>
      <c r="E17" s="865" t="n"/>
      <c r="F17" s="1314" t="n"/>
      <c r="G17" s="865" t="n"/>
      <c r="H17" s="1012" t="inlineStr">
        <is>
          <t>Significant Items EGI</t>
        </is>
      </c>
      <c r="I17" s="1830" t="n"/>
      <c r="J17" s="1830">
        <f>J54</f>
        <v>0</v>
      </c>
      <c r="K17" s="1014" t="n"/>
      <c r="L17" s="1403" t="n"/>
      <c r="M17" s="865" t="n"/>
      <c r="N17" s="865" t="n"/>
      <c r="O17" s="865" t="n"/>
    </row>
    <row r="18" ht="14.25" customHeight="1" s="866">
      <c r="B18" s="1338" t="inlineStr">
        <is>
          <t>Still to fund outside TDD</t>
        </is>
      </c>
      <c r="C18" s="1339">
        <f>$J26</f>
        <v>-3.58</v>
      </c>
      <c r="D18" s="865" t="n"/>
      <c r="E18" s="865" t="n"/>
      <c r="F18" s="1314" t="n"/>
      <c r="G18" s="865" t="n"/>
      <c r="H18" s="1012" t="inlineStr">
        <is>
          <t xml:space="preserve">Significant Items </t>
        </is>
      </c>
      <c r="I18" s="1830">
        <f>N('0.1 Budget Table (Fin)'!O13)</f>
        <v>5</v>
      </c>
      <c r="J18" s="1852" t="n">
        <v>4.5</v>
      </c>
      <c r="K18" s="1014">
        <f>IFERROR(I18-J18,0)</f>
        <v>0.5</v>
      </c>
      <c r="L18" s="1925" t="n"/>
      <c r="M18" s="865" t="n"/>
      <c r="N18" s="865" t="n"/>
      <c r="O18" s="865" t="n"/>
    </row>
    <row r="19" ht="14.25" customHeight="1" s="866">
      <c r="B19" s="1344" t="inlineStr">
        <is>
          <t>Total to fund</t>
        </is>
      </c>
      <c r="C19" s="1345">
        <f>$C17+$C18</f>
        <v>-2.6475</v>
      </c>
      <c r="D19" s="865" t="n"/>
      <c r="E19" s="865" t="n"/>
      <c r="F19" s="1314" t="n"/>
      <c r="G19" s="865" t="n"/>
      <c r="H19" s="1012" t="inlineStr">
        <is>
          <t>Sig Items EG</t>
        </is>
      </c>
      <c r="I19" s="1830" t="n"/>
      <c r="J19" s="1854" t="n"/>
      <c r="K19" s="1014" t="n"/>
      <c r="L19" s="1403" t="n"/>
      <c r="M19" s="865" t="n"/>
      <c r="N19" s="865" t="n"/>
      <c r="O19" s="865" t="n"/>
    </row>
    <row r="20" ht="14.25" customHeight="1" s="866">
      <c r="B20" s="865" t="n"/>
      <c r="C20" s="865" t="n"/>
      <c r="D20" s="865" t="n"/>
      <c r="E20" s="865" t="n"/>
      <c r="F20" s="1314" t="n"/>
      <c r="G20" s="865" t="n"/>
      <c r="H20" s="1012" t="inlineStr">
        <is>
          <t>Z OpEx Initiatives</t>
        </is>
      </c>
      <c r="I20" s="1830" t="n"/>
      <c r="J20" s="1854" t="n"/>
      <c r="K20" s="1014" t="n"/>
      <c r="L20" s="1403" t="n"/>
      <c r="M20" s="865" t="n"/>
      <c r="N20" s="865" t="n"/>
      <c r="O20" s="865" t="n"/>
    </row>
    <row r="21" ht="14.25" customHeight="1" s="866">
      <c r="B21" s="865" t="n"/>
      <c r="C21" s="865" t="n"/>
      <c r="D21" s="865" t="n"/>
      <c r="E21" s="865" t="n"/>
      <c r="F21" s="1314" t="n"/>
      <c r="G21" s="865" t="n"/>
      <c r="H21" s="1012" t="inlineStr">
        <is>
          <t>Z CapEx</t>
        </is>
      </c>
      <c r="I21" s="1830" t="n"/>
      <c r="J21" s="1854" t="n"/>
      <c r="K21" s="1014" t="n"/>
      <c r="L21" s="1403" t="n"/>
      <c r="M21" s="865" t="n"/>
      <c r="N21" s="865" t="n"/>
      <c r="O21" s="865" t="n"/>
    </row>
    <row r="22" ht="14.25" customHeight="1" s="866">
      <c r="B22" s="865" t="n"/>
      <c r="C22" s="865" t="n"/>
      <c r="D22" s="865" t="n"/>
      <c r="E22" s="865" t="n"/>
      <c r="F22" s="1314" t="n"/>
      <c r="G22" s="865" t="n"/>
      <c r="H22" s="1012" t="inlineStr">
        <is>
          <t>Z Sig items</t>
        </is>
      </c>
      <c r="I22" s="1830" t="n"/>
      <c r="J22" s="1854" t="n"/>
      <c r="K22" s="1014" t="n"/>
      <c r="L22" s="1403" t="n"/>
      <c r="M22" s="865" t="n"/>
      <c r="N22" s="865" t="n"/>
      <c r="O22" s="865" t="n"/>
    </row>
    <row r="23" ht="14.25" customHeight="1" s="866">
      <c r="B23" s="865" t="n"/>
      <c r="C23" s="865" t="n"/>
      <c r="D23" s="865" t="n"/>
      <c r="E23" s="865" t="n"/>
      <c r="F23" s="1314" t="n"/>
      <c r="G23" s="865" t="n"/>
      <c r="H23" s="1012" t="inlineStr">
        <is>
          <t>Depreciation</t>
        </is>
      </c>
      <c r="I23" s="1830">
        <f>N('0.1 Budget Table (Fin)'!M13)</f>
        <v>0</v>
      </c>
      <c r="J23" s="1852" t="n">
        <v>0</v>
      </c>
      <c r="K23" s="1014">
        <f>IFERROR(I23-J23,0)</f>
        <v>0</v>
      </c>
      <c r="L23" s="1403" t="n"/>
      <c r="M23" s="865" t="n"/>
      <c r="N23" s="865" t="n"/>
      <c r="O23" s="865" t="n"/>
    </row>
    <row r="24" ht="14.25" customHeight="1" s="866">
      <c r="B24" s="865" t="n"/>
      <c r="C24" s="865" t="n"/>
      <c r="D24" s="865" t="n"/>
      <c r="E24" s="865" t="n"/>
      <c r="F24" s="1314" t="n"/>
      <c r="G24" s="865" t="n"/>
      <c r="H24" s="1405" t="inlineStr">
        <is>
          <t>Total applied</t>
        </is>
      </c>
      <c r="I24" s="865" t="n"/>
      <c r="J24" s="1406">
        <f>SUM(J14:J23)</f>
        <v>10.7</v>
      </c>
      <c r="K24" s="865" t="n"/>
      <c r="L24" s="865" t="n"/>
      <c r="M24" s="865" t="n"/>
      <c r="N24" s="865" t="n"/>
      <c r="O24" s="865" t="n"/>
    </row>
    <row r="25" ht="14.25" customHeight="1" s="866">
      <c r="B25" s="865" t="n"/>
      <c r="C25" s="865" t="n"/>
      <c r="D25" s="865" t="n"/>
      <c r="E25" s="865" t="n"/>
      <c r="F25" s="1314" t="n"/>
      <c r="G25" s="865" t="n"/>
      <c r="H25" s="1012" t="inlineStr">
        <is>
          <t>Other cost (this model)</t>
        </is>
      </c>
      <c r="I25" s="865" t="n"/>
      <c r="J25" s="1014">
        <f>E9</f>
        <v>5.92</v>
      </c>
      <c r="K25" s="865" t="n"/>
      <c r="L25" s="865" t="n"/>
      <c r="M25" s="865" t="n"/>
      <c r="N25" s="865" t="n"/>
      <c r="O25" s="865" t="n"/>
    </row>
    <row r="26" ht="14.25" customHeight="1" s="866">
      <c r="B26" s="865" t="n"/>
      <c r="C26" s="865" t="n"/>
      <c r="D26" s="865" t="n"/>
      <c r="E26" s="865" t="n"/>
      <c r="F26" s="1314" t="n"/>
      <c r="G26" s="865" t="n"/>
      <c r="H26" s="1363" t="inlineStr">
        <is>
          <t>Left to fund</t>
        </is>
      </c>
      <c r="I26" s="1363" t="n"/>
      <c r="J26" s="1364">
        <f>E9-(J24-J14)</f>
        <v>-3.58</v>
      </c>
      <c r="K26" s="865" t="n"/>
      <c r="L26" s="865" t="n"/>
      <c r="M26" s="865" t="n"/>
      <c r="N26" s="865" t="n"/>
      <c r="O26" s="865" t="n"/>
    </row>
    <row r="27" ht="14.25" customHeight="1" s="866">
      <c r="B27" s="865" t="n"/>
      <c r="C27" s="865" t="n"/>
      <c r="D27" s="865" t="n"/>
      <c r="E27" s="865" t="n"/>
      <c r="F27" s="1314" t="n"/>
      <c r="G27" s="865" t="n"/>
      <c r="H27" s="865" t="n"/>
      <c r="I27" s="865" t="n"/>
      <c r="J27" s="865" t="n"/>
      <c r="K27" s="865" t="n"/>
      <c r="L27" s="865" t="n"/>
      <c r="M27" s="865" t="n"/>
      <c r="N27" s="865" t="n"/>
      <c r="O27" s="865" t="n"/>
    </row>
    <row r="28" ht="14.25" customHeight="1" s="866">
      <c r="B28" s="865" t="n"/>
      <c r="C28" s="865" t="n"/>
      <c r="D28" s="865" t="n"/>
      <c r="E28" s="865" t="n"/>
      <c r="F28" s="1314" t="n"/>
      <c r="G28" s="865" t="n"/>
      <c r="H28" s="865" t="n"/>
      <c r="I28" s="865" t="n"/>
      <c r="J28" s="865" t="n"/>
      <c r="K28" s="865" t="n"/>
      <c r="L28" s="865" t="n"/>
      <c r="M28" s="865" t="n"/>
      <c r="N28" s="865" t="n"/>
      <c r="O28" s="865" t="n"/>
    </row>
    <row r="29" ht="19" customHeight="1" s="866">
      <c r="B29" s="1399" t="inlineStr">
        <is>
          <t>Platform: Ampol Digital</t>
        </is>
      </c>
      <c r="C29" s="1400" t="n"/>
      <c r="D29" s="1400" t="n"/>
      <c r="E29" s="1400" t="n"/>
      <c r="F29" s="1400" t="n"/>
      <c r="G29" s="1400" t="n"/>
      <c r="H29" s="1400" t="n"/>
      <c r="I29" s="1400" t="n"/>
      <c r="J29" s="1400" t="n"/>
      <c r="K29" s="865" t="n"/>
      <c r="L29" s="865" t="n"/>
      <c r="M29" s="865" t="n"/>
      <c r="N29" s="865" t="n"/>
      <c r="O29" s="865" t="n"/>
    </row>
    <row r="30" ht="31.5" customHeight="1" s="866">
      <c r="B30" s="1319" t="inlineStr">
        <is>
          <t>Squad</t>
        </is>
      </c>
      <c r="C30" s="1319" t="inlineStr">
        <is>
          <t>Squad Type</t>
        </is>
      </c>
      <c r="D30" s="1319" t="inlineStr">
        <is>
          <t>Size</t>
        </is>
      </c>
      <c r="E30" s="1319" t="inlineStr">
        <is>
          <t>Onshore / Offshore</t>
        </is>
      </c>
      <c r="F30" s="1320" t="inlineStr">
        <is>
          <t>AU / NZ</t>
        </is>
      </c>
      <c r="G30" s="1319" t="inlineStr">
        <is>
          <t>% funded by TDD</t>
        </is>
      </c>
      <c r="H30" s="1319" t="inlineStr">
        <is>
          <t>Total Squad Cost ($m)</t>
        </is>
      </c>
      <c r="I30" s="1319" t="inlineStr">
        <is>
          <t>TDD Cost ($m)</t>
        </is>
      </c>
      <c r="J30" s="1319" t="inlineStr">
        <is>
          <t>Funded outside TDD ($m)</t>
        </is>
      </c>
      <c r="K30" s="865" t="n"/>
      <c r="L30" s="865" t="n"/>
      <c r="M30" s="1356" t="n"/>
      <c r="N30" s="865" t="n"/>
      <c r="O30" s="865" t="n"/>
    </row>
    <row r="31" ht="14.25" customHeight="1" s="866">
      <c r="B31" s="1012" t="inlineStr">
        <is>
          <t>Ampol App</t>
        </is>
      </c>
      <c r="C31" s="1357" t="inlineStr">
        <is>
          <t>Product</t>
        </is>
      </c>
      <c r="D31" s="1357" t="inlineStr">
        <is>
          <t>L</t>
        </is>
      </c>
      <c r="E31" s="1357" t="inlineStr">
        <is>
          <t>Onshore</t>
        </is>
      </c>
      <c r="F31" s="1358" t="inlineStr">
        <is>
          <t>AU</t>
        </is>
      </c>
      <c r="G31" s="1359" t="n">
        <v>0.2</v>
      </c>
      <c r="H31" s="1830">
        <f>IFERROR(IF($E31="Onshore",INDEX('0.3 Squad Archetypes'!$G$5:$G$23,MATCH($C31&amp;"|"&amp;$D31,'0.3 Squad Archetypes'!$A$5:$A$23,0)),INDEX('0.3 Squad Archetypes'!$H$5:$H$23,MATCH($C31&amp;"|"&amp;$D31,'0.3 Squad Archetypes'!$A$5:$A$23,0))),"check size")</f>
        <v>2.8</v>
      </c>
      <c r="I31" s="1014">
        <f>IFERROR($H31*$G31,"")</f>
        <v>0.56</v>
      </c>
      <c r="J31" s="1014">
        <f>IFERROR($H31*(1-$G31),"")</f>
        <v>2.24</v>
      </c>
      <c r="K31" s="865" t="n"/>
      <c r="L31" s="865" t="n"/>
      <c r="M31" s="1360" t="n"/>
      <c r="N31" s="865" t="n"/>
      <c r="O31" s="865" t="n"/>
    </row>
    <row r="32" ht="14.25" customHeight="1" s="866">
      <c r="B32" s="1012" t="inlineStr">
        <is>
          <t>Ampol Web</t>
        </is>
      </c>
      <c r="C32" s="1357" t="inlineStr">
        <is>
          <t>Product</t>
        </is>
      </c>
      <c r="D32" s="1357" t="inlineStr">
        <is>
          <t>M</t>
        </is>
      </c>
      <c r="E32" s="1357" t="inlineStr">
        <is>
          <t>Onshore</t>
        </is>
      </c>
      <c r="F32" s="1358" t="inlineStr">
        <is>
          <t>AU</t>
        </is>
      </c>
      <c r="G32" s="1359" t="n">
        <v>0.2</v>
      </c>
      <c r="H32" s="1830">
        <f>IFERROR(IF($E32="Onshore",INDEX('0.3 Squad Archetypes'!$G$5:$G$23,MATCH($C32&amp;"|"&amp;$D32,'0.3 Squad Archetypes'!$A$5:$A$23,0)),INDEX('0.3 Squad Archetypes'!$H$5:$H$23,MATCH($C32&amp;"|"&amp;$D32,'0.3 Squad Archetypes'!$A$5:$A$23,0))),"check size")</f>
        <v>1.9</v>
      </c>
      <c r="I32" s="1014">
        <f>IFERROR($H32*$G32,"")</f>
        <v>0.38</v>
      </c>
      <c r="J32" s="1014">
        <f>IFERROR($H32*(1-$G32),"")</f>
        <v>1.52</v>
      </c>
      <c r="K32" s="865" t="n"/>
      <c r="L32" s="865" t="n"/>
      <c r="M32" s="1360" t="n"/>
      <c r="N32" s="865" t="n"/>
      <c r="O32" s="865" t="n"/>
    </row>
    <row r="33" ht="14.25" customHeight="1" s="866">
      <c r="B33" s="1012" t="inlineStr">
        <is>
          <t>Digital Operations</t>
        </is>
      </c>
      <c r="C33" s="1357" t="inlineStr">
        <is>
          <t>Operations</t>
        </is>
      </c>
      <c r="D33" s="1357" t="inlineStr">
        <is>
          <t>M</t>
        </is>
      </c>
      <c r="E33" s="1357" t="inlineStr">
        <is>
          <t>Offshore</t>
        </is>
      </c>
      <c r="F33" s="1358" t="inlineStr">
        <is>
          <t>AU</t>
        </is>
      </c>
      <c r="G33" s="1359" t="n">
        <v>1</v>
      </c>
      <c r="H33" s="1830">
        <f>IFERROR(IF($E33="Onshore",INDEX('0.3 Squad Archetypes'!$G$5:$G$23,MATCH($C33&amp;"|"&amp;$D33,'0.3 Squad Archetypes'!$A$5:$A$23,0)),INDEX('0.3 Squad Archetypes'!$H$5:$H$23,MATCH($C33&amp;"|"&amp;$D33,'0.3 Squad Archetypes'!$A$5:$A$23,0))),"check size")</f>
        <v>0.56</v>
      </c>
      <c r="I33" s="1014">
        <f>IFERROR($H33*$G33,"")</f>
        <v>0.56</v>
      </c>
      <c r="J33" s="1014">
        <f>IFERROR($H33*(1-$G33),"")</f>
        <v>0</v>
      </c>
      <c r="K33" s="865" t="n"/>
      <c r="L33" s="865" t="n"/>
      <c r="M33" s="1360" t="n"/>
      <c r="N33" s="865" t="n"/>
      <c r="O33" s="865" t="n"/>
    </row>
    <row r="34" ht="14.25" customHeight="1" s="866">
      <c r="A34" s="865" t="n"/>
      <c r="B34" s="1012" t="inlineStr">
        <is>
          <t>Platform Overhead</t>
        </is>
      </c>
      <c r="C34" s="865" t="n"/>
      <c r="D34" s="865" t="n"/>
      <c r="E34" s="865" t="n"/>
      <c r="F34" s="1314" t="n"/>
      <c r="G34" s="865" t="n"/>
      <c r="H34" s="865" t="n"/>
      <c r="I34" s="1830">
        <f>'0.2 Data Config'!$L$16</f>
        <v>0.165</v>
      </c>
      <c r="J34" s="865" t="n"/>
      <c r="K34" s="865" t="n"/>
      <c r="L34" s="865" t="n"/>
      <c r="M34" s="865" t="n"/>
      <c r="N34" s="865" t="n"/>
      <c r="O34" s="865" t="n"/>
    </row>
    <row r="35" ht="14.25" customHeight="1" s="866">
      <c r="A35" s="865" t="n"/>
      <c r="B35" s="1363" t="inlineStr">
        <is>
          <t>Ampol Digital Total</t>
        </is>
      </c>
      <c r="C35" s="1361" t="n"/>
      <c r="D35" s="1361" t="n"/>
      <c r="E35" s="1361" t="n"/>
      <c r="F35" s="1314" t="n"/>
      <c r="G35" s="1361" t="n"/>
      <c r="H35" s="1407">
        <f>SUM(H31:H33)</f>
        <v>5.26</v>
      </c>
      <c r="I35" s="1364">
        <f>SUM(I31:I34)</f>
        <v>1.665</v>
      </c>
      <c r="J35" s="1364">
        <f>SUM(J31:J33)</f>
        <v>3.76</v>
      </c>
      <c r="K35" s="865" t="n"/>
      <c r="L35" s="865" t="n"/>
      <c r="M35" s="865" t="n"/>
      <c r="N35" s="865" t="n"/>
      <c r="O35" s="865" t="n"/>
    </row>
    <row r="36" ht="14.25" customHeight="1" s="866">
      <c r="A36" s="865" t="n"/>
      <c r="B36" s="865" t="n"/>
      <c r="C36" s="865" t="n"/>
      <c r="D36" s="865" t="n"/>
      <c r="E36" s="865" t="n"/>
      <c r="F36" s="1314" t="n"/>
      <c r="G36" s="865" t="n"/>
      <c r="H36" s="865" t="n"/>
      <c r="I36" s="865" t="n"/>
      <c r="J36" s="865" t="n"/>
      <c r="K36" s="865" t="n"/>
      <c r="L36" s="865" t="n"/>
      <c r="M36" s="865" t="n"/>
      <c r="N36" s="865" t="n"/>
      <c r="O36" s="865" t="n"/>
    </row>
    <row r="37" ht="19" customHeight="1" s="866">
      <c r="A37" s="865" t="n"/>
      <c r="B37" s="1399" t="inlineStr">
        <is>
          <t>Platform: Customer Z</t>
        </is>
      </c>
      <c r="C37" s="1400" t="n"/>
      <c r="D37" s="1400" t="n"/>
      <c r="E37" s="1400" t="n"/>
      <c r="F37" s="1400" t="n"/>
      <c r="G37" s="1400" t="n"/>
      <c r="H37" s="1400" t="n"/>
      <c r="I37" s="1400" t="n"/>
      <c r="J37" s="1400" t="n"/>
      <c r="K37" s="865" t="n"/>
      <c r="L37" s="865" t="n"/>
      <c r="M37" s="865" t="n"/>
      <c r="N37" s="865" t="n"/>
      <c r="O37" s="865" t="n"/>
    </row>
    <row r="38" ht="31.5" customHeight="1" s="866">
      <c r="A38" s="865" t="n"/>
      <c r="B38" s="1319" t="inlineStr">
        <is>
          <t>Squad</t>
        </is>
      </c>
      <c r="C38" s="1319" t="inlineStr">
        <is>
          <t>Squad Type</t>
        </is>
      </c>
      <c r="D38" s="1319" t="inlineStr">
        <is>
          <t>Size</t>
        </is>
      </c>
      <c r="E38" s="1319" t="inlineStr">
        <is>
          <t>Onshore / Offshore</t>
        </is>
      </c>
      <c r="F38" s="1320" t="inlineStr">
        <is>
          <t>AU / NZ</t>
        </is>
      </c>
      <c r="G38" s="1319" t="inlineStr">
        <is>
          <t>% funded by TDD</t>
        </is>
      </c>
      <c r="H38" s="1319" t="inlineStr">
        <is>
          <t>Total Squad Cost ($m)</t>
        </is>
      </c>
      <c r="I38" s="1319" t="inlineStr">
        <is>
          <t>TDD Cost ($m)</t>
        </is>
      </c>
      <c r="J38" s="1319" t="inlineStr">
        <is>
          <t>Funded outside TDD ($m)</t>
        </is>
      </c>
      <c r="K38" s="865" t="n"/>
      <c r="L38" s="865" t="n"/>
      <c r="M38" s="1356" t="n"/>
      <c r="N38" s="865" t="n"/>
      <c r="O38" s="865" t="n"/>
    </row>
    <row r="39" ht="14.25" customHeight="1" s="866">
      <c r="A39" s="865" t="n"/>
      <c r="B39" s="1012" t="inlineStr">
        <is>
          <t>Z App and Web</t>
        </is>
      </c>
      <c r="C39" s="1357" t="inlineStr">
        <is>
          <t>Product</t>
        </is>
      </c>
      <c r="D39" s="1357" t="inlineStr">
        <is>
          <t>S</t>
        </is>
      </c>
      <c r="E39" s="1357" t="inlineStr">
        <is>
          <t>Onshore</t>
        </is>
      </c>
      <c r="F39" s="1358" t="inlineStr">
        <is>
          <t>NZ</t>
        </is>
      </c>
      <c r="G39" s="1359" t="n">
        <v>1</v>
      </c>
      <c r="H39" s="1830">
        <f>IFERROR(IF($E39="Onshore",INDEX('0.3 Squad Archetypes'!$G$5:$G$23,MATCH($C39&amp;"|"&amp;$D39,'0.3 Squad Archetypes'!$A$5:$A$23,0)),INDEX('0.3 Squad Archetypes'!$H$5:$H$23,MATCH($C39&amp;"|"&amp;$D39,'0.3 Squad Archetypes'!$A$5:$A$23,0))),"check size")</f>
        <v>1.3</v>
      </c>
      <c r="I39" s="1014">
        <f>IFERROR($H39*$G39,"")</f>
        <v>1.3</v>
      </c>
      <c r="J39" s="1014">
        <f>IFERROR($H39*(1-$G39),"")</f>
        <v>0</v>
      </c>
      <c r="K39" s="865" t="n"/>
      <c r="L39" s="865" t="n"/>
      <c r="M39" s="1360" t="n"/>
      <c r="N39" s="865" t="n"/>
      <c r="O39" s="865" t="n"/>
    </row>
    <row r="40" ht="14.25" customHeight="1" s="866">
      <c r="A40" s="865" t="n"/>
      <c r="B40" s="1408" t="inlineStr">
        <is>
          <t>Z Loyalty &amp; Martech</t>
        </is>
      </c>
      <c r="C40" s="1409" t="inlineStr">
        <is>
          <t>Product</t>
        </is>
      </c>
      <c r="D40" s="1409" t="inlineStr">
        <is>
          <t>L</t>
        </is>
      </c>
      <c r="E40" s="1409" t="inlineStr">
        <is>
          <t>Onshore</t>
        </is>
      </c>
      <c r="F40" s="1358" t="inlineStr">
        <is>
          <t>NZ</t>
        </is>
      </c>
      <c r="G40" s="1410" t="n">
        <v>1</v>
      </c>
      <c r="H40" s="1830">
        <f>IFERROR(IF($E40="Onshore",INDEX('0.3 Squad Archetypes'!$G$5:$G$23,MATCH($C40&amp;"|"&amp;$D40,'0.3 Squad Archetypes'!$A$5:$A$23,0)),INDEX('0.3 Squad Archetypes'!$H$5:$H$23,MATCH($C40&amp;"|"&amp;$D40,'0.3 Squad Archetypes'!$A$5:$A$23,0))),"check size")</f>
        <v>2.8</v>
      </c>
      <c r="I40" s="1014">
        <f>IFERROR($H40*$G40,"")</f>
        <v>2.8</v>
      </c>
      <c r="J40" s="1014">
        <f>IFERROR($H40*(1-$G40),"")</f>
        <v>0</v>
      </c>
      <c r="K40" s="865" t="n"/>
      <c r="L40" s="865" t="n"/>
      <c r="M40" s="1360" t="n"/>
      <c r="N40" s="865" t="n"/>
      <c r="O40" s="865" t="n"/>
    </row>
    <row r="41" ht="14.25" customHeight="1" s="866">
      <c r="A41" s="865" t="inlineStr">
        <is>
          <t>Net New</t>
        </is>
      </c>
      <c r="B41" s="1012" t="n"/>
      <c r="C41" s="1926" t="n"/>
      <c r="D41" s="1926" t="n"/>
      <c r="E41" s="1926" t="n"/>
      <c r="F41" s="1927" t="n"/>
      <c r="G41" s="1928" t="n"/>
      <c r="H41" s="1929" t="n"/>
      <c r="I41" s="1014" t="n"/>
      <c r="J41" s="1014" t="n"/>
      <c r="K41" s="865" t="n"/>
      <c r="L41" s="865" t="n"/>
      <c r="M41" s="1360" t="n"/>
      <c r="N41" s="865" t="n"/>
      <c r="O41" s="865" t="n"/>
    </row>
    <row r="42" ht="14.25" customHeight="1" s="866">
      <c r="A42" s="865" t="n"/>
      <c r="B42" s="1012" t="inlineStr">
        <is>
          <t>Platform Overhead</t>
        </is>
      </c>
      <c r="C42" s="865" t="n"/>
      <c r="D42" s="865" t="n"/>
      <c r="E42" s="865" t="n"/>
      <c r="F42" s="1314" t="n"/>
      <c r="G42" s="865" t="n"/>
      <c r="H42" s="865" t="n"/>
      <c r="I42" s="1830">
        <f>'0.2 Data Config'!$L$16</f>
        <v>0.165</v>
      </c>
      <c r="J42" s="865" t="n"/>
      <c r="K42" s="865" t="n"/>
      <c r="L42" s="865" t="n"/>
      <c r="M42" s="865" t="n"/>
      <c r="N42" s="865" t="n"/>
      <c r="O42" s="865" t="n"/>
    </row>
    <row r="43" ht="14.25" customHeight="1" s="866">
      <c r="A43" s="865" t="n"/>
      <c r="B43" s="1363" t="inlineStr">
        <is>
          <t>Customer Z Total</t>
        </is>
      </c>
      <c r="C43" s="1361" t="n"/>
      <c r="D43" s="1361" t="n"/>
      <c r="E43" s="1361" t="n"/>
      <c r="F43" s="1314" t="n"/>
      <c r="G43" s="1361" t="n"/>
      <c r="H43" s="1364">
        <f>SUM(H39:H41)</f>
        <v>4.1</v>
      </c>
      <c r="I43" s="1364">
        <f>SUM(I39:I42)</f>
        <v>4.265</v>
      </c>
      <c r="J43" s="1364">
        <f>SUM(J39:J41)</f>
        <v>0</v>
      </c>
      <c r="K43" s="865" t="n"/>
      <c r="L43" s="865" t="n"/>
      <c r="M43" s="865" t="n"/>
      <c r="N43" s="865" t="n"/>
      <c r="O43" s="865" t="n"/>
    </row>
    <row r="44" ht="14.25" customHeight="1" s="866">
      <c r="A44" s="865" t="n"/>
      <c r="B44" s="865" t="n"/>
      <c r="C44" s="865" t="n"/>
      <c r="D44" s="865" t="n"/>
      <c r="E44" s="865" t="n"/>
      <c r="F44" s="1314" t="n"/>
      <c r="G44" s="865" t="n"/>
      <c r="H44" s="865" t="n"/>
      <c r="I44" s="865" t="n"/>
      <c r="J44" s="865" t="n"/>
      <c r="K44" s="865" t="n"/>
      <c r="L44" s="865" t="n"/>
      <c r="M44" s="865" t="n"/>
      <c r="N44" s="865" t="n"/>
      <c r="O44" s="865" t="n"/>
    </row>
    <row r="45" ht="19" customHeight="1" s="866">
      <c r="A45" s="865" t="n"/>
      <c r="B45" s="1414" t="inlineStr">
        <is>
          <t>Platform: Group Customer Platforms</t>
        </is>
      </c>
      <c r="K45" s="865" t="n"/>
      <c r="L45" s="865" t="n"/>
      <c r="M45" s="865" t="n"/>
      <c r="N45" s="865" t="n"/>
      <c r="O45" s="865" t="n"/>
    </row>
    <row r="46" ht="31.5" customHeight="1" s="866">
      <c r="A46" s="865" t="n"/>
      <c r="B46" s="1380" t="inlineStr">
        <is>
          <t>Squad</t>
        </is>
      </c>
      <c r="C46" s="1380" t="inlineStr">
        <is>
          <t>Squad Type</t>
        </is>
      </c>
      <c r="D46" s="1380" t="inlineStr">
        <is>
          <t>Size</t>
        </is>
      </c>
      <c r="E46" s="1380" t="inlineStr">
        <is>
          <t>Onshore / Offshore</t>
        </is>
      </c>
      <c r="F46" s="1320" t="inlineStr">
        <is>
          <t>AU / NZ</t>
        </is>
      </c>
      <c r="G46" s="1380" t="inlineStr">
        <is>
          <t>% funded by TDD</t>
        </is>
      </c>
      <c r="H46" s="1380" t="inlineStr">
        <is>
          <t>Total Squad Cost ($m)</t>
        </is>
      </c>
      <c r="I46" s="1380" t="inlineStr">
        <is>
          <t>TDD Cost ($m)</t>
        </is>
      </c>
      <c r="J46" s="1380" t="inlineStr">
        <is>
          <t>Funded outside TDD ($m)</t>
        </is>
      </c>
      <c r="K46" s="865" t="n"/>
      <c r="L46" s="865" t="n"/>
      <c r="M46" s="1356" t="n"/>
      <c r="N46" s="865" t="n"/>
      <c r="O46" s="865" t="n"/>
    </row>
    <row r="47" ht="14.25" customHeight="1" s="866">
      <c r="A47" s="865" t="n"/>
      <c r="B47" s="1382" t="inlineStr">
        <is>
          <t>Ampol Loyalty &amp; Martech</t>
        </is>
      </c>
      <c r="C47" s="1392" t="inlineStr">
        <is>
          <t>Product</t>
        </is>
      </c>
      <c r="D47" s="1392" t="inlineStr">
        <is>
          <t>M</t>
        </is>
      </c>
      <c r="E47" s="1392" t="inlineStr">
        <is>
          <t>Onshore</t>
        </is>
      </c>
      <c r="F47" s="1358" t="inlineStr">
        <is>
          <t>AU</t>
        </is>
      </c>
      <c r="G47" s="1393" t="n">
        <v>0.2</v>
      </c>
      <c r="H47" s="1855">
        <f>IFERROR(IF($E47="Onshore",INDEX('0.3 Squad Archetypes'!$G$5:$G$23,MATCH($C47&amp;"|"&amp;$D47,'0.3 Squad Archetypes'!$A$5:$A$23,0)),INDEX('0.3 Squad Archetypes'!$H$5:$H$23,MATCH($C47&amp;"|"&amp;$D47,'0.3 Squad Archetypes'!$A$5:$A$23,0))),"check size")</f>
        <v>1.9</v>
      </c>
      <c r="I47" s="1385">
        <f>IFERROR($H47*$G47,"")</f>
        <v>0.38</v>
      </c>
      <c r="J47" s="1385">
        <f>IFERROR($H47*(1-$G47),"")</f>
        <v>1.52</v>
      </c>
      <c r="K47" s="865" t="n"/>
      <c r="L47" s="865" t="n"/>
      <c r="M47" s="1360" t="n"/>
      <c r="N47" s="865" t="n"/>
      <c r="O47" s="865" t="n"/>
    </row>
    <row r="48" ht="14.25" customHeight="1" s="866">
      <c r="A48" s="865" t="inlineStr">
        <is>
          <t>Net New - 3FTE</t>
        </is>
      </c>
      <c r="B48" s="1382" t="inlineStr">
        <is>
          <t>Customer AI</t>
        </is>
      </c>
      <c r="C48" s="1411" t="inlineStr">
        <is>
          <t>Engineering</t>
        </is>
      </c>
      <c r="D48" s="1411" t="inlineStr">
        <is>
          <t>S</t>
        </is>
      </c>
      <c r="E48" s="1411" t="inlineStr">
        <is>
          <t>Onshore</t>
        </is>
      </c>
      <c r="F48" s="1358" t="inlineStr">
        <is>
          <t>AU</t>
        </is>
      </c>
      <c r="G48" s="1393" t="n">
        <v>0.2</v>
      </c>
      <c r="H48" s="1855">
        <f>IFERROR(IF($E48="Onshore",INDEX('0.3 Squad Archetypes'!$G$5:$G$23,MATCH($C48&amp;"|"&amp;$D48,'0.3 Squad Archetypes'!$A$5:$A$23,0)),INDEX('0.3 Squad Archetypes'!$H$5:$H$23,MATCH($C48&amp;"|"&amp;$D48,'0.3 Squad Archetypes'!$A$5:$A$23,0))),"check size")</f>
        <v>0.8</v>
      </c>
      <c r="I48" s="1385">
        <f>IFERROR($H48*$G48,"")</f>
        <v>0.16</v>
      </c>
      <c r="J48" s="1385">
        <f>IFERROR($H48*(1-$G48),"")</f>
        <v>0.64</v>
      </c>
      <c r="K48" s="865" t="n"/>
      <c r="L48" s="865" t="n"/>
      <c r="M48" s="1360" t="n"/>
      <c r="N48" s="865" t="n"/>
      <c r="O48" s="865" t="n"/>
    </row>
    <row r="49" ht="14.25" customHeight="1" s="866">
      <c r="A49" s="865" t="n"/>
      <c r="B49" s="1382" t="inlineStr">
        <is>
          <t>Platform Overhead</t>
        </is>
      </c>
      <c r="C49" s="1362" t="n"/>
      <c r="D49" s="1362" t="n"/>
      <c r="E49" s="1362" t="n"/>
      <c r="F49" s="1314" t="n"/>
      <c r="G49" s="1362" t="n"/>
      <c r="H49" s="1384" t="n"/>
      <c r="I49" s="1855">
        <f>'0.2 Data Config'!$L$16</f>
        <v>0.165</v>
      </c>
      <c r="J49" s="1384" t="n"/>
      <c r="K49" s="865" t="n"/>
      <c r="L49" s="865" t="n"/>
      <c r="M49" s="865" t="n"/>
      <c r="N49" s="865" t="n"/>
      <c r="O49" s="865" t="n"/>
    </row>
    <row r="50" ht="14.25" customHeight="1" s="866">
      <c r="B50" s="1389" t="inlineStr">
        <is>
          <t>Group Customer Platforms Total</t>
        </is>
      </c>
      <c r="C50" s="1361" t="n"/>
      <c r="D50" s="1361" t="n"/>
      <c r="E50" s="1361" t="n"/>
      <c r="F50" s="1314" t="n"/>
      <c r="G50" s="1361" t="n"/>
      <c r="H50" s="1390">
        <f>SUM(H47:H48)</f>
        <v>2.7</v>
      </c>
      <c r="I50" s="1390">
        <f>SUM(I47:I49)</f>
        <v>0.705</v>
      </c>
      <c r="J50" s="1390">
        <f>SUM(J47:J48)</f>
        <v>2.16</v>
      </c>
      <c r="K50" s="865" t="n"/>
      <c r="L50" s="865" t="n"/>
      <c r="M50" s="865" t="n"/>
      <c r="N50" s="865" t="n"/>
      <c r="O50" s="865" t="n"/>
    </row>
    <row r="51" ht="14.25" customHeight="1" s="866">
      <c r="B51" s="865" t="n"/>
      <c r="C51" s="865" t="n"/>
      <c r="D51" s="865" t="n"/>
      <c r="E51" s="865" t="n"/>
      <c r="F51" s="1314" t="n"/>
      <c r="G51" s="865" t="n"/>
      <c r="H51" s="865" t="n"/>
      <c r="I51" s="865" t="n"/>
      <c r="J51" s="865" t="n"/>
      <c r="K51" s="865" t="n"/>
      <c r="L51" s="865" t="n"/>
      <c r="M51" s="865" t="n"/>
      <c r="N51" s="865" t="n"/>
      <c r="O51" s="865" t="n"/>
    </row>
    <row r="52" ht="19" customHeight="1" s="866">
      <c r="B52" s="1414" t="inlineStr">
        <is>
          <t>Platform: EGI Customer</t>
        </is>
      </c>
      <c r="K52" s="865" t="n"/>
      <c r="L52" s="865" t="n"/>
      <c r="M52" s="865" t="n"/>
      <c r="N52" s="865" t="n"/>
      <c r="O52" s="865" t="n"/>
    </row>
    <row r="53" ht="31.5" customHeight="1" s="866">
      <c r="B53" s="1380" t="inlineStr">
        <is>
          <t>Squad</t>
        </is>
      </c>
      <c r="C53" s="1380" t="inlineStr">
        <is>
          <t>Squad Type</t>
        </is>
      </c>
      <c r="D53" s="1380" t="inlineStr">
        <is>
          <t>Size</t>
        </is>
      </c>
      <c r="E53" s="1380" t="inlineStr">
        <is>
          <t>Onshore / Offshore</t>
        </is>
      </c>
      <c r="F53" s="1320" t="inlineStr">
        <is>
          <t>AU / NZ</t>
        </is>
      </c>
      <c r="G53" s="1380" t="inlineStr">
        <is>
          <t>% funded by TDD</t>
        </is>
      </c>
      <c r="H53" s="1380" t="inlineStr">
        <is>
          <t>Total Squad Cost ($m)</t>
        </is>
      </c>
      <c r="I53" s="1380" t="inlineStr">
        <is>
          <t>TDD Cost ($m)</t>
        </is>
      </c>
      <c r="J53" s="1380" t="inlineStr">
        <is>
          <t>Funded outside TDD ($m)</t>
        </is>
      </c>
      <c r="K53" s="865" t="n"/>
      <c r="L53" s="865" t="n"/>
      <c r="M53" s="1356" t="n"/>
      <c r="N53" s="865" t="n"/>
      <c r="O53" s="865" t="n"/>
    </row>
    <row r="54" ht="14.25" customHeight="1" s="866">
      <c r="B54" s="1382" t="inlineStr">
        <is>
          <t>EGI Customer</t>
        </is>
      </c>
      <c r="C54" s="1392" t="inlineStr">
        <is>
          <t>Strategic Programs</t>
        </is>
      </c>
      <c r="D54" s="1392" t="n"/>
      <c r="E54" s="1392" t="inlineStr">
        <is>
          <t>Onshore</t>
        </is>
      </c>
      <c r="F54" s="1358" t="inlineStr">
        <is>
          <t>AU</t>
        </is>
      </c>
      <c r="G54" s="1393" t="n">
        <v>0</v>
      </c>
      <c r="H54" s="1856" t="n">
        <v>0</v>
      </c>
      <c r="I54" s="1385">
        <f>IFERROR($H54*$G54,"")</f>
        <v>0</v>
      </c>
      <c r="J54" s="1385">
        <f>IFERROR($H54*(1-$G54),"")</f>
        <v>0</v>
      </c>
      <c r="K54" s="865" t="n"/>
      <c r="L54" s="865" t="n"/>
      <c r="M54" s="1360" t="n"/>
      <c r="N54" s="1366" t="n"/>
      <c r="O54" s="865" t="n"/>
    </row>
    <row r="55" ht="14.25" customHeight="1" s="866">
      <c r="B55" s="1415" t="n"/>
      <c r="C55" s="1362" t="n"/>
      <c r="D55" s="1362" t="n"/>
      <c r="E55" s="1362" t="n"/>
      <c r="F55" s="1314" t="n"/>
      <c r="G55" s="1362" t="n"/>
      <c r="H55" s="1384" t="n"/>
      <c r="I55" s="1855" t="n"/>
      <c r="J55" s="1384" t="n"/>
      <c r="K55" s="865" t="n"/>
      <c r="L55" s="865" t="n"/>
      <c r="M55" s="865" t="n"/>
      <c r="N55" s="865" t="n"/>
      <c r="O55" s="865" t="n"/>
    </row>
    <row r="56" ht="14.25" customHeight="1" s="866">
      <c r="B56" s="1389" t="inlineStr">
        <is>
          <t>EGI Customer Total</t>
        </is>
      </c>
      <c r="C56" s="1361" t="n"/>
      <c r="D56" s="1361" t="n"/>
      <c r="E56" s="1361" t="n"/>
      <c r="F56" s="1314" t="n"/>
      <c r="G56" s="1361" t="n"/>
      <c r="H56" s="1390">
        <f>SUM(H54:H54)</f>
        <v>0</v>
      </c>
      <c r="I56" s="1390">
        <f>SUM(I54:I54)</f>
        <v>0</v>
      </c>
      <c r="J56" s="1390">
        <f>SUM(J54:J54)</f>
        <v>0</v>
      </c>
      <c r="K56" s="865" t="n"/>
      <c r="L56" s="865" t="n"/>
      <c r="M56" s="865" t="n"/>
      <c r="N56" s="865" t="n"/>
      <c r="O56" s="865" t="n"/>
    </row>
    <row r="57" ht="14.25" customHeight="1" s="866">
      <c r="B57" s="865" t="n"/>
      <c r="C57" s="865" t="n"/>
      <c r="D57" s="865" t="n"/>
      <c r="E57" s="865" t="n"/>
      <c r="F57" s="1314" t="n"/>
      <c r="G57" s="865" t="n"/>
      <c r="H57" s="865" t="n"/>
      <c r="I57" s="865" t="n"/>
      <c r="J57" s="865" t="n"/>
      <c r="K57" s="865" t="n"/>
      <c r="L57" s="865" t="n"/>
      <c r="M57" s="865" t="n"/>
      <c r="N57" s="865" t="n"/>
      <c r="O57" s="865" t="n"/>
    </row>
    <row r="58" ht="14.25" customHeight="1" s="866">
      <c r="B58" s="1366" t="n"/>
      <c r="C58" s="1368" t="n"/>
      <c r="D58" s="1314" t="n"/>
      <c r="E58" s="865" t="n"/>
      <c r="F58" s="1314" t="n"/>
      <c r="G58" s="865" t="n"/>
      <c r="H58" s="865" t="n"/>
      <c r="I58" s="865" t="n"/>
      <c r="J58" s="865" t="n"/>
      <c r="K58" s="865" t="n"/>
      <c r="L58" s="865" t="n"/>
      <c r="M58" s="865" t="n"/>
      <c r="N58" s="865" t="n"/>
      <c r="O58" s="865" t="n"/>
    </row>
    <row r="59" ht="14.25" customHeight="1" s="866">
      <c r="B59" s="1366" t="n"/>
      <c r="C59" s="1368" t="n"/>
      <c r="D59" s="1314" t="n"/>
      <c r="E59" s="865" t="n"/>
      <c r="F59" s="1314" t="n"/>
      <c r="G59" s="865" t="n"/>
      <c r="H59" s="865" t="n"/>
      <c r="I59" s="865" t="n"/>
      <c r="J59" s="865" t="n"/>
      <c r="K59" s="865" t="n"/>
      <c r="L59" s="865" t="n"/>
      <c r="M59" s="865" t="n"/>
      <c r="N59" s="865" t="n"/>
      <c r="O59" s="865" t="n"/>
    </row>
    <row r="62" ht="19" customHeight="1" s="866">
      <c r="B62" s="1527" t="inlineStr">
        <is>
          <t>Archetype against actual - every squad on this tab</t>
        </is>
      </c>
      <c r="C62" s="1528" t="n"/>
      <c r="D62" s="1528" t="n"/>
      <c r="E62" s="1528" t="n"/>
      <c r="F62" s="1528" t="n"/>
      <c r="G62" s="1528" t="n"/>
      <c r="H62" s="1528" t="n"/>
      <c r="I62" s="1528" t="n"/>
      <c r="J62" s="1528" t="n"/>
      <c r="K62" s="1528" t="n"/>
      <c r="L62" s="1528" t="n"/>
    </row>
    <row r="63" ht="34" customHeight="1" s="866">
      <c r="B63" s="1529" t="inlineStr">
        <is>
          <t>Platform</t>
        </is>
      </c>
      <c r="C63" s="1945" t="n"/>
      <c r="D63" s="1529" t="inlineStr">
        <is>
          <t>Squad</t>
        </is>
      </c>
      <c r="E63" s="1945" t="n"/>
      <c r="F63" s="1945" t="n"/>
      <c r="G63" s="1945" t="n"/>
      <c r="H63" s="1529" t="inlineStr">
        <is>
          <t>Total Squad Cost ($m)</t>
        </is>
      </c>
      <c r="I63" s="1529" t="inlineStr">
        <is>
          <t>TDD Cost ($m)</t>
        </is>
      </c>
      <c r="J63" s="1529" t="inlineStr">
        <is>
          <t>Funded outside TDD ($m)</t>
        </is>
      </c>
      <c r="K63" s="1529" t="inlineStr">
        <is>
          <t>Actual cost after decisions ($m)</t>
        </is>
      </c>
      <c r="L63" s="1529" t="inlineStr">
        <is>
          <t>Variance to archetype ($m)</t>
        </is>
      </c>
    </row>
    <row r="64">
      <c r="B64" s="1788" t="inlineStr">
        <is>
          <t>Ampol Digital</t>
        </is>
      </c>
      <c r="C64" s="1946" t="n"/>
      <c r="D64" s="1788" t="str">
        <f>$B31</f>
        <v>Ampol App</v>
      </c>
      <c r="E64" s="1946" t="n"/>
      <c r="F64" s="1946" t="n"/>
      <c r="G64" s="1946" t="n"/>
      <c r="H64" s="1791">
        <f>IF(H31="","-",H31)</f>
        <v>2.8</v>
      </c>
      <c r="I64" s="1791">
        <f>IF(I31="","-",I31)</f>
        <v>0.56</v>
      </c>
      <c r="J64" s="1791">
        <f>IF(J31="","-",J31)</f>
        <v>2.24</v>
      </c>
      <c r="K64" s="1791">
        <f>IFERROR(INDEX('2.2 Customer'!$P$8:$P$27,MATCH($D64,'2.2 Customer'!$B$8:$B$27,0)),"-")</f>
        <v>3.36059233</v>
      </c>
      <c r="L64" s="1791">
        <f>IF(AND(ISNUMBER($H64),ISNUMBER($K64)),ROUND($K64-$H64,6),"-")</f>
        <v>0.560592</v>
      </c>
    </row>
    <row r="65">
      <c r="B65" s="1788" t="inlineStr">
        <is>
          <t>Ampol Digital</t>
        </is>
      </c>
      <c r="C65" s="1946" t="n"/>
      <c r="D65" s="1788" t="str">
        <f>$B32</f>
        <v>Ampol Web</v>
      </c>
      <c r="E65" s="1946" t="n"/>
      <c r="F65" s="1946" t="n"/>
      <c r="G65" s="1946" t="n"/>
      <c r="H65" s="1791">
        <f>IF(H32="","-",H32)</f>
        <v>1.9</v>
      </c>
      <c r="I65" s="1791">
        <f>IF(I32="","-",I32)</f>
        <v>0.38</v>
      </c>
      <c r="J65" s="1791">
        <f>IF(J32="","-",J32)</f>
        <v>1.52</v>
      </c>
      <c r="K65" s="1791">
        <f>IFERROR(INDEX('2.2 Customer'!$P$8:$P$27,MATCH($D65,'2.2 Customer'!$B$8:$B$27,0)),"-")</f>
        <v>1.7617192</v>
      </c>
      <c r="L65" s="1791">
        <f>IF(AND(ISNUMBER($H65),ISNUMBER($K65)),ROUND($K65-$H65,6),"-")</f>
        <v>-0.138281</v>
      </c>
    </row>
    <row r="66">
      <c r="B66" s="1788" t="inlineStr">
        <is>
          <t>Ampol Digital</t>
        </is>
      </c>
      <c r="C66" s="1946" t="n"/>
      <c r="D66" s="1788" t="str">
        <f>$B33</f>
        <v>Digital Operations</v>
      </c>
      <c r="E66" s="1946" t="n"/>
      <c r="F66" s="1946" t="n"/>
      <c r="G66" s="1946" t="n"/>
      <c r="H66" s="1791">
        <f>IF(H33="","-",H33)</f>
        <v>0.56</v>
      </c>
      <c r="I66" s="1791">
        <f>IF(I33="","-",I33)</f>
        <v>0.56</v>
      </c>
      <c r="J66" s="1791">
        <f>IF(J33="","-",J33)</f>
        <v>0</v>
      </c>
      <c r="K66" s="1791">
        <f>IFERROR(INDEX('2.2 Customer'!$P$8:$P$27,MATCH($D66,'2.2 Customer'!$B$8:$B$27,0)),"-")</f>
        <v>1.303645928</v>
      </c>
      <c r="L66" s="1791">
        <f>IF(AND(ISNUMBER($H66),ISNUMBER($K66)),ROUND($K66-$H66,6),"-")</f>
        <v>0.743646</v>
      </c>
    </row>
    <row r="67">
      <c r="B67" s="1535" t="inlineStr">
        <is>
          <t>Ampol Digital total</t>
        </is>
      </c>
      <c r="C67" s="1947" t="n"/>
      <c r="D67" s="1947" t="n"/>
      <c r="E67" s="1947" t="n"/>
      <c r="F67" s="1947" t="n"/>
      <c r="G67" s="1947" t="n"/>
      <c r="H67" s="1771">
        <f>IF(COUNT($H64,$H65,$H66)=3,SUM($H64,$H65,$H66),"-")</f>
        <v>5.26</v>
      </c>
      <c r="I67" s="1771">
        <f>IF(COUNT($I64,$I65,$I66)=3,SUM($I64,$I65,$I66),"-")</f>
        <v>1.5</v>
      </c>
      <c r="J67" s="1771">
        <f>IF(COUNT($J64,$J65,$J66)=3,SUM($J64,$J65,$J66),"-")</f>
        <v>3.76</v>
      </c>
      <c r="K67" s="1771">
        <f>SUM($K64:$K66)</f>
        <v>6.425957458</v>
      </c>
      <c r="L67" s="1771">
        <f>IF(AND(ISNUMBER($H67),ISNUMBER($K67)),ROUND($K67-$H67,6),"-")</f>
        <v>1.165957</v>
      </c>
    </row>
    <row r="68">
      <c r="B68" s="1788" t="inlineStr">
        <is>
          <t>Customer Z</t>
        </is>
      </c>
      <c r="C68" s="1946" t="n"/>
      <c r="D68" s="1788" t="str">
        <f>$B39</f>
        <v>Z App and Web</v>
      </c>
      <c r="E68" s="1946" t="n"/>
      <c r="F68" s="1946" t="n"/>
      <c r="G68" s="1946" t="n"/>
      <c r="H68" s="1791">
        <f>IF(H39="","-",H39)</f>
        <v>1.3</v>
      </c>
      <c r="I68" s="1791">
        <f>IF(I39="","-",I39)</f>
        <v>1.3</v>
      </c>
      <c r="J68" s="1791">
        <f>IF(J39="","-",J39)</f>
        <v>0</v>
      </c>
      <c r="K68" s="1791">
        <f>IFERROR(INDEX('2.2 Customer'!$P$8:$P$27,MATCH($D68,'2.2 Customer'!$B$8:$B$27,0)),"-")</f>
        <v>1.223286048</v>
      </c>
      <c r="L68" s="1791">
        <f>IF(AND(ISNUMBER($H68),ISNUMBER($K68)),ROUND($K68-$H68,6),"-")</f>
        <v>-0.076714</v>
      </c>
    </row>
    <row r="69">
      <c r="B69" s="1788" t="inlineStr">
        <is>
          <t>Customer Z</t>
        </is>
      </c>
      <c r="C69" s="1946" t="n"/>
      <c r="D69" s="1788" t="str">
        <f>$B40</f>
        <v>Z Loyalty &amp; Martech</v>
      </c>
      <c r="E69" s="1946" t="n"/>
      <c r="F69" s="1946" t="n"/>
      <c r="G69" s="1946" t="n"/>
      <c r="H69" s="1791">
        <f>IF(H40="","-",H40)</f>
        <v>2.8</v>
      </c>
      <c r="I69" s="1791">
        <f>IF(I40="","-",I40)</f>
        <v>2.8</v>
      </c>
      <c r="J69" s="1791">
        <f>IF(J40="","-",J40)</f>
        <v>0</v>
      </c>
      <c r="K69" s="1791">
        <f>IFERROR(INDEX('2.2 Customer'!$P$8:$P$27,MATCH($D69,'2.2 Customer'!$B$8:$B$27,0)),"-")</f>
        <v>2.946001772</v>
      </c>
      <c r="L69" s="1791">
        <f>IF(AND(ISNUMBER($H69),ISNUMBER($K69)),ROUND($K69-$H69,6),"-")</f>
        <v>0.146002</v>
      </c>
    </row>
    <row r="70">
      <c r="B70" s="1535" t="inlineStr">
        <is>
          <t>Customer Z total</t>
        </is>
      </c>
      <c r="C70" s="1947" t="n"/>
      <c r="D70" s="1947" t="n"/>
      <c r="E70" s="1947" t="n"/>
      <c r="F70" s="1947" t="n"/>
      <c r="G70" s="1947" t="n"/>
      <c r="H70" s="1771">
        <f>IF(COUNT($H68,$H69)=2,SUM($H68,$H69),"-")</f>
        <v>4.1</v>
      </c>
      <c r="I70" s="1771">
        <f>IF(COUNT($I68,$I69)=2,SUM($I68,$I69),"-")</f>
        <v>4.1</v>
      </c>
      <c r="J70" s="1771">
        <f>IF(COUNT($J68,$J69)=2,SUM($J68,$J69),"-")</f>
        <v>0</v>
      </c>
      <c r="K70" s="1771">
        <f>SUM($K68:$K69)</f>
        <v>4.16928782</v>
      </c>
      <c r="L70" s="1771">
        <f>IF(AND(ISNUMBER($H70),ISNUMBER($K70)),ROUND($K70-$H70,6),"-")</f>
        <v>0.069288</v>
      </c>
    </row>
    <row r="71">
      <c r="B71" s="1788" t="inlineStr">
        <is>
          <t>Group Customer Platforms</t>
        </is>
      </c>
      <c r="C71" s="1946" t="n"/>
      <c r="D71" s="1788" t="str">
        <f>$B47</f>
        <v>Ampol Loyalty &amp; Martech</v>
      </c>
      <c r="E71" s="1946" t="n"/>
      <c r="F71" s="1946" t="n"/>
      <c r="G71" s="1946" t="n"/>
      <c r="H71" s="1791">
        <f>IF(H47="","-",H47)</f>
        <v>1.9</v>
      </c>
      <c r="I71" s="1791">
        <f>IF(I47="","-",I47)</f>
        <v>0.38</v>
      </c>
      <c r="J71" s="1791">
        <f>IF(J47="","-",J47)</f>
        <v>1.52</v>
      </c>
      <c r="K71" s="1791">
        <f>IFERROR(INDEX('2.2 Customer'!$P$8:$P$27,MATCH($D71,'2.2 Customer'!$B$8:$B$27,0)),"-")</f>
        <v>1.331225988</v>
      </c>
      <c r="L71" s="1791">
        <f>IF(AND(ISNUMBER($H71),ISNUMBER($K71)),ROUND($K71-$H71,6),"-")</f>
        <v>-0.568774</v>
      </c>
    </row>
    <row r="72">
      <c r="B72" s="1788" t="inlineStr">
        <is>
          <t>Group Customer Platforms</t>
        </is>
      </c>
      <c r="C72" s="1946" t="n"/>
      <c r="D72" s="1788" t="str">
        <f>$B48</f>
        <v>Customer AI</v>
      </c>
      <c r="E72" s="1946" t="n"/>
      <c r="F72" s="1946" t="n"/>
      <c r="G72" s="1946" t="n"/>
      <c r="H72" s="1791">
        <f>IF(H48="","-",H48)</f>
        <v>0.8</v>
      </c>
      <c r="I72" s="1791">
        <f>IF(I48="","-",I48)</f>
        <v>0.16</v>
      </c>
      <c r="J72" s="1791">
        <f>IF(J48="","-",J48)</f>
        <v>0.64</v>
      </c>
      <c r="K72" s="1791">
        <f>IFERROR(INDEX('2.2 Customer'!$P$8:$P$27,MATCH($D72,'2.2 Customer'!$B$8:$B$27,0)),"-")</f>
        <v>0.17103768</v>
      </c>
      <c r="L72" s="1791">
        <f>IF(AND(ISNUMBER($H72),ISNUMBER($K72)),ROUND($K72-$H72,6),"-")</f>
        <v>-0.628962</v>
      </c>
    </row>
    <row r="73">
      <c r="B73" s="1535" t="inlineStr">
        <is>
          <t>Group Customer Platforms total</t>
        </is>
      </c>
      <c r="C73" s="1947" t="n"/>
      <c r="D73" s="1947" t="n"/>
      <c r="E73" s="1947" t="n"/>
      <c r="F73" s="1947" t="n"/>
      <c r="G73" s="1947" t="n"/>
      <c r="H73" s="1771">
        <f>IF(COUNT($H71,$H72)=2,SUM($H71,$H72),"-")</f>
        <v>2.7</v>
      </c>
      <c r="I73" s="1771">
        <f>IF(COUNT($I71,$I72)=2,SUM($I71,$I72),"-")</f>
        <v>0.54</v>
      </c>
      <c r="J73" s="1771">
        <f>IF(COUNT($J71,$J72)=2,SUM($J71,$J72),"-")</f>
        <v>2.16</v>
      </c>
      <c r="K73" s="1771">
        <f>SUM($K71:$K72)</f>
        <v>1.502263668</v>
      </c>
      <c r="L73" s="1771">
        <f>IF(AND(ISNUMBER($H73),ISNUMBER($K73)),ROUND($K73-$H73,6),"-")</f>
        <v>-1.197736</v>
      </c>
    </row>
    <row r="74">
      <c r="B74" s="1788" t="inlineStr">
        <is>
          <t>EGI Customer</t>
        </is>
      </c>
      <c r="C74" s="1946" t="n"/>
      <c r="D74" s="1788" t="str">
        <f>$B54</f>
        <v>EGI Customer</v>
      </c>
      <c r="E74" s="1946" t="n"/>
      <c r="F74" s="1946" t="n"/>
      <c r="G74" s="1946" t="n"/>
      <c r="H74" s="1791">
        <f>IF(H54="","-",H54)</f>
        <v>0</v>
      </c>
      <c r="I74" s="1791">
        <f>IF(I54="","-",I54)</f>
        <v>0</v>
      </c>
      <c r="J74" s="1791">
        <f>IF(J54="","-",J54)</f>
        <v>0</v>
      </c>
      <c r="K74" s="1791">
        <f>IFERROR(INDEX('2.2 Customer'!$P$8:$P$27,MATCH($D74,'2.2 Customer'!$B$8:$B$27,0)),"-")</f>
        <v>2.208135308</v>
      </c>
      <c r="L74" s="1791">
        <f>IF(AND(ISNUMBER($H74),ISNUMBER($K74)),ROUND($K74-$H74,6),"-")</f>
        <v>2.208135</v>
      </c>
    </row>
    <row r="75">
      <c r="B75" s="1535" t="inlineStr">
        <is>
          <t>EGI Customer total</t>
        </is>
      </c>
      <c r="C75" s="1947" t="n"/>
      <c r="D75" s="1947" t="n"/>
      <c r="E75" s="1947" t="n"/>
      <c r="F75" s="1947" t="n"/>
      <c r="G75" s="1947" t="n"/>
      <c r="H75" s="1771">
        <f>IF(COUNT($H74)=1,SUM($H74),"-")</f>
        <v>0</v>
      </c>
      <c r="I75" s="1771">
        <f>IF(COUNT($I74)=1,SUM($I74),"-")</f>
        <v>0</v>
      </c>
      <c r="J75" s="1771">
        <f>IF(COUNT($J74)=1,SUM($J74),"-")</f>
        <v>0</v>
      </c>
      <c r="K75" s="1771">
        <f>SUM($K74:$K74)</f>
        <v>2.208135308</v>
      </c>
      <c r="L75" s="1771">
        <f>IF(AND(ISNUMBER($H75),ISNUMBER($K75)),ROUND($K75-$H75,6),"-")</f>
        <v>2.208135</v>
      </c>
    </row>
    <row r="76">
      <c r="B76" s="1541" t="inlineStr">
        <is>
          <t>Squads priced by an archetype</t>
        </is>
      </c>
      <c r="C76" s="1948" t="n"/>
      <c r="D76" s="1948" t="n"/>
      <c r="E76" s="1948" t="n"/>
      <c r="F76" s="1948" t="n"/>
      <c r="G76" s="1948" t="n"/>
      <c r="H76" s="1949">
        <f>N($H67)+N($H70)+N($H73)+N($H75)</f>
        <v>12.06</v>
      </c>
      <c r="I76" s="1541" t="n"/>
      <c r="J76" s="1541" t="n"/>
      <c r="K76" s="1949">
        <f>N($K67)+N($K70)+N($K73)+N($K75)</f>
        <v>14.305644254</v>
      </c>
      <c r="L76" s="1949">
        <f>IF(AND(ISNUMBER($H76),ISNUMBER($K76)),ROUND($K76-$H76,6),"-")</f>
        <v>2.245644</v>
      </c>
    </row>
    <row r="77">
      <c r="B77" s="1788" t="inlineStr">
        <is>
          <t>Overhead roles in this portfolio - no archetype prices them</t>
        </is>
      </c>
      <c r="C77" s="1946" t="n"/>
      <c r="D77" s="1946" t="n"/>
      <c r="E77" s="1946" t="n"/>
      <c r="F77" s="1946" t="n"/>
      <c r="G77" s="1946" t="n"/>
      <c r="H77" s="1791" t="str">
        <f>"-"</f>
        <v>-</v>
      </c>
      <c r="I77" s="1788" t="n"/>
      <c r="J77" s="1788" t="n"/>
      <c r="K77" s="1791">
        <f>N('2.2 Customer'!$P$26)</f>
        <v>1.772972838</v>
      </c>
      <c r="L77" s="1791" t="str">
        <f>"-"</f>
        <v>-</v>
      </c>
    </row>
    <row r="78">
      <c r="B78" s="1788" t="inlineStr">
        <is>
          <t>On the working tab with no row on this tab</t>
        </is>
      </c>
      <c r="C78" s="1946" t="n"/>
      <c r="D78" s="1946" t="n"/>
      <c r="E78" s="1946" t="n"/>
      <c r="F78" s="1946" t="n"/>
      <c r="G78" s="1946" t="n"/>
      <c r="H78" s="1791" t="str">
        <f>"-"</f>
        <v>-</v>
      </c>
      <c r="I78" s="1788" t="n"/>
      <c r="J78" s="1788" t="n"/>
      <c r="K78" s="1791">
        <f>ROUND(N('2.2 Customer'!$P$27)-$K76-$K77,6)</f>
        <v>1.04825</v>
      </c>
      <c r="L78" s="1791" t="str">
        <f>"-"</f>
        <v>-</v>
      </c>
    </row>
    <row r="79">
      <c r="B79" s="1541" t="inlineStr">
        <is>
          <t>Total actual cost after decisions - ties to the working tab</t>
        </is>
      </c>
      <c r="C79" s="1948" t="n"/>
      <c r="D79" s="1948" t="n"/>
      <c r="E79" s="1948" t="n"/>
      <c r="F79" s="1948" t="n"/>
      <c r="G79" s="1948" t="n"/>
      <c r="H79" s="1949" t="str">
        <f>"-"</f>
        <v>-</v>
      </c>
      <c r="I79" s="1541" t="n"/>
      <c r="J79" s="1541" t="n"/>
      <c r="K79" s="1949">
        <f>'2.2 Customer'!$P$27</f>
        <v>17.12686714</v>
      </c>
      <c r="L79" s="1949" t="str">
        <f>"-"</f>
        <v>-</v>
      </c>
    </row>
    <row r="80">
      <c r="B80" s="1788" t="inlineStr">
        <is>
          <t>Control - every line above against the working tab, must be 0</t>
        </is>
      </c>
      <c r="C80" s="1946" t="n"/>
      <c r="D80" s="1946" t="n"/>
      <c r="E80" s="1946" t="n"/>
      <c r="F80" s="1946" t="n"/>
      <c r="G80" s="1946" t="n"/>
      <c r="K80" s="1806">
        <f>ROUND($K76+$K77+$K78-$K79,6)</f>
        <v>0</v>
      </c>
    </row>
  </sheetData>
  <mergeCells count="35">
    <mergeCell ref="D71:G71"/>
    <mergeCell ref="B14:D14"/>
    <mergeCell ref="B72:C72"/>
    <mergeCell ref="B67:G67"/>
    <mergeCell ref="H12:K12"/>
    <mergeCell ref="D74:G74"/>
    <mergeCell ref="D68:G68"/>
    <mergeCell ref="B13:D13"/>
    <mergeCell ref="D64:G64"/>
    <mergeCell ref="B66:C66"/>
    <mergeCell ref="B73:G73"/>
    <mergeCell ref="B71:C71"/>
    <mergeCell ref="B78:G78"/>
    <mergeCell ref="B29:J29"/>
    <mergeCell ref="B37:J37"/>
    <mergeCell ref="B4:E4"/>
    <mergeCell ref="D69:G69"/>
    <mergeCell ref="D63:G63"/>
    <mergeCell ref="B69:C69"/>
    <mergeCell ref="B80:G80"/>
    <mergeCell ref="D65:G65"/>
    <mergeCell ref="B45:J45"/>
    <mergeCell ref="B76:G76"/>
    <mergeCell ref="B79:G79"/>
    <mergeCell ref="B75:G75"/>
    <mergeCell ref="B65:C65"/>
    <mergeCell ref="B74:C74"/>
    <mergeCell ref="B68:C68"/>
    <mergeCell ref="B64:C64"/>
    <mergeCell ref="D66:G66"/>
    <mergeCell ref="D72:G72"/>
    <mergeCell ref="B63:C63"/>
    <mergeCell ref="B70:G70"/>
    <mergeCell ref="B52:J52"/>
    <mergeCell ref="B77:G77"/>
  </mergeCells>
  <dataValidations count="5">
    <dataValidation sqref="C31:C33 C39:C41 C47:C48" showDropDown="0" showInputMessage="0" showErrorMessage="1" allowBlank="1" errorTitle="Invalid entry" error="Pick a value from the list" type="list" errorStyle="stop" operator="between">
      <formula1>SquadTypes</formula1>
      <formula2>0</formula2>
    </dataValidation>
    <dataValidation sqref="D31:D33 D39:D41 D47:D48 D54" showDropDown="0" showInputMessage="0" showErrorMessage="1" allowBlank="1" errorTitle="Invalid entry" error="Pick a value from the list" type="list" errorStyle="stop" operator="between">
      <formula1>SquadSizes</formula1>
      <formula2>0</formula2>
    </dataValidation>
    <dataValidation sqref="E31:E33 E39:E41 E47:E48 E54" showDropDown="0" showInputMessage="0" showErrorMessage="1" allowBlank="1" errorTitle="Invalid entry" error="Pick a value from the list" type="list" errorStyle="stop" operator="between">
      <formula1>OnOff</formula1>
      <formula2>0</formula2>
    </dataValidation>
    <dataValidation sqref="G31:G33 G39:G41 G47:G48 G54" showDropDown="0" showInputMessage="0" showErrorMessage="1" allowBlank="1" errorTitle="Invalid entry" error="Pick a value from the list" type="list" errorStyle="stop" operator="between">
      <formula1>SupportPct</formula1>
      <formula2>0</formula2>
    </dataValidation>
    <dataValidation sqref="F31:F33 F39:F41 F47:F48 F54" showDropDown="0" showInputMessage="0" showErrorMessage="1" allowBlank="0" type="list" errorStyle="stop" operator="between">
      <formula1>"AU,NZ"</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1.xml><?xml version="1.0" encoding="utf-8"?>
<worksheet xmlns="http://schemas.openxmlformats.org/spreadsheetml/2006/main">
  <sheetPr filterMode="0">
    <tabColor rgb="FF1F4E79"/>
    <outlinePr summaryBelow="1" summaryRight="1"/>
    <pageSetUpPr fitToPage="1"/>
  </sheetPr>
  <dimension ref="B1:M51"/>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J16" activeCellId="0" sqref="J16"/>
    </sheetView>
  </sheetViews>
  <sheetFormatPr baseColWidth="8" defaultColWidth="8.54296875" defaultRowHeight="14.25" zeroHeight="0" outlineLevelRow="0"/>
  <cols>
    <col width="2" customWidth="1" style="865" min="1" max="1"/>
    <col width="40" customWidth="1" style="865" min="2" max="2"/>
    <col width="26" customWidth="1" style="865" min="3" max="3"/>
    <col width="11" customWidth="1" style="865" min="4" max="4"/>
    <col width="18" customWidth="1" style="865" min="5" max="5"/>
    <col width="10" customWidth="1" style="865" min="6" max="6"/>
    <col width="15" customWidth="1" style="865" min="7" max="7"/>
    <col width="34" customWidth="1" style="865" min="8" max="8"/>
    <col width="14" customWidth="1" style="865" min="9" max="9"/>
    <col width="24" customWidth="1" style="865" min="10" max="10"/>
    <col width="22" customWidth="1" style="865" min="11" max="11"/>
    <col width="30" customWidth="1" style="865" min="12" max="12"/>
  </cols>
  <sheetData>
    <row r="1" ht="14.25" customHeight="1" s="866">
      <c r="B1" s="865" t="n"/>
      <c r="C1" s="865" t="n"/>
      <c r="D1" s="865" t="n"/>
      <c r="E1" s="865" t="n"/>
      <c r="F1" s="1314" t="n"/>
      <c r="G1" s="865" t="n"/>
      <c r="H1" s="865" t="n"/>
      <c r="I1" s="865" t="n"/>
      <c r="J1" s="865" t="n"/>
      <c r="K1" s="865" t="n"/>
      <c r="L1" s="865" t="n"/>
      <c r="M1" s="865" t="n"/>
    </row>
    <row r="2" ht="21" customHeight="1" s="866">
      <c r="B2" s="1315" t="inlineStr">
        <is>
          <t>Enterprise Data</t>
        </is>
      </c>
      <c r="C2" s="865" t="n"/>
      <c r="D2" s="865" t="n"/>
      <c r="E2" s="865" t="n"/>
      <c r="F2" s="1314" t="n"/>
      <c r="G2" s="865" t="n"/>
      <c r="H2" s="865" t="n"/>
      <c r="I2" s="865" t="n"/>
      <c r="J2" s="865" t="n"/>
      <c r="K2" s="865" t="n"/>
      <c r="L2" s="865" t="n"/>
      <c r="M2" s="865" t="n"/>
    </row>
    <row r="3" ht="14.25" customHeight="1" s="866">
      <c r="B3" s="865" t="n"/>
      <c r="C3" s="865" t="n"/>
      <c r="D3" s="865" t="n"/>
      <c r="E3" s="865" t="n"/>
      <c r="F3" s="1314" t="n"/>
      <c r="G3" s="865" t="n"/>
      <c r="H3" s="865" t="n"/>
      <c r="I3" s="865" t="n"/>
      <c r="J3" s="865" t="n"/>
      <c r="K3" s="865" t="n"/>
      <c r="L3" s="865" t="n"/>
      <c r="M3" s="865" t="n"/>
    </row>
    <row r="4" ht="19" customHeight="1" s="866">
      <c r="B4" s="1316" t="inlineStr">
        <is>
          <t>Portfolio Summary</t>
        </is>
      </c>
      <c r="C4" s="1003" t="n"/>
      <c r="D4" s="1003" t="n"/>
      <c r="E4" s="1004" t="n"/>
      <c r="F4" s="1849" t="n"/>
      <c r="G4" s="865" t="n"/>
      <c r="H4" s="1316" t="inlineStr">
        <is>
          <t>Budget vs TDD Cost</t>
        </is>
      </c>
      <c r="I4" s="1004" t="n"/>
      <c r="J4" s="865" t="n"/>
      <c r="K4" s="865" t="n"/>
      <c r="L4" s="865" t="n"/>
      <c r="M4" s="865" t="n"/>
    </row>
    <row r="5" ht="31.5" customHeight="1" s="866">
      <c r="B5" s="1319" t="inlineStr">
        <is>
          <t>Cost</t>
        </is>
      </c>
      <c r="C5" s="1320" t="inlineStr">
        <is>
          <t>TDD AU ($m)</t>
        </is>
      </c>
      <c r="D5" s="1320" t="inlineStr">
        <is>
          <t>TDD NZ ($m)</t>
        </is>
      </c>
      <c r="E5" s="1320" t="inlineStr">
        <is>
          <t>Other ($m)</t>
        </is>
      </c>
      <c r="F5" s="1320" t="inlineStr">
        <is>
          <t>Total ($m)</t>
        </is>
      </c>
      <c r="G5" s="865" t="n"/>
      <c r="H5" s="1321" t="inlineStr">
        <is>
          <t>TDD Budget Allocation (people - 0.2 Data Config)</t>
        </is>
      </c>
      <c r="I5" s="1850">
        <f>'0.2 Data Config'!$E$22</f>
        <v>3.5</v>
      </c>
      <c r="J5" s="865" t="n"/>
      <c r="K5" s="865" t="n"/>
      <c r="L5" s="865" t="n"/>
      <c r="M5" s="865" t="n"/>
    </row>
    <row r="6" ht="14.25" customHeight="1" s="866">
      <c r="B6" s="1012" t="inlineStr">
        <is>
          <t>Portfolio Overhead (see 0.2 Data Config)</t>
        </is>
      </c>
      <c r="C6" s="1323">
        <f>IF('0.2 Data Config'!$D$22&gt;'0.2 Data Config'!$C$22,0,'0.2 Data Config'!$L$10)</f>
        <v>0.7975</v>
      </c>
      <c r="D6" s="1323">
        <f>IF('0.2 Data Config'!$D$22&gt;'0.2 Data Config'!$C$22,'0.2 Data Config'!$L$10,0)</f>
        <v>0</v>
      </c>
      <c r="E6" s="1323">
        <f>0</f>
        <v>0</v>
      </c>
      <c r="F6" s="1323">
        <f>C6+D6+E6</f>
        <v>0.7975</v>
      </c>
      <c r="G6" s="865" t="n"/>
      <c r="H6" s="1369" t="inlineStr">
        <is>
          <t>AU Budget ($m)</t>
        </is>
      </c>
      <c r="I6" s="1323">
        <f>'0.2 Data Config'!$C$22</f>
        <v>2.5</v>
      </c>
      <c r="J6" s="865" t="n"/>
      <c r="K6" s="865" t="n"/>
      <c r="L6" s="865" t="n"/>
      <c r="M6" s="865" t="n"/>
    </row>
    <row r="7" ht="14.25" customHeight="1" s="866">
      <c r="B7" s="1012" t="inlineStr">
        <is>
          <t>Platform Overheads</t>
        </is>
      </c>
      <c r="C7" s="1323">
        <f>IF('0.2 Data Config'!$D$22&gt;'0.2 Data Config'!$C$22,0,SUM(I31,I37))</f>
        <v>0.165</v>
      </c>
      <c r="D7" s="1323">
        <f>IF('0.2 Data Config'!$D$22&gt;'0.2 Data Config'!$C$22,SUM(I31,I37),0)</f>
        <v>0</v>
      </c>
      <c r="E7" s="1323">
        <f>0</f>
        <v>0</v>
      </c>
      <c r="F7" s="1323">
        <f>C7+D7+E7</f>
        <v>0.165</v>
      </c>
      <c r="G7" s="865" t="n"/>
      <c r="H7" s="1370" t="inlineStr">
        <is>
          <t>NZ Budget ($m)</t>
        </is>
      </c>
      <c r="I7" s="1371">
        <f>'0.2 Data Config'!$D$22</f>
        <v>1</v>
      </c>
      <c r="J7" s="865" t="n"/>
      <c r="K7" s="865" t="n"/>
      <c r="L7" s="865" t="n"/>
      <c r="M7" s="865" t="n"/>
    </row>
    <row r="8" ht="14.25" customHeight="1" s="866">
      <c r="B8" s="1012" t="inlineStr">
        <is>
          <t>Squad Support Costs</t>
        </is>
      </c>
      <c r="C8" s="1323">
        <f>SUMIF($F$27:$F$30,"AU",$I$27:$I$30)+SUMIF($F$36:$F$36,"AU",$I$36:$I$36)</f>
        <v>1.88</v>
      </c>
      <c r="D8" s="1323">
        <f>SUMIF($F$27:$F$30,"NZ",$I$27:$I$30)+SUMIF($F$36:$F$36,"NZ",$I$36:$I$36)</f>
        <v>0</v>
      </c>
      <c r="E8" s="1323">
        <f>SUM($J$27:$J$30)+SUM($J$36:$J$36)</f>
        <v>2.42</v>
      </c>
      <c r="F8" s="1323">
        <f>C8+D8+E8</f>
        <v>4.3</v>
      </c>
      <c r="G8" s="865" t="n"/>
      <c r="H8" s="1372" t="inlineStr">
        <is>
          <t>AU over/(under) budget ($m)</t>
        </is>
      </c>
      <c r="I8" s="1373">
        <f>C9-I6</f>
        <v>0.3425</v>
      </c>
      <c r="J8" s="865" t="n"/>
      <c r="K8" s="865" t="n"/>
      <c r="L8" s="865" t="n"/>
      <c r="M8" s="865" t="n"/>
    </row>
    <row r="9" ht="14.25" customHeight="1" s="866">
      <c r="B9" s="1330" t="inlineStr">
        <is>
          <t>Total Cost</t>
        </is>
      </c>
      <c r="C9" s="1331">
        <f>SUM(C6:C8)</f>
        <v>2.8425</v>
      </c>
      <c r="D9" s="1331">
        <f>SUM(D6:D8)</f>
        <v>0</v>
      </c>
      <c r="E9" s="1331">
        <f>SUM(E6:E8)</f>
        <v>2.42</v>
      </c>
      <c r="F9" s="1331">
        <f>SUM(F6:F8)</f>
        <v>5.2625</v>
      </c>
      <c r="G9" s="865" t="n"/>
      <c r="H9" s="1372" t="inlineStr">
        <is>
          <t>NZ over/(under) budget ($m)</t>
        </is>
      </c>
      <c r="I9" s="1373">
        <f>D9-I7</f>
        <v>-1</v>
      </c>
      <c r="J9" s="865" t="n"/>
      <c r="K9" s="865" t="n"/>
      <c r="L9" s="865" t="n"/>
      <c r="M9" s="865" t="n"/>
    </row>
    <row r="10" ht="14.25" customHeight="1" s="866">
      <c r="B10" s="1314" t="n"/>
      <c r="C10" s="1314" t="n"/>
      <c r="D10" s="1314" t="n"/>
      <c r="E10" s="1314" t="n"/>
      <c r="F10" s="1314" t="n"/>
      <c r="G10" s="865" t="n"/>
      <c r="H10" s="1374" t="inlineStr">
        <is>
          <t>TDD over/(under) budget ($m)</t>
        </is>
      </c>
      <c r="I10" s="1416">
        <f>I8+I9</f>
        <v>-0.6575</v>
      </c>
      <c r="J10" s="865" t="n"/>
      <c r="K10" s="865" t="n"/>
      <c r="L10" s="865" t="n"/>
      <c r="M10" s="865" t="n"/>
    </row>
    <row r="11" ht="14.25" customFormat="1" customHeight="1" s="865">
      <c r="B11" s="1314" t="n"/>
      <c r="C11" s="1314" t="n"/>
      <c r="D11" s="1314" t="n"/>
      <c r="E11" s="1314" t="n"/>
      <c r="F11" s="1314" t="n"/>
      <c r="H11" s="1374" t="n"/>
      <c r="I11" s="1416" t="n"/>
    </row>
    <row r="12" ht="14.25" customHeight="1" s="866">
      <c r="B12" s="865" t="n"/>
      <c r="C12" s="865" t="n"/>
      <c r="D12" s="865" t="n"/>
      <c r="E12" s="865" t="n"/>
      <c r="F12" s="1314" t="n"/>
      <c r="G12" s="865" t="n"/>
      <c r="H12" s="1376" t="inlineStr">
        <is>
          <t xml:space="preserve">Other funding </t>
        </is>
      </c>
      <c r="I12" s="1352" t="n"/>
      <c r="J12" s="1352" t="n"/>
      <c r="K12" s="1353" t="n"/>
      <c r="L12" s="865" t="n"/>
      <c r="M12" s="865" t="n"/>
    </row>
    <row r="13" ht="14.25" customHeight="1" s="866">
      <c r="B13" s="865" t="n"/>
      <c r="C13" s="865" t="n"/>
      <c r="D13" s="865" t="n"/>
      <c r="E13" s="1314" t="n"/>
      <c r="F13" s="1314" t="n"/>
      <c r="G13" s="865" t="n"/>
      <c r="H13" s="1417" t="inlineStr">
        <is>
          <t>Funding position</t>
        </is>
      </c>
      <c r="I13" s="1418" t="n"/>
      <c r="J13" s="1418" t="n"/>
      <c r="K13" s="1418" t="n"/>
      <c r="L13" s="865" t="n"/>
      <c r="M13" s="865" t="n"/>
    </row>
    <row r="14" ht="14.25" customHeight="1" s="866">
      <c r="B14" s="1314" t="n"/>
      <c r="C14" s="1314" t="n"/>
      <c r="D14" s="1314" t="n"/>
      <c r="E14" s="865" t="n"/>
      <c r="F14" s="1314" t="n"/>
      <c r="G14" s="865" t="n"/>
      <c r="H14" s="1405" t="inlineStr">
        <is>
          <t>Other cost (this model)</t>
        </is>
      </c>
      <c r="I14" s="1855" t="n"/>
      <c r="J14" s="1830">
        <f>E9</f>
        <v>2.42</v>
      </c>
      <c r="K14" s="1385" t="n"/>
      <c r="L14" s="865" t="n"/>
      <c r="M14" s="865" t="n"/>
    </row>
    <row r="15" ht="14.25" customHeight="1" s="866">
      <c r="B15" s="1336" t="inlineStr">
        <is>
          <t>Funding position ($m)</t>
        </is>
      </c>
      <c r="C15" s="1337" t="n"/>
      <c r="D15" s="1314" t="n"/>
      <c r="E15" s="865" t="n"/>
      <c r="F15" s="1314" t="n"/>
      <c r="G15" s="865" t="n"/>
      <c r="H15" s="1405" t="inlineStr">
        <is>
          <t>Funded from TDD Corporate pool (3.4 COE Detail)</t>
        </is>
      </c>
      <c r="I15" s="1855" t="n"/>
      <c r="J15" s="1852" t="n">
        <v>0</v>
      </c>
      <c r="K15" s="1385" t="n"/>
      <c r="L15" s="865" t="n"/>
      <c r="M15" s="865" t="n"/>
    </row>
    <row r="16" ht="14.25" customFormat="1" customHeight="1" s="865">
      <c r="B16" s="1338" t="inlineStr">
        <is>
          <t>Over/(under) TDD budget</t>
        </is>
      </c>
      <c r="C16" s="1339">
        <f>$I$8+$I$9</f>
        <v>-0.6575</v>
      </c>
      <c r="D16" s="1314" t="n"/>
      <c r="F16" s="1314" t="n"/>
      <c r="H16" s="1405" t="inlineStr">
        <is>
          <t>Significant Items - EGI</t>
        </is>
      </c>
      <c r="I16" s="1855" t="n"/>
      <c r="J16" s="1854">
        <f>H36</f>
        <v>0</v>
      </c>
      <c r="K16" s="1385" t="n"/>
    </row>
    <row r="17" ht="14.25" customHeight="1" s="866">
      <c r="B17" s="1338" t="inlineStr">
        <is>
          <t>Still to fund outside TDD</t>
        </is>
      </c>
      <c r="C17" s="1339">
        <f>$J17</f>
        <v>2.42</v>
      </c>
      <c r="D17" s="1314" t="n"/>
      <c r="E17" s="865" t="n"/>
      <c r="F17" s="1314" t="n"/>
      <c r="G17" s="865" t="n"/>
      <c r="H17" s="1363" t="inlineStr">
        <is>
          <t>Left to fund</t>
        </is>
      </c>
      <c r="I17" s="1855" t="n"/>
      <c r="J17" s="1364">
        <f>J14-J15</f>
        <v>2.42</v>
      </c>
      <c r="K17" s="1385" t="n"/>
      <c r="L17" s="865" t="n"/>
      <c r="M17" s="865" t="n"/>
    </row>
    <row r="18" ht="14.25" customHeight="1" s="866">
      <c r="B18" s="1344" t="inlineStr">
        <is>
          <t>Total to fund</t>
        </is>
      </c>
      <c r="C18" s="1345">
        <f>$C16+$C17</f>
        <v>1.7625</v>
      </c>
      <c r="D18" s="1314" t="n"/>
      <c r="E18" s="865" t="n"/>
      <c r="F18" s="1314" t="n"/>
      <c r="G18" s="865" t="n"/>
      <c r="H18" s="1382" t="n"/>
      <c r="I18" s="1855" t="n"/>
      <c r="J18" s="1857" t="n"/>
      <c r="K18" s="1385" t="n"/>
      <c r="L18" s="865" t="n"/>
      <c r="M18" s="865" t="n"/>
    </row>
    <row r="19" ht="14.25" customHeight="1" s="866">
      <c r="H19" s="1382" t="n"/>
      <c r="I19" s="1855" t="n"/>
      <c r="J19" s="1929" t="n"/>
      <c r="K19" s="1385" t="n"/>
      <c r="L19" s="865" t="n"/>
      <c r="M19" s="865" t="n"/>
    </row>
    <row r="20" ht="14.25" customHeight="1" s="866">
      <c r="B20" s="865" t="n"/>
      <c r="C20" s="1314" t="n"/>
      <c r="D20" s="1314" t="n"/>
      <c r="E20" s="865" t="n"/>
      <c r="F20" s="1314" t="n"/>
      <c r="G20" s="865" t="n"/>
      <c r="H20" s="1387" t="n"/>
      <c r="I20" s="1384" t="n"/>
      <c r="J20" s="1388" t="n"/>
      <c r="K20" s="1384" t="n"/>
      <c r="L20" s="865" t="n"/>
      <c r="M20" s="865" t="n"/>
    </row>
    <row r="21" ht="14.25" customHeight="1" s="866">
      <c r="B21" s="865" t="n"/>
      <c r="C21" s="865" t="n"/>
      <c r="D21" s="1314" t="n"/>
      <c r="E21" s="865" t="n"/>
      <c r="F21" s="1314" t="n"/>
      <c r="G21" s="865" t="n"/>
      <c r="H21" s="1382" t="n"/>
      <c r="I21" s="1384" t="n"/>
      <c r="J21" s="1385" t="n"/>
      <c r="K21" s="1384" t="n"/>
      <c r="L21" s="865" t="n"/>
      <c r="M21" s="865" t="n"/>
    </row>
    <row r="22" ht="14.25" customHeight="1" s="866">
      <c r="B22" s="865" t="n"/>
      <c r="C22" s="865" t="n"/>
      <c r="D22" s="865" t="n"/>
      <c r="E22" s="865" t="n"/>
      <c r="F22" s="1314" t="n"/>
      <c r="G22" s="865" t="n"/>
      <c r="H22" s="1930" t="n"/>
      <c r="I22" s="1384" t="n"/>
      <c r="J22" s="1931" t="n"/>
      <c r="K22" s="1384" t="n"/>
      <c r="L22" s="865" t="n"/>
      <c r="M22" s="865" t="n"/>
    </row>
    <row r="23" ht="14.25" customHeight="1" s="866">
      <c r="B23" s="865" t="n"/>
      <c r="C23" s="865" t="n"/>
      <c r="D23" s="865" t="n"/>
      <c r="E23" s="865" t="n"/>
      <c r="F23" s="1314" t="n"/>
      <c r="G23" s="865" t="n"/>
      <c r="H23" s="865" t="n"/>
      <c r="I23" s="865" t="n"/>
      <c r="J23" s="865" t="n"/>
      <c r="K23" s="865" t="n"/>
      <c r="L23" s="865" t="n"/>
      <c r="M23" s="865" t="n"/>
    </row>
    <row r="24" ht="14.25" customHeight="1" s="866">
      <c r="B24" s="865" t="n"/>
      <c r="C24" s="865" t="n"/>
      <c r="D24" s="865" t="n"/>
      <c r="E24" s="865" t="n"/>
      <c r="F24" s="1314" t="n"/>
      <c r="G24" s="865" t="n"/>
      <c r="H24" s="865" t="n"/>
      <c r="I24" s="865" t="n"/>
      <c r="J24" s="865" t="n"/>
      <c r="K24" s="865" t="n"/>
      <c r="L24" s="865" t="n"/>
      <c r="M24" s="865" t="n"/>
    </row>
    <row r="25" ht="19" customHeight="1" s="866">
      <c r="B25" s="1399" t="inlineStr">
        <is>
          <t>Platform: Group Data</t>
        </is>
      </c>
      <c r="C25" s="1400" t="n"/>
      <c r="D25" s="1400" t="n"/>
      <c r="E25" s="1400" t="n"/>
      <c r="F25" s="1400" t="n"/>
      <c r="G25" s="1400" t="n"/>
      <c r="H25" s="1400" t="n"/>
      <c r="I25" s="1400" t="n"/>
      <c r="J25" s="1400" t="n"/>
      <c r="K25" s="865" t="n"/>
      <c r="L25" s="865" t="n"/>
      <c r="M25" s="865" t="n"/>
    </row>
    <row r="26" ht="31.5" customHeight="1" s="866">
      <c r="B26" s="1319" t="inlineStr">
        <is>
          <t>Squad</t>
        </is>
      </c>
      <c r="C26" s="1319" t="inlineStr">
        <is>
          <t>Squad Type</t>
        </is>
      </c>
      <c r="D26" s="1319" t="inlineStr">
        <is>
          <t>Size</t>
        </is>
      </c>
      <c r="E26" s="1319" t="inlineStr">
        <is>
          <t>Onshore / Offshore</t>
        </is>
      </c>
      <c r="F26" s="1320" t="inlineStr">
        <is>
          <t>AU / NZ</t>
        </is>
      </c>
      <c r="G26" s="1319" t="inlineStr">
        <is>
          <t>% funded by TDD</t>
        </is>
      </c>
      <c r="H26" s="1319" t="inlineStr">
        <is>
          <t>Total Squad Cost ($m)</t>
        </is>
      </c>
      <c r="I26" s="1319" t="inlineStr">
        <is>
          <t>TDD Cost ($m)</t>
        </is>
      </c>
      <c r="J26" s="1319" t="inlineStr">
        <is>
          <t>Funded outside TDD ($m)</t>
        </is>
      </c>
      <c r="K26" s="865" t="n"/>
      <c r="L26" s="1356" t="n"/>
      <c r="M26" s="865" t="n"/>
    </row>
    <row r="27" ht="14.25" customHeight="1" s="866">
      <c r="B27" s="1012" t="inlineStr">
        <is>
          <t>Data Science</t>
        </is>
      </c>
      <c r="C27" s="1357" t="inlineStr">
        <is>
          <t>Enterprise Data and Insights</t>
        </is>
      </c>
      <c r="D27" s="1357" t="inlineStr">
        <is>
          <t>S</t>
        </is>
      </c>
      <c r="E27" s="1357" t="inlineStr">
        <is>
          <t>Onshore</t>
        </is>
      </c>
      <c r="F27" s="1358" t="inlineStr">
        <is>
          <t>AU</t>
        </is>
      </c>
      <c r="G27" s="1359" t="n">
        <v>0.2</v>
      </c>
      <c r="H27" s="1830">
        <f>IFERROR(IF($E27="Onshore",INDEX('0.3 Squad Archetypes'!$G$5:$G$23,MATCH($C27&amp;"|"&amp;$D27,'0.3 Squad Archetypes'!$A$5:$A$23,0)),INDEX('0.3 Squad Archetypes'!$H$5:$H$23,MATCH($C27&amp;"|"&amp;$D27,'0.3 Squad Archetypes'!$A$5:$A$23,0))),"check size")</f>
        <v>0.9</v>
      </c>
      <c r="I27" s="1014">
        <f>IFERROR($H27*$G27,"")</f>
        <v>0.18</v>
      </c>
      <c r="J27" s="1014">
        <f>IFERROR($H27*(1-$G27),"")</f>
        <v>0.72</v>
      </c>
      <c r="K27" s="865" t="inlineStr">
        <is>
          <t>Team recharged</t>
        </is>
      </c>
      <c r="L27" s="1360" t="n"/>
      <c r="M27" s="865" t="n"/>
    </row>
    <row r="28" ht="14.25" customHeight="1" s="866">
      <c r="B28" s="1012" t="inlineStr">
        <is>
          <t>Reporting &amp; Analytics</t>
        </is>
      </c>
      <c r="C28" s="1357" t="inlineStr">
        <is>
          <t>Enterprise Data and Insights</t>
        </is>
      </c>
      <c r="D28" s="1357" t="inlineStr">
        <is>
          <t>M</t>
        </is>
      </c>
      <c r="E28" s="1357" t="inlineStr">
        <is>
          <t>Onshore</t>
        </is>
      </c>
      <c r="F28" s="1358" t="inlineStr">
        <is>
          <t>AU</t>
        </is>
      </c>
      <c r="G28" s="1359" t="n">
        <v>0.5</v>
      </c>
      <c r="H28" s="1830">
        <f>IFERROR(IF($E28="Onshore",INDEX('0.3 Squad Archetypes'!$G$5:$G$23,MATCH($C28&amp;"|"&amp;$D28,'0.3 Squad Archetypes'!$A$5:$A$23,0)),INDEX('0.3 Squad Archetypes'!$H$5:$H$23,MATCH($C28&amp;"|"&amp;$D28,'0.3 Squad Archetypes'!$A$5:$A$23,0))),"check size")</f>
        <v>1.7</v>
      </c>
      <c r="I28" s="1014">
        <f>IFERROR($H28*$G28,"")</f>
        <v>0.85</v>
      </c>
      <c r="J28" s="1014">
        <f>IFERROR($H28*(1-$G28),"")</f>
        <v>0.85</v>
      </c>
      <c r="K28" s="865" t="n"/>
      <c r="L28" s="1360" t="n"/>
      <c r="M28" s="865" t="n"/>
    </row>
    <row r="29" ht="14.25" customHeight="1" s="866">
      <c r="B29" s="1012" t="inlineStr">
        <is>
          <t>Data Platforms</t>
        </is>
      </c>
      <c r="C29" s="1357" t="inlineStr">
        <is>
          <t>Enterprise Data and Insights</t>
        </is>
      </c>
      <c r="D29" s="1357" t="inlineStr">
        <is>
          <t>M</t>
        </is>
      </c>
      <c r="E29" s="1357" t="inlineStr">
        <is>
          <t>Onshore</t>
        </is>
      </c>
      <c r="F29" s="1358" t="inlineStr">
        <is>
          <t>AU</t>
        </is>
      </c>
      <c r="G29" s="1359" t="n">
        <v>0.5</v>
      </c>
      <c r="H29" s="1830">
        <f>IFERROR(IF($E29="Onshore",INDEX('0.3 Squad Archetypes'!$G$5:$G$23,MATCH($C29&amp;"|"&amp;$D29,'0.3 Squad Archetypes'!$A$5:$A$23,0)),INDEX('0.3 Squad Archetypes'!$H$5:$H$23,MATCH($C29&amp;"|"&amp;$D29,'0.3 Squad Archetypes'!$A$5:$A$23,0))),"check size")</f>
        <v>1.7</v>
      </c>
      <c r="I29" s="1014">
        <f>IFERROR($H29*$G29,"")</f>
        <v>0.85</v>
      </c>
      <c r="J29" s="1014">
        <f>IFERROR($H29*(1-$G29),"")</f>
        <v>0.85</v>
      </c>
      <c r="K29" s="865" t="n"/>
      <c r="L29" s="1360" t="n"/>
      <c r="M29" s="865" t="n"/>
    </row>
    <row r="30" ht="14.25" customHeight="1" s="866">
      <c r="B30" s="1012" t="n"/>
      <c r="C30" s="1926" t="n"/>
      <c r="D30" s="1926" t="n"/>
      <c r="E30" s="1926" t="n"/>
      <c r="F30" s="1927" t="n"/>
      <c r="G30" s="1928" t="n"/>
      <c r="H30" s="1830" t="n"/>
      <c r="I30" s="1014" t="n"/>
      <c r="J30" s="1014" t="n"/>
      <c r="K30" s="865" t="n"/>
      <c r="L30" s="1360" t="n"/>
      <c r="M30" s="865" t="n"/>
    </row>
    <row r="31" ht="14.25" customHeight="1" s="866">
      <c r="B31" s="1012" t="inlineStr">
        <is>
          <t>Platform Overhead</t>
        </is>
      </c>
      <c r="C31" s="865" t="n"/>
      <c r="D31" s="865" t="n"/>
      <c r="E31" s="865" t="n"/>
      <c r="F31" s="1314" t="n"/>
      <c r="G31" s="865" t="n"/>
      <c r="H31" s="865" t="n"/>
      <c r="I31" s="1830">
        <f>'0.2 Data Config'!$L$16</f>
        <v>0.165</v>
      </c>
      <c r="J31" s="865" t="n"/>
      <c r="K31" s="865" t="n"/>
      <c r="L31" s="865" t="n"/>
      <c r="M31" s="865" t="n"/>
    </row>
    <row r="32" ht="14.25" customHeight="1" s="866">
      <c r="B32" s="1363" t="inlineStr">
        <is>
          <t>Group Data Total</t>
        </is>
      </c>
      <c r="C32" s="1361" t="n"/>
      <c r="D32" s="1361" t="n"/>
      <c r="E32" s="1361" t="n"/>
      <c r="F32" s="1314" t="n"/>
      <c r="G32" s="1361" t="n"/>
      <c r="H32" s="1364">
        <f>SUM(H27:H30)</f>
        <v>4.3</v>
      </c>
      <c r="I32" s="1364">
        <f>SUM(I27:I31)</f>
        <v>2.045</v>
      </c>
      <c r="J32" s="1364">
        <f>SUM(J27:J30)</f>
        <v>2.42</v>
      </c>
      <c r="K32" s="865" t="n"/>
      <c r="L32" s="865" t="n"/>
      <c r="M32" s="865" t="n"/>
    </row>
    <row r="33" ht="14.25" customHeight="1" s="866">
      <c r="B33" s="865" t="n"/>
      <c r="C33" s="865" t="n"/>
      <c r="D33" s="865" t="n"/>
      <c r="E33" s="865" t="n"/>
      <c r="F33" s="1314" t="n"/>
      <c r="G33" s="865" t="n"/>
      <c r="H33" s="865" t="n"/>
      <c r="I33" s="865" t="n"/>
      <c r="J33" s="865" t="n"/>
      <c r="K33" s="865" t="n"/>
      <c r="L33" s="865" t="n"/>
      <c r="M33" s="865" t="n"/>
    </row>
    <row r="34" s="866">
      <c r="B34" s="1809" t="inlineStr">
        <is>
          <t>Platform: EGI Data - removed, no roles</t>
        </is>
      </c>
      <c r="C34" s="1810" t="n"/>
      <c r="D34" s="1810" t="n"/>
      <c r="E34" s="1810" t="n"/>
      <c r="F34" s="1810" t="n"/>
      <c r="G34" s="1810" t="n"/>
      <c r="H34" s="1810" t="n"/>
      <c r="I34" s="1810" t="n"/>
      <c r="J34" s="1810" t="n"/>
      <c r="K34" s="1811" t="n"/>
      <c r="L34" s="1811" t="n"/>
      <c r="M34" s="865" t="n"/>
    </row>
    <row r="35" s="866">
      <c r="B35" s="1812" t="n"/>
      <c r="C35" s="1812" t="n"/>
      <c r="D35" s="1812" t="n"/>
      <c r="E35" s="1812" t="n"/>
      <c r="F35" s="1812" t="n"/>
      <c r="G35" s="1812" t="n"/>
      <c r="H35" s="1812" t="n"/>
      <c r="I35" s="1812" t="n"/>
      <c r="J35" s="1812" t="n"/>
      <c r="K35" s="1811" t="n"/>
      <c r="L35" s="1811" t="n"/>
      <c r="M35" s="865" t="n"/>
    </row>
    <row r="36" s="866">
      <c r="B36" s="1811" t="n"/>
      <c r="C36" s="1811" t="n"/>
      <c r="D36" s="1811" t="n"/>
      <c r="E36" s="1811" t="n"/>
      <c r="F36" s="1815" t="n"/>
      <c r="G36" s="1813" t="n"/>
      <c r="H36" s="1814" t="n"/>
      <c r="I36" s="1814" t="n"/>
      <c r="J36" s="1814" t="n"/>
      <c r="K36" s="1810" t="n"/>
      <c r="L36" s="1810" t="n"/>
    </row>
    <row r="37" s="866">
      <c r="B37" s="1811" t="n"/>
      <c r="C37" s="1811" t="n"/>
      <c r="D37" s="1811" t="n"/>
      <c r="E37" s="1811" t="n"/>
      <c r="F37" s="1811" t="n"/>
      <c r="G37" s="1811" t="n"/>
      <c r="H37" s="1811" t="n"/>
      <c r="I37" s="1814" t="n"/>
      <c r="J37" s="1811" t="n"/>
      <c r="K37" s="1810" t="n"/>
      <c r="L37" s="1810" t="n"/>
    </row>
    <row r="38" s="866">
      <c r="B38" s="1811" t="n"/>
      <c r="C38" s="1811" t="n"/>
      <c r="D38" s="1811" t="n"/>
      <c r="E38" s="1811" t="n"/>
      <c r="F38" s="1811" t="n"/>
      <c r="G38" s="1811" t="n"/>
      <c r="H38" s="1814" t="n"/>
      <c r="I38" s="1814" t="n"/>
      <c r="J38" s="1814" t="n"/>
      <c r="K38" s="1810" t="n"/>
      <c r="L38" s="1810" t="n"/>
    </row>
    <row r="41" ht="19" customHeight="1" s="866">
      <c r="B41" s="1527" t="inlineStr">
        <is>
          <t>Archetype against actual - every squad on this tab</t>
        </is>
      </c>
      <c r="C41" s="1528" t="n"/>
      <c r="D41" s="1528" t="n"/>
      <c r="E41" s="1528" t="n"/>
      <c r="F41" s="1528" t="n"/>
      <c r="G41" s="1528" t="n"/>
      <c r="H41" s="1528" t="n"/>
      <c r="I41" s="1528" t="n"/>
      <c r="J41" s="1528" t="n"/>
      <c r="K41" s="1528" t="n"/>
      <c r="L41" s="1528" t="n"/>
    </row>
    <row r="42" ht="34" customHeight="1" s="866">
      <c r="B42" s="1529" t="inlineStr">
        <is>
          <t>Platform</t>
        </is>
      </c>
      <c r="C42" s="1945" t="n"/>
      <c r="D42" s="1529" t="inlineStr">
        <is>
          <t>Squad</t>
        </is>
      </c>
      <c r="E42" s="1945" t="n"/>
      <c r="F42" s="1945" t="n"/>
      <c r="G42" s="1945" t="n"/>
      <c r="H42" s="1529" t="inlineStr">
        <is>
          <t>Total Squad Cost ($m)</t>
        </is>
      </c>
      <c r="I42" s="1529" t="inlineStr">
        <is>
          <t>TDD Cost ($m)</t>
        </is>
      </c>
      <c r="J42" s="1529" t="inlineStr">
        <is>
          <t>Funded outside TDD ($m)</t>
        </is>
      </c>
      <c r="K42" s="1529" t="inlineStr">
        <is>
          <t>Actual cost after decisions ($m)</t>
        </is>
      </c>
      <c r="L42" s="1529" t="inlineStr">
        <is>
          <t>Variance to archetype ($m)</t>
        </is>
      </c>
    </row>
    <row r="43">
      <c r="B43" s="1788" t="inlineStr">
        <is>
          <t>Group Data</t>
        </is>
      </c>
      <c r="C43" s="1946" t="n"/>
      <c r="D43" s="1788" t="str">
        <f>$B27</f>
        <v>Data Science</v>
      </c>
      <c r="E43" s="1946" t="n"/>
      <c r="F43" s="1946" t="n"/>
      <c r="G43" s="1946" t="n"/>
      <c r="H43" s="1791">
        <f>IF(H27="","-",H27)</f>
        <v>0.9</v>
      </c>
      <c r="I43" s="1791">
        <f>IF(I27="","-",I27)</f>
        <v>0.18</v>
      </c>
      <c r="J43" s="1791">
        <f>IF(J27="","-",J27)</f>
        <v>0.72</v>
      </c>
      <c r="K43" s="1791">
        <f>IFERROR(INDEX('2.3 Enterprise Data'!$P$8:$P$22,MATCH($D43,'2.3 Enterprise Data'!$B$8:$B$22,0)),"-")</f>
        <v>0.80639733</v>
      </c>
      <c r="L43" s="1791">
        <f>IF(AND(ISNUMBER($H43),ISNUMBER($K43)),ROUND($K43-$H43,6),"-")</f>
        <v>-0.093603</v>
      </c>
    </row>
    <row r="44">
      <c r="B44" s="1788" t="inlineStr">
        <is>
          <t>Group Data</t>
        </is>
      </c>
      <c r="C44" s="1946" t="n"/>
      <c r="D44" s="1788" t="str">
        <f>$B28</f>
        <v>Reporting &amp; Analytics</v>
      </c>
      <c r="E44" s="1946" t="n"/>
      <c r="F44" s="1946" t="n"/>
      <c r="G44" s="1946" t="n"/>
      <c r="H44" s="1791">
        <f>IF(H28="","-",H28)</f>
        <v>1.7</v>
      </c>
      <c r="I44" s="1791">
        <f>IF(I28="","-",I28)</f>
        <v>0.85</v>
      </c>
      <c r="J44" s="1791">
        <f>IF(J28="","-",J28)</f>
        <v>0.85</v>
      </c>
      <c r="K44" s="1791">
        <f>IFERROR(INDEX('2.3 Enterprise Data'!$P$8:$P$22,MATCH($D44,'2.3 Enterprise Data'!$B$8:$B$22,0)),"-")</f>
        <v>2.7648117</v>
      </c>
      <c r="L44" s="1791">
        <f>IF(AND(ISNUMBER($H44),ISNUMBER($K44)),ROUND($K44-$H44,6),"-")</f>
        <v>1.064812</v>
      </c>
    </row>
    <row r="45">
      <c r="B45" s="1788" t="inlineStr">
        <is>
          <t>Group Data</t>
        </is>
      </c>
      <c r="C45" s="1946" t="n"/>
      <c r="D45" s="1788" t="str">
        <f>$B29</f>
        <v>Data Platforms</v>
      </c>
      <c r="E45" s="1946" t="n"/>
      <c r="F45" s="1946" t="n"/>
      <c r="G45" s="1946" t="n"/>
      <c r="H45" s="1791">
        <f>IF(H29="","-",H29)</f>
        <v>1.7</v>
      </c>
      <c r="I45" s="1791">
        <f>IF(I29="","-",I29)</f>
        <v>0.85</v>
      </c>
      <c r="J45" s="1791">
        <f>IF(J29="","-",J29)</f>
        <v>0.85</v>
      </c>
      <c r="K45" s="1791">
        <f>IFERROR(INDEX('2.3 Enterprise Data'!$P$8:$P$22,MATCH($D45,'2.3 Enterprise Data'!$B$8:$B$22,0)),"-")</f>
        <v>1.786160296</v>
      </c>
      <c r="L45" s="1791">
        <f>IF(AND(ISNUMBER($H45),ISNUMBER($K45)),ROUND($K45-$H45,6),"-")</f>
        <v>0.08616</v>
      </c>
    </row>
    <row r="46">
      <c r="B46" s="1535" t="inlineStr">
        <is>
          <t>Group Data total</t>
        </is>
      </c>
      <c r="C46" s="1947" t="n"/>
      <c r="D46" s="1947" t="n"/>
      <c r="E46" s="1947" t="n"/>
      <c r="F46" s="1947" t="n"/>
      <c r="G46" s="1947" t="n"/>
      <c r="H46" s="1771">
        <f>IF(COUNT($H43,$H44,$H45)=3,SUM($H43,$H44,$H45),"-")</f>
        <v>4.3</v>
      </c>
      <c r="I46" s="1771">
        <f>IF(COUNT($I43,$I44,$I45)=3,SUM($I43,$I44,$I45),"-")</f>
        <v>1.88</v>
      </c>
      <c r="J46" s="1771">
        <f>IF(COUNT($J43,$J44,$J45)=3,SUM($J43,$J44,$J45),"-")</f>
        <v>2.42</v>
      </c>
      <c r="K46" s="1771">
        <f>SUM($K43:$K45)</f>
        <v>5.357369326</v>
      </c>
      <c r="L46" s="1771">
        <f>IF(AND(ISNUMBER($H46),ISNUMBER($K46)),ROUND($K46-$H46,6),"-")</f>
        <v>1.057369</v>
      </c>
    </row>
    <row r="47">
      <c r="B47" s="1541" t="inlineStr">
        <is>
          <t>Squads priced by an archetype</t>
        </is>
      </c>
      <c r="C47" s="1948" t="n"/>
      <c r="D47" s="1948" t="n"/>
      <c r="E47" s="1948" t="n"/>
      <c r="F47" s="1948" t="n"/>
      <c r="G47" s="1948" t="n"/>
      <c r="H47" s="1949">
        <f>N($H46)</f>
        <v>4.3</v>
      </c>
      <c r="I47" s="1541" t="n"/>
      <c r="J47" s="1541" t="n"/>
      <c r="K47" s="1949">
        <f>N($K46)</f>
        <v>5.357369326</v>
      </c>
      <c r="L47" s="1949">
        <f>IF(AND(ISNUMBER($H47),ISNUMBER($K47)),ROUND($K47-$H47,6),"-")</f>
        <v>1.057369</v>
      </c>
    </row>
    <row r="48">
      <c r="B48" s="1788" t="inlineStr">
        <is>
          <t>Overhead roles in this portfolio - no archetype prices them</t>
        </is>
      </c>
      <c r="C48" s="1946" t="n"/>
      <c r="D48" s="1946" t="n"/>
      <c r="E48" s="1946" t="n"/>
      <c r="F48" s="1946" t="n"/>
      <c r="G48" s="1946" t="n"/>
      <c r="H48" s="1791" t="str">
        <f>"-"</f>
        <v>-</v>
      </c>
      <c r="I48" s="1788" t="n"/>
      <c r="J48" s="1788" t="n"/>
      <c r="K48" s="1791">
        <f>N('2.3 Enterprise Data'!$P$21)</f>
        <v>1.06103445</v>
      </c>
      <c r="L48" s="1791" t="str">
        <f>"-"</f>
        <v>-</v>
      </c>
    </row>
    <row r="49">
      <c r="B49" s="1788" t="inlineStr">
        <is>
          <t>On the working tab with no row on this tab</t>
        </is>
      </c>
      <c r="C49" s="1946" t="n"/>
      <c r="D49" s="1946" t="n"/>
      <c r="E49" s="1946" t="n"/>
      <c r="F49" s="1946" t="n"/>
      <c r="G49" s="1946" t="n"/>
      <c r="H49" s="1791" t="str">
        <f>"-"</f>
        <v>-</v>
      </c>
      <c r="I49" s="1788" t="n"/>
      <c r="J49" s="1788" t="n"/>
      <c r="K49" s="1791">
        <f>ROUND(N('2.3 Enterprise Data'!$P$22)-$K47-$K48,6)</f>
        <v>0</v>
      </c>
      <c r="L49" s="1791" t="str">
        <f>"-"</f>
        <v>-</v>
      </c>
    </row>
    <row r="50">
      <c r="B50" s="1541" t="inlineStr">
        <is>
          <t>Total actual cost after decisions - ties to the working tab</t>
        </is>
      </c>
      <c r="C50" s="1948" t="n"/>
      <c r="D50" s="1948" t="n"/>
      <c r="E50" s="1948" t="n"/>
      <c r="F50" s="1948" t="n"/>
      <c r="G50" s="1948" t="n"/>
      <c r="H50" s="1949" t="str">
        <f>"-"</f>
        <v>-</v>
      </c>
      <c r="I50" s="1541" t="n"/>
      <c r="J50" s="1541" t="n"/>
      <c r="K50" s="1949">
        <f>'2.3 Enterprise Data'!$P$22</f>
        <v>6.418403776</v>
      </c>
      <c r="L50" s="1949" t="str">
        <f>"-"</f>
        <v>-</v>
      </c>
    </row>
    <row r="51">
      <c r="B51" s="1788" t="inlineStr">
        <is>
          <t>Control - every line above against the working tab, must be 0</t>
        </is>
      </c>
      <c r="C51" s="1946" t="n"/>
      <c r="D51" s="1946" t="n"/>
      <c r="E51" s="1946" t="n"/>
      <c r="F51" s="1946" t="n"/>
      <c r="G51" s="1946" t="n"/>
      <c r="K51" s="1806">
        <f>ROUND($K47+$K48+$K49-$K50,6)</f>
        <v>0</v>
      </c>
    </row>
  </sheetData>
  <mergeCells count="18">
    <mergeCell ref="B47:G47"/>
    <mergeCell ref="B51:G51"/>
    <mergeCell ref="B25:J25"/>
    <mergeCell ref="B44:C44"/>
    <mergeCell ref="B46:G46"/>
    <mergeCell ref="B4:E4"/>
    <mergeCell ref="D45:G45"/>
    <mergeCell ref="D44:G44"/>
    <mergeCell ref="H12:K12"/>
    <mergeCell ref="B42:C42"/>
    <mergeCell ref="B45:C45"/>
    <mergeCell ref="B49:G49"/>
    <mergeCell ref="B50:G50"/>
    <mergeCell ref="H4:I4"/>
    <mergeCell ref="D43:G43"/>
    <mergeCell ref="D42:G42"/>
    <mergeCell ref="B48:G48"/>
    <mergeCell ref="B43:C43"/>
  </mergeCells>
  <dataValidations count="5">
    <dataValidation sqref="C27:C30 C36" showDropDown="0" showInputMessage="0" showErrorMessage="1" allowBlank="1" errorTitle="Invalid entry" error="Pick a value from the list" type="list" errorStyle="stop" operator="between">
      <formula1>SquadTypes</formula1>
      <formula2>0</formula2>
    </dataValidation>
    <dataValidation sqref="D27:D30 D36" showDropDown="0" showInputMessage="0" showErrorMessage="1" allowBlank="1" errorTitle="Invalid entry" error="Pick a value from the list" type="list" errorStyle="stop" operator="between">
      <formula1>SquadSizes</formula1>
      <formula2>0</formula2>
    </dataValidation>
    <dataValidation sqref="E27:E30 E36" showDropDown="0" showInputMessage="0" showErrorMessage="1" allowBlank="1" errorTitle="Invalid entry" error="Pick a value from the list" type="list" errorStyle="stop" operator="between">
      <formula1>OnOff</formula1>
      <formula2>0</formula2>
    </dataValidation>
    <dataValidation sqref="G27:G30 G36" showDropDown="0" showInputMessage="0" showErrorMessage="1" allowBlank="1" errorTitle="Invalid entry" error="Pick a value from the list" type="list" errorStyle="stop" operator="between">
      <formula1>SupportPct</formula1>
      <formula2>0</formula2>
    </dataValidation>
    <dataValidation sqref="F27:F30 F36" showDropDown="0" showInputMessage="0" showErrorMessage="1" allowBlank="0" type="list" errorStyle="stop" operator="between">
      <formula1>"AU,NZ"</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2.xml><?xml version="1.0" encoding="utf-8"?>
<worksheet xmlns="http://schemas.openxmlformats.org/spreadsheetml/2006/main">
  <sheetPr filterMode="0">
    <tabColor rgb="FF1F4E79"/>
    <outlinePr summaryBelow="1" summaryRight="1"/>
    <pageSetUpPr fitToPage="1"/>
  </sheetPr>
  <dimension ref="A1:R5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G14" activeCellId="0" sqref="G14"/>
    </sheetView>
  </sheetViews>
  <sheetFormatPr baseColWidth="8" defaultColWidth="8.54296875" defaultRowHeight="14.25" zeroHeight="0" outlineLevelRow="0"/>
  <cols>
    <col width="2" customWidth="1" style="865" min="1" max="1"/>
    <col width="40" customWidth="1" style="865" min="2" max="2"/>
    <col width="26" customWidth="1" style="865" min="3" max="3"/>
    <col width="11" customWidth="1" style="865" min="4" max="4"/>
    <col width="18" customWidth="1" style="865" min="5" max="5"/>
    <col width="10" customWidth="1" style="865" min="6" max="6"/>
    <col width="15" customWidth="1" style="865" min="7" max="7"/>
    <col width="34" customWidth="1" style="865" min="8" max="8"/>
    <col width="14" customWidth="1" style="865" min="9" max="9"/>
    <col width="24" customWidth="1" style="865" min="10" max="10"/>
    <col width="22" customWidth="1" style="865" min="11" max="11"/>
    <col width="30" customWidth="1" style="865" min="12" max="12"/>
    <col width="18.45" customWidth="1" style="865" min="13" max="13"/>
    <col width="14.45" customWidth="1" style="865" min="14" max="14"/>
    <col width="24.82" customWidth="1" style="865" min="15" max="15"/>
    <col width="13.18" customWidth="1" style="865" min="16" max="16"/>
  </cols>
  <sheetData>
    <row r="1" ht="14.25" customHeight="1" s="866">
      <c r="B1" s="865" t="n"/>
      <c r="C1" s="865" t="n"/>
      <c r="D1" s="865" t="n"/>
      <c r="E1" s="865" t="n"/>
      <c r="F1" s="1314" t="n"/>
      <c r="G1" s="865" t="n"/>
      <c r="H1" s="865" t="n"/>
      <c r="I1" s="865" t="n"/>
      <c r="J1" s="865" t="n"/>
      <c r="K1" s="865" t="n"/>
      <c r="L1" s="865" t="n"/>
      <c r="M1" s="865" t="n"/>
      <c r="N1" s="865" t="n"/>
    </row>
    <row r="2" ht="21" customHeight="1" s="866">
      <c r="B2" s="1315" t="inlineStr">
        <is>
          <t>TDD Group Functions</t>
        </is>
      </c>
      <c r="C2" s="865" t="n"/>
      <c r="D2" s="865" t="n"/>
      <c r="E2" s="865" t="n"/>
      <c r="F2" s="1314" t="n"/>
      <c r="G2" s="865" t="n"/>
      <c r="H2" s="865" t="n"/>
      <c r="I2" s="865" t="n"/>
      <c r="J2" s="865" t="n"/>
      <c r="K2" s="865" t="n"/>
      <c r="L2" s="865" t="n"/>
      <c r="M2" s="865" t="n"/>
      <c r="N2" s="865" t="n"/>
    </row>
    <row r="3" ht="14.25" customHeight="1" s="866">
      <c r="B3" s="865" t="n"/>
      <c r="C3" s="865" t="n"/>
      <c r="D3" s="865" t="n"/>
      <c r="E3" s="865" t="n"/>
      <c r="F3" s="1314" t="n"/>
      <c r="G3" s="865" t="n"/>
      <c r="H3" s="865" t="n"/>
      <c r="I3" s="865" t="n"/>
      <c r="J3" s="865" t="n"/>
      <c r="K3" s="865" t="n"/>
      <c r="L3" s="865" t="n"/>
      <c r="M3" s="865" t="n"/>
      <c r="N3" s="865" t="n"/>
    </row>
    <row r="4" ht="19" customHeight="1" s="866">
      <c r="B4" s="1316" t="inlineStr">
        <is>
          <t>Portfolio Summary</t>
        </is>
      </c>
      <c r="C4" s="1003" t="n"/>
      <c r="D4" s="1003" t="n"/>
      <c r="E4" s="1004" t="n"/>
      <c r="F4" s="1849" t="n"/>
      <c r="G4" s="865" t="n"/>
      <c r="H4" s="1316" t="inlineStr">
        <is>
          <t>Budget vs TDD Cost</t>
        </is>
      </c>
      <c r="I4" s="1004" t="n"/>
      <c r="J4" s="865" t="n"/>
      <c r="K4" s="865" t="n"/>
      <c r="L4" s="865" t="n"/>
      <c r="M4" s="865" t="n"/>
      <c r="N4" s="865" t="n"/>
    </row>
    <row r="5" ht="31.5" customHeight="1" s="866">
      <c r="B5" s="1319" t="inlineStr">
        <is>
          <t>Cost</t>
        </is>
      </c>
      <c r="C5" s="1320" t="inlineStr">
        <is>
          <t>TDD AU ($m)</t>
        </is>
      </c>
      <c r="D5" s="1320" t="inlineStr">
        <is>
          <t>TDD NZ ($m)</t>
        </is>
      </c>
      <c r="E5" s="1320" t="inlineStr">
        <is>
          <t>Other ($m)</t>
        </is>
      </c>
      <c r="F5" s="1320" t="inlineStr">
        <is>
          <t>Total ($m)</t>
        </is>
      </c>
      <c r="G5" s="1420" t="n"/>
      <c r="H5" s="1321" t="inlineStr">
        <is>
          <t>TDD Budget Allocation (people - 0.2 Data Config)</t>
        </is>
      </c>
      <c r="I5" s="1850">
        <f>'0.2 Data Config'!$E$21</f>
        <v>5.5</v>
      </c>
      <c r="J5" s="865" t="n"/>
      <c r="K5" s="865" t="n"/>
      <c r="L5" s="865" t="n"/>
      <c r="M5" s="865" t="n"/>
      <c r="N5" s="865" t="n"/>
    </row>
    <row r="6" ht="14.25" customHeight="1" s="866">
      <c r="B6" s="1012" t="inlineStr">
        <is>
          <t>Portfolio Overhead (see 0.2 Data Config)</t>
        </is>
      </c>
      <c r="C6" s="1323">
        <f>IF('0.2 Data Config'!$D$21&gt;'0.2 Data Config'!$C$21,0,'0.2 Data Config'!$L$10)</f>
        <v>0.7975</v>
      </c>
      <c r="D6" s="1323">
        <f>IF('0.2 Data Config'!$D$21&gt;'0.2 Data Config'!$C$21,'0.2 Data Config'!$L$10,0)</f>
        <v>0</v>
      </c>
      <c r="E6" s="1323">
        <f>0</f>
        <v>0</v>
      </c>
      <c r="F6" s="1323">
        <f>C6+D6+E6</f>
        <v>0.7975</v>
      </c>
      <c r="G6" s="1368" t="n"/>
      <c r="H6" s="1369" t="inlineStr">
        <is>
          <t>TDD Budget ($m)</t>
        </is>
      </c>
      <c r="I6" s="1323">
        <f>'0.2 Data Config'!$E$21</f>
        <v>5.5</v>
      </c>
      <c r="J6" s="865" t="n"/>
      <c r="K6" s="865" t="n"/>
      <c r="L6" s="865" t="n"/>
      <c r="M6" s="865" t="n"/>
      <c r="N6" s="865" t="n"/>
    </row>
    <row r="7" ht="14.25" customHeight="1" s="866">
      <c r="B7" s="1012" t="inlineStr">
        <is>
          <t>Platform Overheads</t>
        </is>
      </c>
      <c r="C7" s="1323">
        <f>IF('0.2 Data Config'!$D$21&gt;'0.2 Data Config'!$C$21,0,SUM(I25))</f>
        <v>0.165</v>
      </c>
      <c r="D7" s="1323">
        <f>IF('0.2 Data Config'!$D$21&gt;'0.2 Data Config'!$C$21,SUM(I25),0)</f>
        <v>0</v>
      </c>
      <c r="E7" s="1323">
        <f>0</f>
        <v>0</v>
      </c>
      <c r="F7" s="1323">
        <f>C7+D7+E7</f>
        <v>0.165</v>
      </c>
      <c r="G7" s="1368" t="n"/>
      <c r="H7" s="1370" t="inlineStr">
        <is>
          <t xml:space="preserve">Less TDD Lights on Spend </t>
        </is>
      </c>
      <c r="I7" s="1371">
        <f>C9</f>
        <v>5.4525</v>
      </c>
      <c r="J7" s="865" t="n"/>
      <c r="K7" s="865" t="n"/>
      <c r="L7" s="865" t="n"/>
      <c r="M7" s="865" t="n"/>
      <c r="N7" s="865" t="n"/>
    </row>
    <row r="8" ht="14.25" customHeight="1" s="866">
      <c r="B8" s="1012" t="inlineStr">
        <is>
          <t>Squad Support Costs</t>
        </is>
      </c>
      <c r="C8" s="1323">
        <f>SUMIF($F$21:$F$24,"AU",$I$21:$I$24)+SUMIF($F$30:$F$30,"AU",$I$30:$I$30)</f>
        <v>4.49</v>
      </c>
      <c r="D8" s="1323">
        <f>SUMIF($F$21:$F$24,"NZ",$I$21:$I$24)+SUMIF($F$30:$F$30,"NZ",$I$30:$I$30)</f>
        <v>0</v>
      </c>
      <c r="E8" s="1323">
        <f>SUM($J$21:$J$24)+SUM($J$30:$J$30)</f>
        <v>1.21</v>
      </c>
      <c r="F8" s="1323">
        <f>C8+D8+E8</f>
        <v>5.7</v>
      </c>
      <c r="G8" s="1368" t="n"/>
      <c r="H8" s="1372" t="inlineStr">
        <is>
          <t>TDD over/(under) budget ($m)</t>
        </is>
      </c>
      <c r="I8" s="1373">
        <f>I7-I6</f>
        <v>-0.0474999999999994</v>
      </c>
      <c r="J8" s="865" t="n"/>
      <c r="K8" s="865" t="n"/>
      <c r="L8" s="865" t="n"/>
      <c r="M8" s="865" t="n"/>
      <c r="N8" s="865" t="n"/>
    </row>
    <row r="9" ht="14.25" customHeight="1" s="866">
      <c r="B9" s="1330" t="inlineStr">
        <is>
          <t>Total Cost</t>
        </is>
      </c>
      <c r="C9" s="1331">
        <f>SUM(C6:C8)</f>
        <v>5.4525</v>
      </c>
      <c r="D9" s="1331">
        <f>SUM(D6:D8)</f>
        <v>0</v>
      </c>
      <c r="E9" s="1331">
        <f>SUM(E6:E8)</f>
        <v>1.21</v>
      </c>
      <c r="F9" s="1331">
        <f>SUM(F6:F8)</f>
        <v>6.6625</v>
      </c>
      <c r="G9" s="1375" t="n"/>
      <c r="H9" s="865" t="n"/>
      <c r="I9" s="865" t="n"/>
      <c r="J9" s="865" t="n"/>
      <c r="K9" s="865" t="n"/>
      <c r="L9" s="865" t="n"/>
      <c r="M9" s="865" t="n"/>
      <c r="N9" s="865" t="n"/>
    </row>
    <row r="10" ht="14.25" customHeight="1" s="866">
      <c r="B10" s="865" t="n"/>
      <c r="C10" s="865" t="n"/>
      <c r="D10" s="865" t="n"/>
      <c r="E10" s="865" t="n"/>
      <c r="F10" s="1314" t="n"/>
      <c r="G10" s="865" t="n"/>
      <c r="H10" s="865" t="n"/>
      <c r="I10" s="865" t="n"/>
      <c r="J10" s="865" t="n"/>
      <c r="K10" s="865" t="n"/>
      <c r="L10" s="865" t="n"/>
      <c r="M10" s="865" t="n"/>
      <c r="N10" s="865" t="n"/>
    </row>
    <row r="11" ht="14.25" customFormat="1" customHeight="1" s="865">
      <c r="F11" s="1314" t="n"/>
      <c r="I11" s="1421" t="n"/>
    </row>
    <row r="12" ht="14.25" customHeight="1" s="866">
      <c r="A12" s="865" t="n"/>
      <c r="B12" s="1422" t="n"/>
      <c r="D12" s="1378" t="n"/>
      <c r="E12" s="1423" t="n"/>
      <c r="F12" s="1314" t="n"/>
      <c r="G12" s="865" t="n"/>
      <c r="H12" s="1417" t="inlineStr">
        <is>
          <t>Funding position</t>
        </is>
      </c>
      <c r="I12" s="1002" t="n"/>
      <c r="J12" s="1002" t="n"/>
      <c r="K12" s="865" t="n"/>
      <c r="L12" s="865" t="n"/>
      <c r="M12" s="865" t="n"/>
      <c r="N12" s="865" t="n"/>
    </row>
    <row r="13" ht="14.25" customHeight="1" s="866">
      <c r="A13" s="865" t="n"/>
      <c r="B13" s="1422" t="n"/>
      <c r="D13" s="1378" t="n"/>
      <c r="E13" s="1424" t="n"/>
      <c r="F13" s="1314" t="n"/>
      <c r="G13" s="865" t="n"/>
      <c r="H13" s="1405" t="inlineStr">
        <is>
          <t>Other cost (this model)</t>
        </is>
      </c>
      <c r="I13" s="1830" t="n"/>
      <c r="J13" s="1830">
        <f>E9</f>
        <v>1.21</v>
      </c>
      <c r="K13" s="865" t="n"/>
      <c r="L13" s="865" t="n"/>
      <c r="M13" s="865" t="n"/>
      <c r="N13" s="865" t="n"/>
    </row>
    <row r="14" ht="14.25" customHeight="1" s="866">
      <c r="B14" s="1336" t="inlineStr">
        <is>
          <t>Funding position ($m)</t>
        </is>
      </c>
      <c r="C14" s="1337" t="n"/>
      <c r="D14" s="865" t="n"/>
      <c r="E14" s="865" t="n"/>
      <c r="F14" s="1314" t="n"/>
      <c r="G14" s="865" t="n"/>
      <c r="H14" s="1405" t="inlineStr">
        <is>
          <t>Funded from TDD Corporate pool (3.4 COE Detail)</t>
        </is>
      </c>
      <c r="I14" s="1830" t="n"/>
      <c r="J14" s="1830">
        <f>J30</f>
        <v>0</v>
      </c>
      <c r="K14" s="865" t="n"/>
      <c r="L14" s="865" t="n"/>
      <c r="M14" s="865" t="n"/>
      <c r="N14" s="865" t="n"/>
    </row>
    <row r="15" ht="14.25" customHeight="1" s="866">
      <c r="B15" s="1338" t="inlineStr">
        <is>
          <t>Over/(under) TDD budget</t>
        </is>
      </c>
      <c r="C15" s="1339">
        <f>$I$8+$I$9</f>
        <v>-0.0474999999999994</v>
      </c>
      <c r="D15" s="865" t="n"/>
      <c r="E15" s="865" t="n"/>
      <c r="F15" s="1314" t="n"/>
      <c r="G15" s="865" t="n"/>
      <c r="H15" s="1363" t="inlineStr">
        <is>
          <t>Left to fund</t>
        </is>
      </c>
      <c r="I15" s="1830" t="n"/>
      <c r="J15" s="1364">
        <f>J13-J14</f>
        <v>1.21</v>
      </c>
      <c r="K15" s="865" t="n"/>
      <c r="L15" s="865" t="n"/>
      <c r="M15" s="865" t="n"/>
      <c r="N15" s="865" t="n"/>
    </row>
    <row r="16" ht="14.25" customHeight="1" s="866">
      <c r="B16" s="1338" t="inlineStr">
        <is>
          <t>Still to fund outside TDD</t>
        </is>
      </c>
      <c r="C16" s="1339">
        <f>$J15</f>
        <v>1.21</v>
      </c>
      <c r="D16" s="865" t="n"/>
      <c r="E16" s="865" t="n"/>
      <c r="F16" s="1314" t="n"/>
      <c r="G16" s="865" t="n"/>
      <c r="H16" s="1012" t="n"/>
      <c r="I16" s="1830" t="n"/>
      <c r="J16" s="1854" t="n"/>
      <c r="K16" s="865" t="n"/>
      <c r="L16" s="865" t="n"/>
      <c r="M16" s="865" t="n"/>
      <c r="N16" s="865" t="n"/>
    </row>
    <row r="17" ht="14.25" customHeight="1" s="866">
      <c r="B17" s="1344" t="inlineStr">
        <is>
          <t>Total to fund</t>
        </is>
      </c>
      <c r="C17" s="1345">
        <f>$C15+$C16</f>
        <v>1.1625</v>
      </c>
      <c r="D17" s="865" t="n"/>
      <c r="E17" s="865" t="n"/>
      <c r="F17" s="1314" t="n"/>
      <c r="G17" s="865" t="n"/>
      <c r="H17" s="1012" t="n"/>
      <c r="I17" s="1830" t="n"/>
      <c r="J17" s="1854" t="n"/>
      <c r="K17" s="865" t="n"/>
      <c r="L17" s="865" t="n"/>
      <c r="M17" s="865" t="n"/>
      <c r="N17" s="865" t="n"/>
    </row>
    <row r="18" ht="14.25" customHeight="1" s="866">
      <c r="B18" s="865" t="n"/>
      <c r="C18" s="865" t="n"/>
      <c r="D18" s="865" t="n"/>
      <c r="E18" s="865" t="n"/>
      <c r="F18" s="1314" t="n"/>
      <c r="G18" s="865" t="n"/>
      <c r="H18" s="865" t="n"/>
      <c r="I18" s="865" t="n"/>
      <c r="J18" s="865" t="n"/>
      <c r="K18" s="865" t="n"/>
      <c r="L18" s="865" t="n"/>
      <c r="M18" s="865" t="n"/>
      <c r="N18" s="865" t="n"/>
    </row>
    <row r="19" ht="19" customHeight="1" s="866">
      <c r="B19" s="1399" t="inlineStr">
        <is>
          <t>Platform: TDD Group Functions</t>
        </is>
      </c>
      <c r="C19" s="1400" t="n"/>
      <c r="D19" s="1400" t="n"/>
      <c r="E19" s="1400" t="n"/>
      <c r="F19" s="1400" t="n"/>
      <c r="G19" s="1400" t="n"/>
      <c r="H19" s="1400" t="n"/>
      <c r="I19" s="1400" t="n"/>
      <c r="J19" s="1400" t="n"/>
      <c r="K19" s="865" t="n"/>
      <c r="L19" s="865" t="n"/>
      <c r="M19" s="865" t="n"/>
      <c r="N19" s="865" t="n"/>
    </row>
    <row r="20" ht="31.5" customHeight="1" s="866">
      <c r="B20" s="1319" t="inlineStr">
        <is>
          <t>Squad</t>
        </is>
      </c>
      <c r="C20" s="1319" t="inlineStr">
        <is>
          <t>Squad Type</t>
        </is>
      </c>
      <c r="D20" s="1319" t="inlineStr">
        <is>
          <t>Size</t>
        </is>
      </c>
      <c r="E20" s="1319" t="inlineStr">
        <is>
          <t>Onshore / Offshore</t>
        </is>
      </c>
      <c r="F20" s="1425" t="inlineStr">
        <is>
          <t>AU / NZ</t>
        </is>
      </c>
      <c r="G20" s="1319" t="inlineStr">
        <is>
          <t>% funded by TDD</t>
        </is>
      </c>
      <c r="H20" s="1319" t="inlineStr">
        <is>
          <t>Total Squad Cost ($m)</t>
        </is>
      </c>
      <c r="I20" s="1319" t="inlineStr">
        <is>
          <t>TDD Cost ($m)</t>
        </is>
      </c>
      <c r="J20" s="1319" t="inlineStr">
        <is>
          <t>Funded outside TDD ($m)</t>
        </is>
      </c>
      <c r="K20" s="1356" t="n"/>
      <c r="L20" s="865" t="n"/>
      <c r="M20" s="1858" t="inlineStr">
        <is>
          <t>Nbr Archetype Roles</t>
        </is>
      </c>
      <c r="N20" s="1859" t="inlineStr">
        <is>
          <t>Published Roles</t>
        </is>
      </c>
      <c r="O20" s="1860" t="inlineStr">
        <is>
          <t>Review Outcome</t>
        </is>
      </c>
      <c r="P20" s="1860" t="inlineStr">
        <is>
          <t>Vacant Now</t>
        </is>
      </c>
      <c r="Q20" s="1860" t="inlineStr">
        <is>
          <t>FY27</t>
        </is>
      </c>
      <c r="R20" s="1860" t="inlineStr">
        <is>
          <t>opt</t>
        </is>
      </c>
    </row>
    <row r="21" ht="14.25" customHeight="1" s="866">
      <c r="B21" s="1012" t="inlineStr">
        <is>
          <t>Workplace &amp; Enterprise Tooling</t>
        </is>
      </c>
      <c r="C21" s="1357" t="inlineStr">
        <is>
          <t>Configuration / Integration</t>
        </is>
      </c>
      <c r="D21" s="1357" t="inlineStr">
        <is>
          <t>S</t>
        </is>
      </c>
      <c r="E21" s="1357" t="inlineStr">
        <is>
          <t>Onshore</t>
        </is>
      </c>
      <c r="F21" s="1358" t="inlineStr">
        <is>
          <t>AU</t>
        </is>
      </c>
      <c r="G21" s="1359" t="n">
        <v>1</v>
      </c>
      <c r="H21" s="1830">
        <f>IFERROR(IF($E21="Onshore",INDEX('0.3 Squad Archetypes'!$G$5:$G$23,MATCH($C21&amp;"|"&amp;$D21,'0.3 Squad Archetypes'!$A$5:$A$23,0)),INDEX('0.3 Squad Archetypes'!$H$5:$H$23,MATCH($C21&amp;"|"&amp;$D21,'0.3 Squad Archetypes'!$A$5:$A$23,0))),"check size")</f>
        <v>1.4</v>
      </c>
      <c r="I21" s="1014">
        <f>IFERROR($H21*$G21,"")</f>
        <v>1.4</v>
      </c>
      <c r="J21" s="1014">
        <f>IFERROR($H21*(1-$G21),"")</f>
        <v>0</v>
      </c>
      <c r="K21" s="1360" t="n"/>
      <c r="L21" s="865" t="n"/>
      <c r="M21" s="1861" t="n">
        <v>6</v>
      </c>
      <c r="N21" s="1861" t="n">
        <v>6</v>
      </c>
      <c r="O21" s="1861" t="inlineStr">
        <is>
          <t>No Change</t>
        </is>
      </c>
      <c r="P21" s="1861" t="n">
        <v>2</v>
      </c>
      <c r="Q21" s="1861" t="n">
        <v>6</v>
      </c>
    </row>
    <row r="22" ht="14.25" customHeight="1" s="866">
      <c r="B22" s="1012" t="inlineStr">
        <is>
          <t>Cloud, Network &amp; Infra Ops</t>
        </is>
      </c>
      <c r="C22" s="1357" t="inlineStr">
        <is>
          <t>Operations</t>
        </is>
      </c>
      <c r="D22" s="1357" t="inlineStr">
        <is>
          <t>M</t>
        </is>
      </c>
      <c r="E22" s="1357" t="inlineStr">
        <is>
          <t>Onshore</t>
        </is>
      </c>
      <c r="F22" s="1358" t="inlineStr">
        <is>
          <t>AU</t>
        </is>
      </c>
      <c r="G22" s="1359" t="n">
        <v>0.7</v>
      </c>
      <c r="H22" s="1830">
        <f>IFERROR(IF($E22="Onshore",INDEX('0.3 Squad Archetypes'!$G$5:$G$23,MATCH($C22&amp;"|"&amp;$D22,'0.3 Squad Archetypes'!$A$5:$A$23,0)),INDEX('0.3 Squad Archetypes'!$H$5:$H$23,MATCH($C22&amp;"|"&amp;$D22,'0.3 Squad Archetypes'!$A$5:$A$23,0))),"check size")</f>
        <v>1.4</v>
      </c>
      <c r="I22" s="1014">
        <f>IFERROR($H22*$G22,"")</f>
        <v>0.98</v>
      </c>
      <c r="J22" s="1014">
        <f>IFERROR($H22*(1-$G22),"")</f>
        <v>0.42</v>
      </c>
      <c r="K22" s="1360" t="n"/>
      <c r="L22" s="865" t="n"/>
      <c r="M22" s="1861" t="n">
        <v>10</v>
      </c>
      <c r="N22" s="1861" t="n">
        <v>13</v>
      </c>
      <c r="O22" s="1312" t="inlineStr">
        <is>
          <t>Reduce CSA by 2</t>
        </is>
      </c>
      <c r="P22" s="1861" t="n">
        <v>2</v>
      </c>
      <c r="Q22" s="1861" t="n">
        <v>11</v>
      </c>
      <c r="R22" s="1861" t="n">
        <v>7</v>
      </c>
    </row>
    <row r="23" ht="12.75" customHeight="1" s="866">
      <c r="B23" s="1012" t="inlineStr">
        <is>
          <t>DevOps &amp; QE</t>
        </is>
      </c>
      <c r="C23" s="1357" t="inlineStr">
        <is>
          <t>Engineering</t>
        </is>
      </c>
      <c r="D23" s="1357" t="inlineStr">
        <is>
          <t>S</t>
        </is>
      </c>
      <c r="E23" s="1357" t="inlineStr">
        <is>
          <t>Onshore</t>
        </is>
      </c>
      <c r="F23" s="1358" t="inlineStr">
        <is>
          <t>AU</t>
        </is>
      </c>
      <c r="G23" s="1359" t="n">
        <v>0.8</v>
      </c>
      <c r="H23" s="1830">
        <f>IFERROR(IF($E23="Onshore",INDEX('0.3 Squad Archetypes'!$G$5:$G$23,MATCH($C23&amp;"|"&amp;$D23,'0.3 Squad Archetypes'!$A$5:$A$23,0)),INDEX('0.3 Squad Archetypes'!$H$5:$H$23,MATCH($C23&amp;"|"&amp;$D23,'0.3 Squad Archetypes'!$A$5:$A$23,0))),"check size")</f>
        <v>0.8</v>
      </c>
      <c r="I23" s="1014">
        <f>IFERROR($H23*$G23,"")</f>
        <v>0.64</v>
      </c>
      <c r="J23" s="1014">
        <f>IFERROR($H23*(1-$G23),"")</f>
        <v>0.16</v>
      </c>
      <c r="K23" s="1360" t="n"/>
      <c r="L23" s="865" t="n"/>
      <c r="M23" s="1312" t="n">
        <v>4.5</v>
      </c>
      <c r="N23" s="1312" t="n">
        <v>8</v>
      </c>
      <c r="O23" s="1862" t="inlineStr">
        <is>
          <t>Remove Lead Engineer Software and Test Automation</t>
        </is>
      </c>
      <c r="P23" s="1861" t="n">
        <v>3</v>
      </c>
      <c r="Q23" s="1312" t="n">
        <v>6</v>
      </c>
      <c r="R23" s="865" t="inlineStr">
        <is>
          <t>exception</t>
        </is>
      </c>
    </row>
    <row r="24" ht="14.25" customHeight="1" s="866">
      <c r="B24" s="1012" t="inlineStr">
        <is>
          <t>Integration &amp; Process Automation</t>
        </is>
      </c>
      <c r="C24" s="1357" t="inlineStr">
        <is>
          <t>Configuration / Integration</t>
        </is>
      </c>
      <c r="D24" s="1357" t="inlineStr">
        <is>
          <t>M</t>
        </is>
      </c>
      <c r="E24" s="1357" t="inlineStr">
        <is>
          <t>Onshore</t>
        </is>
      </c>
      <c r="F24" s="1358" t="inlineStr">
        <is>
          <t>AU</t>
        </is>
      </c>
      <c r="G24" s="1359" t="n">
        <v>0.7</v>
      </c>
      <c r="H24" s="1830">
        <f>IFERROR(IF($E24="Onshore",INDEX('0.3 Squad Archetypes'!$G$5:$G$23,MATCH($C24&amp;"|"&amp;$D24,'0.3 Squad Archetypes'!$A$5:$A$23,0)),INDEX('0.3 Squad Archetypes'!$H$5:$H$23,MATCH($C24&amp;"|"&amp;$D24,'0.3 Squad Archetypes'!$A$5:$A$23,0))),"check size")</f>
        <v>2.1</v>
      </c>
      <c r="I24" s="1014">
        <f>IFERROR($H24*$G24,"")</f>
        <v>1.47</v>
      </c>
      <c r="J24" s="1014">
        <f>IFERROR($H24*(1-$G24),"")</f>
        <v>0.63</v>
      </c>
      <c r="K24" s="1360" t="n"/>
      <c r="L24" s="865" t="n"/>
      <c r="M24" s="1861" t="n">
        <v>9</v>
      </c>
      <c r="N24" s="1861" t="n">
        <v>10</v>
      </c>
      <c r="O24" s="1862" t="inlineStr">
        <is>
          <t>Oversubscribed RPA costs</t>
        </is>
      </c>
      <c r="P24" s="1861" t="n">
        <v>2</v>
      </c>
      <c r="Q24" s="1861" t="n">
        <v>10</v>
      </c>
    </row>
    <row r="25" ht="14.25" customHeight="1" s="866">
      <c r="B25" s="1012" t="inlineStr">
        <is>
          <t>Platform Overhead</t>
        </is>
      </c>
      <c r="C25" s="865" t="n"/>
      <c r="D25" s="865" t="n"/>
      <c r="E25" s="865" t="n"/>
      <c r="F25" s="1314" t="n"/>
      <c r="G25" s="865" t="n"/>
      <c r="H25" s="865" t="n"/>
      <c r="I25" s="1830">
        <f>'0.2 Data Config'!$L$16</f>
        <v>0.165</v>
      </c>
      <c r="J25" s="865" t="n"/>
      <c r="K25" s="865" t="n"/>
      <c r="L25" s="865" t="n"/>
      <c r="M25" s="865" t="n"/>
      <c r="N25" s="865" t="n"/>
    </row>
    <row r="26" ht="14.25" customHeight="1" s="866">
      <c r="B26" s="1363" t="inlineStr">
        <is>
          <t>TDD Group Functions Total</t>
        </is>
      </c>
      <c r="C26" s="1361" t="n"/>
      <c r="D26" s="1361" t="n"/>
      <c r="E26" s="1361" t="n"/>
      <c r="F26" s="1314" t="n"/>
      <c r="G26" s="1361" t="n"/>
      <c r="H26" s="1364">
        <f>SUM(H21:H24)</f>
        <v>5.7</v>
      </c>
      <c r="I26" s="1364">
        <f>SUM(I21:I25)</f>
        <v>4.655</v>
      </c>
      <c r="J26" s="1364">
        <f>SUM(J21:J24)</f>
        <v>1.21</v>
      </c>
      <c r="K26" s="865" t="n"/>
      <c r="L26" s="865" t="n"/>
      <c r="M26" s="865" t="n"/>
      <c r="N26" s="865" t="n"/>
    </row>
    <row r="27" ht="14.25" customHeight="1" s="866">
      <c r="B27" s="865" t="n"/>
      <c r="C27" s="865" t="n"/>
      <c r="D27" s="865" t="n"/>
      <c r="E27" s="865" t="n"/>
      <c r="F27" s="1314" t="n"/>
      <c r="G27" s="865" t="n"/>
      <c r="H27" s="865" t="n"/>
      <c r="I27" s="865" t="n"/>
      <c r="J27" s="865" t="n"/>
      <c r="K27" s="865" t="n"/>
      <c r="L27" s="865" t="n"/>
      <c r="M27" s="865" t="n"/>
      <c r="N27" s="865" t="n"/>
    </row>
    <row r="28" ht="19" customHeight="1" s="866">
      <c r="B28" s="1316" t="inlineStr">
        <is>
          <t>Platform: EGI TDD</t>
        </is>
      </c>
      <c r="C28" s="1849" t="n"/>
      <c r="D28" s="1849" t="n"/>
      <c r="E28" s="1849" t="n"/>
      <c r="F28" s="1849" t="n"/>
      <c r="G28" s="1849" t="n"/>
      <c r="H28" s="1849" t="n"/>
      <c r="I28" s="1849" t="n"/>
      <c r="J28" s="1849" t="n"/>
      <c r="K28" s="865" t="n"/>
      <c r="L28" s="865" t="n"/>
      <c r="M28" s="865" t="n"/>
      <c r="N28" s="865" t="n"/>
    </row>
    <row r="29" ht="31.5" customHeight="1" s="866">
      <c r="B29" s="1319" t="inlineStr">
        <is>
          <t>Squad</t>
        </is>
      </c>
      <c r="C29" s="1319" t="inlineStr">
        <is>
          <t>Squad Type</t>
        </is>
      </c>
      <c r="D29" s="1319" t="inlineStr">
        <is>
          <t>Size</t>
        </is>
      </c>
      <c r="E29" s="1319" t="inlineStr">
        <is>
          <t>Onshore / Offshore</t>
        </is>
      </c>
      <c r="F29" s="1425" t="inlineStr">
        <is>
          <t>AU / NZ</t>
        </is>
      </c>
      <c r="G29" s="1319" t="inlineStr">
        <is>
          <t>% funded by TDD</t>
        </is>
      </c>
      <c r="H29" s="1319" t="inlineStr">
        <is>
          <t>Total Squad Cost ($m)</t>
        </is>
      </c>
      <c r="I29" s="1319" t="inlineStr">
        <is>
          <t>TDD Cost ($m)</t>
        </is>
      </c>
      <c r="J29" s="1319" t="inlineStr">
        <is>
          <t>Funded outside TDD ($m)</t>
        </is>
      </c>
      <c r="K29" s="1356" t="n"/>
      <c r="L29" s="865" t="n"/>
      <c r="M29" s="865" t="n"/>
      <c r="N29" s="865" t="n"/>
    </row>
    <row r="30" ht="14.25" customHeight="1" s="866">
      <c r="B30" s="1012" t="inlineStr">
        <is>
          <t>EGI TDD</t>
        </is>
      </c>
      <c r="C30" s="1357" t="inlineStr">
        <is>
          <t>Strategic Programs</t>
        </is>
      </c>
      <c r="D30" s="1357" t="n"/>
      <c r="E30" s="1357" t="inlineStr">
        <is>
          <t>Onshore</t>
        </is>
      </c>
      <c r="F30" s="1358" t="n"/>
      <c r="G30" s="1359" t="n">
        <v>0.2</v>
      </c>
      <c r="H30" s="1852" t="n">
        <v>0</v>
      </c>
      <c r="I30" s="1014">
        <f>IFERROR($H30*$G30,"")</f>
        <v>0</v>
      </c>
      <c r="J30" s="1014">
        <f>IFERROR($H30*(1-$G30),"")</f>
        <v>0</v>
      </c>
      <c r="K30" s="1360" t="n"/>
      <c r="L30" s="865" t="n"/>
      <c r="M30" s="1366" t="str">
        <f>"People in this program today cost "&amp;TEXT(SUMIFS('REVIEW - Complete Role Mapping'!$AA$2:$AA$528,'REVIEW - Complete Role Mapping'!$AT$2:$AT$528,$B30)/1000000,"0.00")&amp;"m. Set the agreed cost in the cream cell."</f>
        <v>People in this program today cost 1.32m. Set the agreed cost in the cream cell.</v>
      </c>
      <c r="N30" s="865" t="n"/>
    </row>
    <row r="31" ht="14.25" customHeight="1" s="866">
      <c r="B31" s="1363" t="inlineStr">
        <is>
          <t>EGI TDD Total</t>
        </is>
      </c>
      <c r="C31" s="865" t="n"/>
      <c r="D31" s="865" t="n"/>
      <c r="E31" s="865" t="n"/>
      <c r="F31" s="1314" t="n"/>
      <c r="G31" s="865" t="n"/>
      <c r="H31" s="1364">
        <f>SUM(H30:H30)</f>
        <v>0</v>
      </c>
      <c r="I31" s="1364">
        <f>SUM(I30:I30)</f>
        <v>0</v>
      </c>
      <c r="J31" s="1364">
        <f>SUM(J30:J30)</f>
        <v>0</v>
      </c>
      <c r="K31" s="865" t="n"/>
      <c r="L31" s="865" t="n"/>
      <c r="M31" s="865" t="n"/>
      <c r="N31" s="865" t="n"/>
    </row>
    <row r="32" ht="14.25" customHeight="1" s="866">
      <c r="B32" s="865" t="n"/>
      <c r="C32" s="865" t="n"/>
      <c r="D32" s="865" t="n"/>
      <c r="E32" s="865" t="n"/>
      <c r="F32" s="1314" t="n"/>
      <c r="G32" s="865" t="n"/>
      <c r="H32" s="865" t="n"/>
      <c r="I32" s="865" t="n"/>
      <c r="J32" s="865" t="n"/>
      <c r="K32" s="865" t="n"/>
      <c r="L32" s="865" t="n"/>
      <c r="M32" s="865" t="n"/>
      <c r="N32" s="865" t="n"/>
    </row>
    <row r="33" ht="14.25" customHeight="1" s="866">
      <c r="B33" s="1366" t="n"/>
      <c r="C33" s="1368" t="n"/>
      <c r="D33" s="1314" t="n"/>
      <c r="E33" s="865" t="n"/>
      <c r="F33" s="1314" t="n"/>
      <c r="G33" s="865" t="n"/>
      <c r="H33" s="865" t="n"/>
      <c r="I33" s="865" t="n"/>
      <c r="J33" s="865" t="n"/>
      <c r="K33" s="865" t="n"/>
      <c r="L33" s="865" t="n"/>
      <c r="M33" s="865" t="n"/>
      <c r="N33" s="865" t="n"/>
    </row>
    <row r="34" ht="14.25" customHeight="1" s="866">
      <c r="B34" s="1366" t="n"/>
      <c r="C34" s="1368" t="n"/>
      <c r="D34" s="1314" t="n"/>
      <c r="E34" s="865" t="n"/>
      <c r="F34" s="1314" t="n"/>
      <c r="G34" s="865" t="n"/>
      <c r="H34" s="865" t="n"/>
      <c r="I34" s="865" t="n"/>
      <c r="J34" s="865" t="n"/>
      <c r="K34" s="865" t="n"/>
      <c r="L34" s="865" t="n"/>
      <c r="M34" s="865" t="n"/>
      <c r="N34" s="865" t="n"/>
    </row>
    <row r="37" ht="19" customHeight="1" s="866">
      <c r="B37" s="1527" t="inlineStr">
        <is>
          <t>Archetype against actual - every squad on this tab</t>
        </is>
      </c>
      <c r="C37" s="1528" t="n"/>
      <c r="D37" s="1528" t="n"/>
      <c r="E37" s="1528" t="n"/>
      <c r="F37" s="1528" t="n"/>
      <c r="G37" s="1528" t="n"/>
      <c r="H37" s="1528" t="n"/>
      <c r="I37" s="1528" t="n"/>
      <c r="J37" s="1528" t="n"/>
      <c r="K37" s="1528" t="n"/>
      <c r="L37" s="1528" t="n"/>
    </row>
    <row r="38" ht="34" customHeight="1" s="866">
      <c r="B38" s="1529" t="inlineStr">
        <is>
          <t>Platform</t>
        </is>
      </c>
      <c r="C38" s="1945" t="n"/>
      <c r="D38" s="1529" t="inlineStr">
        <is>
          <t>Squad</t>
        </is>
      </c>
      <c r="E38" s="1945" t="n"/>
      <c r="F38" s="1945" t="n"/>
      <c r="G38" s="1945" t="n"/>
      <c r="H38" s="1529" t="inlineStr">
        <is>
          <t>Total Squad Cost ($m)</t>
        </is>
      </c>
      <c r="I38" s="1529" t="inlineStr">
        <is>
          <t>TDD Cost ($m)</t>
        </is>
      </c>
      <c r="J38" s="1529" t="inlineStr">
        <is>
          <t>Funded outside TDD ($m)</t>
        </is>
      </c>
      <c r="K38" s="1529" t="inlineStr">
        <is>
          <t>Actual cost after decisions ($m)</t>
        </is>
      </c>
      <c r="L38" s="1529" t="inlineStr">
        <is>
          <t>Variance to archetype ($m)</t>
        </is>
      </c>
    </row>
    <row r="39">
      <c r="B39" s="1788" t="inlineStr">
        <is>
          <t>TDD Group Functions</t>
        </is>
      </c>
      <c r="C39" s="1946" t="n"/>
      <c r="D39" s="1788" t="str">
        <f>$B21</f>
        <v>Workplace &amp; Enterprise Tooling</v>
      </c>
      <c r="E39" s="1946" t="n"/>
      <c r="F39" s="1946" t="n"/>
      <c r="G39" s="1946" t="n"/>
      <c r="H39" s="1791">
        <f>IF(H21="","-",H21)</f>
        <v>1.4</v>
      </c>
      <c r="I39" s="1791">
        <f>IF(I21="","-",I21)</f>
        <v>1.4</v>
      </c>
      <c r="J39" s="1791">
        <f>IF(J21="","-",J21)</f>
        <v>0</v>
      </c>
      <c r="K39" s="1791">
        <f>IFERROR(INDEX('2.4 TDD Group Functions'!$P$8:$P$24,MATCH($D39,'2.4 TDD Group Functions'!$B$8:$B$24,0)),"-")</f>
        <v>1.117329222</v>
      </c>
      <c r="L39" s="1791">
        <f>IF(AND(ISNUMBER($H39),ISNUMBER($K39)),ROUND($K39-$H39,6),"-")</f>
        <v>-0.282671</v>
      </c>
    </row>
    <row r="40">
      <c r="B40" s="1788" t="inlineStr">
        <is>
          <t>TDD Group Functions</t>
        </is>
      </c>
      <c r="C40" s="1946" t="n"/>
      <c r="D40" s="1788" t="str">
        <f>$B22</f>
        <v>Cloud, Network &amp; Infra Ops</v>
      </c>
      <c r="E40" s="1946" t="n"/>
      <c r="F40" s="1946" t="n"/>
      <c r="G40" s="1946" t="n"/>
      <c r="H40" s="1791">
        <f>IF(H22="","-",H22)</f>
        <v>1.4</v>
      </c>
      <c r="I40" s="1791">
        <f>IF(I22="","-",I22)</f>
        <v>0.98</v>
      </c>
      <c r="J40" s="1791">
        <f>IF(J22="","-",J22)</f>
        <v>0.42</v>
      </c>
      <c r="K40" s="1791">
        <f>IFERROR(INDEX('2.4 TDD Group Functions'!$P$8:$P$24,MATCH($D40,'2.4 TDD Group Functions'!$B$8:$B$24,0)),"-")</f>
        <v>2.8267209564</v>
      </c>
      <c r="L40" s="1791">
        <f>IF(AND(ISNUMBER($H40),ISNUMBER($K40)),ROUND($K40-$H40,6),"-")</f>
        <v>1.426721</v>
      </c>
    </row>
    <row r="41">
      <c r="B41" s="1788" t="inlineStr">
        <is>
          <t>TDD Group Functions</t>
        </is>
      </c>
      <c r="C41" s="1946" t="n"/>
      <c r="D41" s="1788" t="str">
        <f>$B23</f>
        <v>DevOps &amp; QE</v>
      </c>
      <c r="E41" s="1946" t="n"/>
      <c r="F41" s="1946" t="n"/>
      <c r="G41" s="1946" t="n"/>
      <c r="H41" s="1791">
        <f>IF(H23="","-",H23)</f>
        <v>0.8</v>
      </c>
      <c r="I41" s="1791">
        <f>IF(I23="","-",I23)</f>
        <v>0.64</v>
      </c>
      <c r="J41" s="1791">
        <f>IF(J23="","-",J23)</f>
        <v>0.16</v>
      </c>
      <c r="K41" s="1791">
        <f>IFERROR(INDEX('2.4 TDD Group Functions'!$P$8:$P$24,MATCH($D41,'2.4 TDD Group Functions'!$B$8:$B$24,0)),"-")</f>
        <v>1.581591798</v>
      </c>
      <c r="L41" s="1791">
        <f>IF(AND(ISNUMBER($H41),ISNUMBER($K41)),ROUND($K41-$H41,6),"-")</f>
        <v>0.781592</v>
      </c>
    </row>
    <row r="42">
      <c r="B42" s="1788" t="inlineStr">
        <is>
          <t>TDD Group Functions</t>
        </is>
      </c>
      <c r="C42" s="1946" t="n"/>
      <c r="D42" s="1788" t="str">
        <f>$B24</f>
        <v>Integration &amp; Process Automation</v>
      </c>
      <c r="E42" s="1946" t="n"/>
      <c r="F42" s="1946" t="n"/>
      <c r="G42" s="1946" t="n"/>
      <c r="H42" s="1791">
        <f>IF(H24="","-",H24)</f>
        <v>2.1</v>
      </c>
      <c r="I42" s="1791">
        <f>IF(I24="","-",I24)</f>
        <v>1.47</v>
      </c>
      <c r="J42" s="1791">
        <f>IF(J24="","-",J24)</f>
        <v>0.63</v>
      </c>
      <c r="K42" s="1791">
        <f>IFERROR(INDEX('2.4 TDD Group Functions'!$P$8:$P$24,MATCH($D42,'2.4 TDD Group Functions'!$B$8:$B$24,0)),"-")</f>
        <v>1.984987746</v>
      </c>
      <c r="L42" s="1791">
        <f>IF(AND(ISNUMBER($H42),ISNUMBER($K42)),ROUND($K42-$H42,6),"-")</f>
        <v>-0.115012</v>
      </c>
    </row>
    <row r="43">
      <c r="B43" s="1535" t="inlineStr">
        <is>
          <t>TDD Group Functions total</t>
        </is>
      </c>
      <c r="C43" s="1947" t="n"/>
      <c r="D43" s="1947" t="n"/>
      <c r="E43" s="1947" t="n"/>
      <c r="F43" s="1947" t="n"/>
      <c r="G43" s="1947" t="n"/>
      <c r="H43" s="1771">
        <f>IF(COUNT($H39,$H40,$H41,$H42)=4,SUM($H39,$H40,$H41,$H42),"-")</f>
        <v>5.7</v>
      </c>
      <c r="I43" s="1771">
        <f>IF(COUNT($I39,$I40,$I41,$I42)=4,SUM($I39,$I40,$I41,$I42),"-")</f>
        <v>4.49</v>
      </c>
      <c r="J43" s="1771">
        <f>IF(COUNT($J39,$J40,$J41,$J42)=4,SUM($J39,$J40,$J41,$J42),"-")</f>
        <v>1.21</v>
      </c>
      <c r="K43" s="1771">
        <f>SUM($K39:$K42)</f>
        <v>7.5106297224</v>
      </c>
      <c r="L43" s="1771">
        <f>IF(AND(ISNUMBER($H43),ISNUMBER($K43)),ROUND($K43-$H43,6),"-")</f>
        <v>1.81063</v>
      </c>
    </row>
    <row r="44">
      <c r="B44" s="1788" t="inlineStr">
        <is>
          <t>EGI TDD</t>
        </is>
      </c>
      <c r="C44" s="1946" t="n"/>
      <c r="D44" s="1788" t="str">
        <f>$B30</f>
        <v>EGI TDD</v>
      </c>
      <c r="E44" s="1946" t="n"/>
      <c r="F44" s="1946" t="n"/>
      <c r="G44" s="1946" t="n"/>
      <c r="H44" s="1791">
        <f>IF(H30="","-",H30)</f>
        <v>0</v>
      </c>
      <c r="I44" s="1791">
        <f>IF(I30="","-",I30)</f>
        <v>0</v>
      </c>
      <c r="J44" s="1791">
        <f>IF(J30="","-",J30)</f>
        <v>0</v>
      </c>
      <c r="K44" s="1791">
        <f>IFERROR(INDEX('2.4 TDD Group Functions'!$P$8:$P$24,MATCH($D44,'2.4 TDD Group Functions'!$B$8:$B$24,0)),"-")</f>
        <v>1.02484851</v>
      </c>
      <c r="L44" s="1791">
        <f>IF(AND(ISNUMBER($H44),ISNUMBER($K44)),ROUND($K44-$H44,6),"-")</f>
        <v>1.024849</v>
      </c>
    </row>
    <row r="45">
      <c r="B45" s="1535" t="inlineStr">
        <is>
          <t>EGI TDD total</t>
        </is>
      </c>
      <c r="C45" s="1947" t="n"/>
      <c r="D45" s="1947" t="n"/>
      <c r="E45" s="1947" t="n"/>
      <c r="F45" s="1947" t="n"/>
      <c r="G45" s="1947" t="n"/>
      <c r="H45" s="1771">
        <f>IF(COUNT($H44)=1,SUM($H44),"-")</f>
        <v>0</v>
      </c>
      <c r="I45" s="1771">
        <f>IF(COUNT($I44)=1,SUM($I44),"-")</f>
        <v>0</v>
      </c>
      <c r="J45" s="1771">
        <f>IF(COUNT($J44)=1,SUM($J44),"-")</f>
        <v>0</v>
      </c>
      <c r="K45" s="1771">
        <f>SUM($K44:$K44)</f>
        <v>1.02484851</v>
      </c>
      <c r="L45" s="1771">
        <f>IF(AND(ISNUMBER($H45),ISNUMBER($K45)),ROUND($K45-$H45,6),"-")</f>
        <v>1.024849</v>
      </c>
    </row>
    <row r="46">
      <c r="B46" s="1541" t="inlineStr">
        <is>
          <t>Squads priced by an archetype</t>
        </is>
      </c>
      <c r="C46" s="1948" t="n"/>
      <c r="D46" s="1948" t="n"/>
      <c r="E46" s="1948" t="n"/>
      <c r="F46" s="1948" t="n"/>
      <c r="G46" s="1948" t="n"/>
      <c r="H46" s="1949">
        <f>N($H43)+N($H45)</f>
        <v>5.7</v>
      </c>
      <c r="I46" s="1541" t="n"/>
      <c r="J46" s="1541" t="n"/>
      <c r="K46" s="1949">
        <f>N($K43)+N($K45)</f>
        <v>8.5354782324</v>
      </c>
      <c r="L46" s="1949">
        <f>IF(AND(ISNUMBER($H46),ISNUMBER($K46)),ROUND($K46-$H46,6),"-")</f>
        <v>2.835478</v>
      </c>
    </row>
    <row r="47">
      <c r="B47" s="1788" t="inlineStr">
        <is>
          <t>Overhead roles in this portfolio - no archetype prices them</t>
        </is>
      </c>
      <c r="C47" s="1946" t="n"/>
      <c r="D47" s="1946" t="n"/>
      <c r="E47" s="1946" t="n"/>
      <c r="F47" s="1946" t="n"/>
      <c r="G47" s="1946" t="n"/>
      <c r="H47" s="1791" t="str">
        <f>"-"</f>
        <v>-</v>
      </c>
      <c r="I47" s="1788" t="n"/>
      <c r="J47" s="1788" t="n"/>
      <c r="K47" s="1791">
        <f>N('2.4 TDD Group Functions'!$P$23)</f>
        <v>1.66549125</v>
      </c>
      <c r="L47" s="1791" t="str">
        <f>"-"</f>
        <v>-</v>
      </c>
    </row>
    <row r="48">
      <c r="B48" s="1788" t="inlineStr">
        <is>
          <t>On the working tab with no row on this tab</t>
        </is>
      </c>
      <c r="C48" s="1946" t="n"/>
      <c r="D48" s="1946" t="n"/>
      <c r="E48" s="1946" t="n"/>
      <c r="F48" s="1946" t="n"/>
      <c r="G48" s="1946" t="n"/>
      <c r="H48" s="1791" t="str">
        <f>"-"</f>
        <v>-</v>
      </c>
      <c r="I48" s="1788" t="n"/>
      <c r="J48" s="1788" t="n"/>
      <c r="K48" s="1791">
        <f>ROUND(N('2.4 TDD Group Functions'!$P$24)-$K46-$K47,6)</f>
        <v>0</v>
      </c>
      <c r="L48" s="1791" t="str">
        <f>"-"</f>
        <v>-</v>
      </c>
    </row>
    <row r="49">
      <c r="B49" s="1541" t="inlineStr">
        <is>
          <t>Total actual cost after decisions - ties to the working tab</t>
        </is>
      </c>
      <c r="C49" s="1948" t="n"/>
      <c r="D49" s="1948" t="n"/>
      <c r="E49" s="1948" t="n"/>
      <c r="F49" s="1948" t="n"/>
      <c r="G49" s="1948" t="n"/>
      <c r="H49" s="1949" t="str">
        <f>"-"</f>
        <v>-</v>
      </c>
      <c r="I49" s="1541" t="n"/>
      <c r="J49" s="1541" t="n"/>
      <c r="K49" s="1949">
        <f>'2.4 TDD Group Functions'!$P$24</f>
        <v>10.2009694824</v>
      </c>
      <c r="L49" s="1949" t="str">
        <f>"-"</f>
        <v>-</v>
      </c>
    </row>
    <row r="50">
      <c r="B50" s="1788" t="inlineStr">
        <is>
          <t>Control - every line above against the working tab, must be 0</t>
        </is>
      </c>
      <c r="C50" s="1946" t="n"/>
      <c r="D50" s="1946" t="n"/>
      <c r="E50" s="1946" t="n"/>
      <c r="F50" s="1946" t="n"/>
      <c r="G50" s="1946" t="n"/>
      <c r="K50" s="1806">
        <f>ROUND($K46+$K47+$K48-$K49,6)</f>
        <v>0</v>
      </c>
    </row>
  </sheetData>
  <mergeCells count="24">
    <mergeCell ref="D39:G39"/>
    <mergeCell ref="B13:D13"/>
    <mergeCell ref="H4:I4"/>
    <mergeCell ref="D42:G42"/>
    <mergeCell ref="D38:G38"/>
    <mergeCell ref="B39:C39"/>
    <mergeCell ref="B19:J19"/>
    <mergeCell ref="B4:E4"/>
    <mergeCell ref="D44:G44"/>
    <mergeCell ref="B42:C42"/>
    <mergeCell ref="B49:G49"/>
    <mergeCell ref="D40:G40"/>
    <mergeCell ref="B38:C38"/>
    <mergeCell ref="B44:C44"/>
    <mergeCell ref="B45:G45"/>
    <mergeCell ref="B50:G50"/>
    <mergeCell ref="B12:D12"/>
    <mergeCell ref="B40:C40"/>
    <mergeCell ref="B47:G47"/>
    <mergeCell ref="D41:G41"/>
    <mergeCell ref="B46:G46"/>
    <mergeCell ref="B43:G43"/>
    <mergeCell ref="B41:C41"/>
    <mergeCell ref="B48:G48"/>
  </mergeCells>
  <dataValidations count="5">
    <dataValidation sqref="C21:C24 C30" showDropDown="0" showInputMessage="0" showErrorMessage="1" allowBlank="1" errorTitle="Invalid entry" error="Pick a value from the list" type="list" errorStyle="stop" operator="between">
      <formula1>SquadTypes</formula1>
      <formula2>0</formula2>
    </dataValidation>
    <dataValidation sqref="D21:D24 D30" showDropDown="0" showInputMessage="0" showErrorMessage="1" allowBlank="1" errorTitle="Invalid entry" error="Pick a value from the list" type="list" errorStyle="stop" operator="between">
      <formula1>SquadSizes</formula1>
      <formula2>0</formula2>
    </dataValidation>
    <dataValidation sqref="E21:E24 E30" showDropDown="0" showInputMessage="0" showErrorMessage="1" allowBlank="1" errorTitle="Invalid entry" error="Pick a value from the list" type="list" errorStyle="stop" operator="between">
      <formula1>OnOff</formula1>
      <formula2>0</formula2>
    </dataValidation>
    <dataValidation sqref="G21:G24 G30" showDropDown="0" showInputMessage="0" showErrorMessage="1" allowBlank="1" errorTitle="Invalid entry" error="Pick a value from the list" type="list" errorStyle="stop" operator="between">
      <formula1>SupportPct</formula1>
      <formula2>0</formula2>
    </dataValidation>
    <dataValidation sqref="F21:F24 F30" showDropDown="0" showInputMessage="0" showErrorMessage="1" allowBlank="0" type="list" errorStyle="stop" operator="between">
      <formula1>"AU,NZ"</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3.xml><?xml version="1.0" encoding="utf-8"?>
<worksheet xmlns="http://schemas.openxmlformats.org/spreadsheetml/2006/main">
  <sheetPr filterMode="0">
    <tabColor rgb="FF1F4E79"/>
    <outlinePr summaryBelow="1" summaryRight="1"/>
    <pageSetUpPr fitToPage="1"/>
  </sheetPr>
  <dimension ref="B1:Q51"/>
  <sheetViews>
    <sheetView showFormulas="0" showGridLines="0" showRowColHeaders="1" showZeros="1" rightToLeft="0" tabSelected="0" showOutlineSymbols="1" defaultGridColor="1" view="normal" topLeftCell="A1" colorId="64" zoomScale="70" zoomScaleNormal="70" zoomScalePageLayoutView="100" workbookViewId="0">
      <selection pane="topLeft" activeCell="B16" activeCellId="0" sqref="B16"/>
    </sheetView>
  </sheetViews>
  <sheetFormatPr baseColWidth="8" defaultColWidth="8.54296875" defaultRowHeight="14.25" zeroHeight="0" outlineLevelRow="0"/>
  <cols>
    <col width="2" customWidth="1" style="865" min="1" max="1"/>
    <col width="40" customWidth="1" style="865" min="2" max="2"/>
    <col width="26" customWidth="1" style="865" min="3" max="3"/>
    <col width="11" customWidth="1" style="865" min="4" max="4"/>
    <col width="18" customWidth="1" style="865" min="5" max="5"/>
    <col width="10" customWidth="1" style="865" min="6" max="6"/>
    <col width="15" customWidth="1" style="865" min="7" max="7"/>
    <col width="34" customWidth="1" style="865" min="8" max="8"/>
    <col width="14" customWidth="1" style="865" min="9" max="9"/>
    <col width="24" customWidth="1" style="865" min="10" max="10"/>
    <col width="22" customWidth="1" style="865" min="11" max="11"/>
    <col width="30" customWidth="1" style="865" min="12" max="12"/>
    <col width="15" customWidth="1" style="865" min="13" max="13"/>
  </cols>
  <sheetData>
    <row r="1" ht="14.25" customHeight="1" s="866">
      <c r="B1" s="865" t="n"/>
      <c r="C1" s="865" t="n"/>
      <c r="D1" s="865" t="n"/>
      <c r="E1" s="865" t="n"/>
      <c r="F1" s="1314" t="n"/>
      <c r="G1" s="865" t="n"/>
      <c r="H1" s="865" t="n"/>
      <c r="I1" s="865" t="n"/>
      <c r="J1" s="865" t="n"/>
      <c r="K1" s="865" t="n"/>
      <c r="L1" s="865" t="n"/>
      <c r="M1" s="865" t="n"/>
      <c r="N1" s="865" t="n"/>
      <c r="O1" s="865" t="n"/>
    </row>
    <row r="2" ht="21" customHeight="1" s="866">
      <c r="B2" s="1315" t="inlineStr">
        <is>
          <t>P&amp;C</t>
        </is>
      </c>
      <c r="C2" s="865" t="n"/>
      <c r="D2" s="865" t="n"/>
      <c r="E2" s="865" t="n"/>
      <c r="F2" s="1314" t="n"/>
      <c r="G2" s="865" t="n"/>
      <c r="H2" s="865" t="n"/>
      <c r="I2" s="865" t="n"/>
      <c r="J2" s="865" t="n"/>
      <c r="K2" s="865" t="n"/>
      <c r="L2" s="865" t="n"/>
      <c r="M2" s="865" t="n"/>
      <c r="N2" s="865" t="n"/>
      <c r="O2" s="865" t="n"/>
    </row>
    <row r="3" ht="14.25" customHeight="1" s="866">
      <c r="B3" s="865" t="n"/>
      <c r="C3" s="865" t="n"/>
      <c r="D3" s="865" t="n"/>
      <c r="E3" s="865" t="n"/>
      <c r="F3" s="1314" t="n"/>
      <c r="G3" s="865" t="n"/>
      <c r="H3" s="865" t="n"/>
      <c r="I3" s="865" t="n"/>
      <c r="J3" s="865" t="n"/>
      <c r="K3" s="865" t="n"/>
      <c r="L3" s="865" t="n"/>
      <c r="M3" s="865" t="n"/>
      <c r="N3" s="865" t="n"/>
      <c r="O3" s="865" t="n"/>
    </row>
    <row r="4" ht="19" customHeight="1" s="866">
      <c r="B4" s="1316" t="inlineStr">
        <is>
          <t>Portfolio Summary</t>
        </is>
      </c>
      <c r="C4" s="1003" t="n"/>
      <c r="D4" s="1003" t="n"/>
      <c r="E4" s="1004" t="n"/>
      <c r="F4" s="1849" t="n"/>
      <c r="G4" s="865" t="n"/>
      <c r="H4" s="1417" t="inlineStr">
        <is>
          <t>Budget vs TDD Cost</t>
        </is>
      </c>
      <c r="I4" s="1004" t="n"/>
      <c r="J4" s="865" t="n"/>
      <c r="K4" s="865" t="n"/>
      <c r="L4" s="865" t="n"/>
      <c r="M4" s="865" t="n"/>
      <c r="N4" s="865" t="n"/>
      <c r="O4" s="865" t="n"/>
    </row>
    <row r="5" ht="31.5" customHeight="1" s="866">
      <c r="B5" s="1319" t="inlineStr">
        <is>
          <t>Cost</t>
        </is>
      </c>
      <c r="C5" s="1320" t="inlineStr">
        <is>
          <t>TDD AU ($m)</t>
        </is>
      </c>
      <c r="D5" s="1320" t="inlineStr">
        <is>
          <t>TDD NZ ($m)</t>
        </is>
      </c>
      <c r="E5" s="1320" t="inlineStr">
        <is>
          <t>Other ($m)</t>
        </is>
      </c>
      <c r="F5" s="1320" t="inlineStr">
        <is>
          <t>Total ($m)</t>
        </is>
      </c>
      <c r="G5" s="1420" t="n"/>
      <c r="H5" s="1321" t="inlineStr">
        <is>
          <t>TDD Budget Allocation (people - 0.2 Data Config)</t>
        </is>
      </c>
      <c r="I5" s="1850">
        <f>'0.2 Data Config'!$E$18</f>
        <v>2</v>
      </c>
      <c r="J5" s="865" t="n"/>
      <c r="K5" s="865" t="n"/>
      <c r="L5" s="865" t="n"/>
      <c r="M5" s="865" t="n"/>
      <c r="N5" s="865" t="n"/>
      <c r="O5" s="865" t="n"/>
    </row>
    <row r="6" ht="14.25" customHeight="1" s="866">
      <c r="B6" s="1012" t="inlineStr">
        <is>
          <t>Portfolio Overhead (see 0.2 Data Config)</t>
        </is>
      </c>
      <c r="C6" s="1323">
        <f>IF('0.2 Data Config'!$D$18&gt;'0.2 Data Config'!$C$18,0,'0.2 Data Config'!$L$10)</f>
        <v>0.7975</v>
      </c>
      <c r="D6" s="1323">
        <f>IF('0.2 Data Config'!$D$18&gt;'0.2 Data Config'!$C$18,'0.2 Data Config'!$L$10,0)</f>
        <v>0</v>
      </c>
      <c r="E6" s="1323">
        <f>0</f>
        <v>0</v>
      </c>
      <c r="F6" s="1323">
        <f>C6+D6+E6</f>
        <v>0.7975</v>
      </c>
      <c r="G6" s="1368" t="n"/>
      <c r="H6" s="1369" t="inlineStr">
        <is>
          <t>TDD Budget ($m)</t>
        </is>
      </c>
      <c r="I6" s="1323">
        <f>'0.2 Data Config'!$E$18</f>
        <v>2</v>
      </c>
      <c r="J6" s="865" t="n"/>
      <c r="K6" s="865" t="n"/>
      <c r="L6" s="865" t="n"/>
      <c r="M6" s="865" t="n"/>
      <c r="N6" s="865" t="n"/>
      <c r="O6" s="865" t="n"/>
    </row>
    <row r="7" ht="14.25" customHeight="1" s="866">
      <c r="B7" s="1012" t="inlineStr">
        <is>
          <t>Platform Overheads</t>
        </is>
      </c>
      <c r="C7" s="1323">
        <f>IF('0.2 Data Config'!$D$18&gt;'0.2 Data Config'!$C$18,0,SUM(I27))</f>
        <v>0.165</v>
      </c>
      <c r="D7" s="1323">
        <f>IF('0.2 Data Config'!$D$18&gt;'0.2 Data Config'!$C$18,SUM(I27),0)</f>
        <v>0</v>
      </c>
      <c r="E7" s="1323">
        <f>0</f>
        <v>0</v>
      </c>
      <c r="F7" s="1323">
        <f>C7+D7+E7</f>
        <v>0.165</v>
      </c>
      <c r="G7" s="1368" t="n"/>
      <c r="H7" s="1370" t="n"/>
      <c r="I7" s="1371" t="n"/>
      <c r="J7" s="865" t="n"/>
      <c r="K7" s="865" t="n"/>
      <c r="L7" s="865" t="n"/>
      <c r="M7" s="865" t="n"/>
      <c r="N7" s="865" t="n"/>
      <c r="O7" s="865" t="n"/>
    </row>
    <row r="8" ht="14.25" customHeight="1" s="866">
      <c r="B8" s="1012" t="inlineStr">
        <is>
          <t>Squad Support Costs</t>
        </is>
      </c>
      <c r="C8" s="1323">
        <f>SUMIF($F$25:$F$26,"AU",$I$25:$I$26)+SUMIF($F$32:$F$32,"AU",$I$32:$I$32)</f>
        <v>1.05</v>
      </c>
      <c r="D8" s="1323">
        <f>SUMIF($F$25:$F$26,"NZ",$I$25:$I$26)+SUMIF($F$32:$F$32,"NZ",$I$32:$I$32)</f>
        <v>0</v>
      </c>
      <c r="E8" s="1323">
        <f>SUM($J$25:$J$26)+SUM($J$32:$J$32)</f>
        <v>2.45</v>
      </c>
      <c r="F8" s="1323">
        <f>C8+D8+E8</f>
        <v>3.5</v>
      </c>
      <c r="G8" s="1368" t="n"/>
      <c r="H8" s="1372" t="inlineStr">
        <is>
          <t>TDD over/(under) budget ($m)</t>
        </is>
      </c>
      <c r="I8" s="1373">
        <f>C9-I6</f>
        <v>0.0125000000000002</v>
      </c>
      <c r="J8" s="865" t="n"/>
      <c r="K8" s="865" t="n"/>
      <c r="L8" s="865" t="n"/>
      <c r="M8" s="865" t="n"/>
      <c r="N8" s="865" t="n"/>
      <c r="O8" s="865" t="n"/>
    </row>
    <row r="9" ht="14.25" customHeight="1" s="866">
      <c r="B9" s="1330" t="inlineStr">
        <is>
          <t>Total Cost</t>
        </is>
      </c>
      <c r="C9" s="1331">
        <f>SUM(C6:C8)</f>
        <v>2.0125</v>
      </c>
      <c r="D9" s="1331">
        <f>SUM(D6:D8)</f>
        <v>0</v>
      </c>
      <c r="E9" s="1331">
        <f>SUM(E6:E8)</f>
        <v>2.45</v>
      </c>
      <c r="F9" s="1331">
        <f>SUM(F6:F8)</f>
        <v>4.4625</v>
      </c>
      <c r="G9" s="1375" t="n"/>
      <c r="H9" s="1372" t="n"/>
      <c r="I9" s="1373" t="n"/>
      <c r="J9" s="865" t="n"/>
      <c r="K9" s="865" t="n"/>
      <c r="L9" s="865" t="n"/>
      <c r="M9" s="865" t="n"/>
      <c r="N9" s="865" t="n"/>
      <c r="O9" s="865" t="n"/>
    </row>
    <row r="10" ht="14.25" customHeight="1" s="866">
      <c r="B10" s="865" t="n"/>
      <c r="C10" s="865" t="n"/>
      <c r="D10" s="865" t="n"/>
      <c r="E10" s="865" t="n"/>
      <c r="F10" s="1314" t="n"/>
      <c r="G10" s="865" t="n"/>
      <c r="H10" s="865" t="n"/>
      <c r="I10" s="1421" t="n"/>
      <c r="J10" s="865" t="n"/>
      <c r="K10" s="865" t="n"/>
      <c r="L10" s="865" t="n"/>
      <c r="M10" s="865" t="n"/>
      <c r="N10" s="865" t="n"/>
      <c r="O10" s="865" t="n"/>
    </row>
    <row r="11" ht="14.25" customFormat="1" customHeight="1" s="865">
      <c r="B11" s="1861" t="n"/>
      <c r="F11" s="1314" t="n"/>
      <c r="I11" s="1421" t="n"/>
    </row>
    <row r="12" ht="31.5" customHeight="1" s="866">
      <c r="B12" s="1377" t="inlineStr">
        <is>
          <t xml:space="preserve">Total P&amp;C budget </t>
        </is>
      </c>
      <c r="D12" s="1378" t="n"/>
      <c r="E12" s="1379">
        <f>SUM(I13:I18)</f>
        <v>5.8</v>
      </c>
      <c r="F12" s="1314" t="n"/>
      <c r="G12" s="865" t="n"/>
      <c r="H12" s="1380" t="inlineStr">
        <is>
          <t>Budget line</t>
        </is>
      </c>
      <c r="I12" s="1380" t="inlineStr">
        <is>
          <t>Budget ($m)</t>
        </is>
      </c>
      <c r="J12" s="1380" t="inlineStr">
        <is>
          <t>Amount that can be allocated to people</t>
        </is>
      </c>
      <c r="K12" s="1380" t="inlineStr">
        <is>
          <t>Remaining for non-people ($m)</t>
        </is>
      </c>
      <c r="L12" s="1431" t="inlineStr">
        <is>
          <t xml:space="preserve">Notes </t>
        </is>
      </c>
      <c r="M12" s="865" t="n"/>
      <c r="N12" s="865" t="n"/>
      <c r="O12" s="865" t="n"/>
    </row>
    <row r="13" ht="28.5" customHeight="1" s="866">
      <c r="B13" s="1381" t="inlineStr">
        <is>
          <t xml:space="preserve">Reconciled to Finance </t>
        </is>
      </c>
      <c r="D13" s="1378" t="n"/>
      <c r="E13" s="1354">
        <f>N('0.1 Budget Table (Fin)'!Q12)</f>
        <v>5.8</v>
      </c>
      <c r="F13" s="1314" t="n"/>
      <c r="G13" s="865" t="n"/>
      <c r="H13" s="1382" t="inlineStr">
        <is>
          <t>P&amp;C Lights On</t>
        </is>
      </c>
      <c r="I13" s="1855">
        <f>N('0.1 Budget Table (Fin)'!L12)</f>
        <v>2.1</v>
      </c>
      <c r="J13" s="1432">
        <f>N('0.1 Budget Table (Fin)'!$I$23)</f>
        <v>0</v>
      </c>
      <c r="K13" s="1385">
        <f>IFERROR(I13-J13,0)</f>
        <v>2.1</v>
      </c>
      <c r="L13" s="1433" t="inlineStr">
        <is>
          <t xml:space="preserve">AU/ NZ blended rate required to draw down  </t>
        </is>
      </c>
      <c r="M13" s="865" t="n"/>
      <c r="N13" s="865" t="n"/>
      <c r="O13" s="865" t="n"/>
    </row>
    <row r="14" ht="14.25" customHeight="1" s="866">
      <c r="B14" s="865" t="n"/>
      <c r="C14" s="865" t="n"/>
      <c r="D14" s="865" t="n"/>
      <c r="E14" s="865" t="n"/>
      <c r="F14" s="1314" t="n"/>
      <c r="G14" s="865" t="n"/>
      <c r="H14" s="1382" t="inlineStr">
        <is>
          <t>OpEx Initiatives</t>
        </is>
      </c>
      <c r="I14" s="1855">
        <f>N('0.1 Budget Table (Fin)'!N12)</f>
        <v>2</v>
      </c>
      <c r="J14" s="1857">
        <f>0.5*I14</f>
        <v>1</v>
      </c>
      <c r="K14" s="1385">
        <f>IFERROR(I14-J14,0)</f>
        <v>1</v>
      </c>
      <c r="L14" s="865" t="n"/>
      <c r="M14" s="865" t="n"/>
      <c r="N14" s="865" t="n"/>
      <c r="O14" s="865" t="n"/>
    </row>
    <row r="15" ht="14.25" customHeight="1" s="866">
      <c r="B15" s="1336" t="inlineStr">
        <is>
          <t>Funding position ($m)</t>
        </is>
      </c>
      <c r="C15" s="1337" t="n"/>
      <c r="D15" s="865" t="n"/>
      <c r="E15" s="865" t="n"/>
      <c r="F15" s="1314" t="n"/>
      <c r="G15" s="865" t="n"/>
      <c r="H15" s="1382" t="inlineStr">
        <is>
          <t>CapEx</t>
        </is>
      </c>
      <c r="I15" s="1855">
        <f>N('0.1 Budget Table (Fin)'!P12)</f>
        <v>0.3</v>
      </c>
      <c r="J15" s="1857">
        <f>0.5*I15</f>
        <v>0.15</v>
      </c>
      <c r="K15" s="1385">
        <f>IFERROR(I15-J15,0)</f>
        <v>0.15</v>
      </c>
      <c r="L15" s="865" t="n"/>
      <c r="M15" s="865" t="n"/>
      <c r="N15" s="865" t="n"/>
      <c r="O15" s="865" t="n"/>
    </row>
    <row r="16" ht="14.25" customHeight="1" s="866">
      <c r="B16" s="1338" t="inlineStr">
        <is>
          <t>Over/(under) TDD budget</t>
        </is>
      </c>
      <c r="C16" s="1339">
        <f>$I$8</f>
        <v>0.0125000000000002</v>
      </c>
      <c r="D16" s="865" t="n"/>
      <c r="E16" s="865" t="n"/>
      <c r="F16" s="1314" t="n"/>
      <c r="G16" s="865" t="n"/>
      <c r="H16" s="1382" t="inlineStr">
        <is>
          <t>Significant Items</t>
        </is>
      </c>
      <c r="I16" s="1855">
        <f>N('0.1 Budget Table (Fin)'!O12)</f>
        <v>1.4</v>
      </c>
      <c r="J16" s="1857">
        <f>0.5*I16</f>
        <v>0.7</v>
      </c>
      <c r="K16" s="1385">
        <f>IFERROR(I16-J16,0)</f>
        <v>0.7</v>
      </c>
      <c r="L16" s="865" t="n"/>
      <c r="M16" s="865" t="n"/>
      <c r="N16" s="865" t="n"/>
      <c r="O16" s="865" t="n"/>
    </row>
    <row r="17" ht="14.25" customHeight="1" s="866">
      <c r="B17" s="1338" t="inlineStr">
        <is>
          <t>Still to fund outside TDD</t>
        </is>
      </c>
      <c r="C17" s="1339">
        <f>$J21</f>
        <v>0.6</v>
      </c>
      <c r="D17" s="865" t="n"/>
      <c r="E17" s="865" t="n"/>
      <c r="F17" s="1314" t="n"/>
      <c r="G17" s="865" t="n"/>
      <c r="H17" s="1382" t="inlineStr">
        <is>
          <t>Significant Items EGI</t>
        </is>
      </c>
      <c r="I17" s="1855" t="n"/>
      <c r="J17" s="1855">
        <f>J32</f>
        <v>0</v>
      </c>
      <c r="K17" s="1385" t="n"/>
      <c r="L17" s="865" t="n"/>
      <c r="M17" s="865" t="n"/>
      <c r="N17" s="865" t="n"/>
      <c r="O17" s="865" t="n"/>
    </row>
    <row r="18" ht="14.25" customHeight="1" s="866">
      <c r="B18" s="1344" t="inlineStr">
        <is>
          <t>Total to fund</t>
        </is>
      </c>
      <c r="C18" s="1345">
        <f>$C16+$C17</f>
        <v>0.6125</v>
      </c>
      <c r="D18" s="865" t="n"/>
      <c r="E18" s="865" t="n"/>
      <c r="F18" s="1314" t="n"/>
      <c r="G18" s="865" t="n"/>
      <c r="H18" s="1382" t="inlineStr">
        <is>
          <t>Depreciation</t>
        </is>
      </c>
      <c r="I18" s="1855">
        <f>N('0.1 Budget Table (Fin)'!M12)</f>
        <v>0</v>
      </c>
      <c r="J18" s="1856" t="n">
        <v>0</v>
      </c>
      <c r="K18" s="1385">
        <f>IFERROR(I18-J18,0)</f>
        <v>0</v>
      </c>
      <c r="L18" s="865" t="n"/>
      <c r="M18" s="865" t="n"/>
      <c r="N18" s="865" t="n"/>
      <c r="O18" s="865" t="n"/>
    </row>
    <row r="19" ht="14.25" customHeight="1" s="866">
      <c r="B19" s="865" t="n"/>
      <c r="C19" s="865" t="n"/>
      <c r="D19" s="865" t="n"/>
      <c r="E19" s="865" t="n"/>
      <c r="F19" s="1314" t="n"/>
      <c r="G19" s="865" t="n"/>
      <c r="H19" s="1387" t="inlineStr">
        <is>
          <t>Total applied</t>
        </is>
      </c>
      <c r="I19" s="1384" t="n"/>
      <c r="J19" s="1388">
        <f>SUM(J13:J18)</f>
        <v>1.85</v>
      </c>
      <c r="K19" s="1384" t="n"/>
      <c r="L19" s="865" t="n"/>
      <c r="M19" s="1861" t="inlineStr">
        <is>
          <t>Check $1.85m recharge in 26</t>
        </is>
      </c>
      <c r="N19" s="865" t="n"/>
      <c r="O19" s="865" t="n"/>
    </row>
    <row r="20" ht="14.25" customHeight="1" s="866">
      <c r="B20" s="865" t="n"/>
      <c r="C20" s="865" t="n"/>
      <c r="D20" s="865" t="n"/>
      <c r="E20" s="865" t="n"/>
      <c r="F20" s="1314" t="n"/>
      <c r="G20" s="865" t="n"/>
      <c r="H20" s="1382" t="inlineStr">
        <is>
          <t>Other cost (this model)</t>
        </is>
      </c>
      <c r="I20" s="1384" t="n"/>
      <c r="J20" s="1385">
        <f>E9</f>
        <v>2.45</v>
      </c>
      <c r="K20" s="1384" t="n"/>
      <c r="L20" s="865" t="n"/>
      <c r="M20" s="865" t="n"/>
      <c r="N20" s="865" t="n"/>
      <c r="O20" s="865" t="n"/>
    </row>
    <row r="21" ht="14.25" customHeight="1" s="866">
      <c r="B21" s="865" t="n"/>
      <c r="C21" s="865" t="n"/>
      <c r="D21" s="865" t="n"/>
      <c r="E21" s="865" t="n"/>
      <c r="F21" s="1314" t="n"/>
      <c r="G21" s="865" t="n"/>
      <c r="H21" s="1389" t="inlineStr">
        <is>
          <t>Left to fund</t>
        </is>
      </c>
      <c r="I21" s="1384" t="n"/>
      <c r="J21" s="1390">
        <f>E9-(J19-J13)</f>
        <v>0.6</v>
      </c>
      <c r="K21" s="1384" t="n"/>
      <c r="L21" s="865" t="n"/>
      <c r="M21" s="865" t="n"/>
      <c r="N21" s="865" t="n"/>
      <c r="O21" s="865" t="n"/>
    </row>
    <row r="22" ht="14.25" customHeight="1" s="866">
      <c r="B22" s="865" t="n"/>
      <c r="C22" s="865" t="n"/>
      <c r="D22" s="865" t="n"/>
      <c r="E22" s="865" t="n"/>
      <c r="F22" s="1314" t="n"/>
      <c r="G22" s="865" t="n"/>
      <c r="H22" s="865" t="n"/>
      <c r="I22" s="865" t="n"/>
      <c r="J22" s="865" t="n"/>
      <c r="K22" s="865" t="n"/>
      <c r="L22" s="865" t="n"/>
      <c r="M22" s="865" t="n"/>
      <c r="N22" s="865" t="n"/>
      <c r="O22" s="865" t="n"/>
    </row>
    <row r="23" ht="19" customHeight="1" s="866">
      <c r="B23" s="1376" t="inlineStr">
        <is>
          <t>Platform: P&amp;C</t>
        </is>
      </c>
      <c r="C23" s="1352" t="n"/>
      <c r="D23" s="1352" t="n"/>
      <c r="E23" s="1352" t="n"/>
      <c r="F23" s="1352" t="n"/>
      <c r="G23" s="1352" t="n"/>
      <c r="H23" s="1352" t="n"/>
      <c r="I23" s="1352" t="n"/>
      <c r="J23" s="1353" t="n"/>
      <c r="K23" s="865" t="n"/>
      <c r="L23" s="865" t="n"/>
      <c r="M23" s="865" t="n"/>
      <c r="N23" s="865" t="n"/>
      <c r="O23" s="865" t="n"/>
    </row>
    <row r="24" ht="31.5" customHeight="1" s="866">
      <c r="B24" s="1380" t="inlineStr">
        <is>
          <t>Squad</t>
        </is>
      </c>
      <c r="C24" s="1380" t="inlineStr">
        <is>
          <t>Squad Type</t>
        </is>
      </c>
      <c r="D24" s="1380" t="inlineStr">
        <is>
          <t>Size</t>
        </is>
      </c>
      <c r="E24" s="1380" t="inlineStr">
        <is>
          <t>Onshore / Offshore</t>
        </is>
      </c>
      <c r="F24" s="1320" t="inlineStr">
        <is>
          <t>AU / NZ</t>
        </is>
      </c>
      <c r="G24" s="1380" t="inlineStr">
        <is>
          <t>% funded by TDD</t>
        </is>
      </c>
      <c r="H24" s="1380" t="inlineStr">
        <is>
          <t>Total Squad Cost ($m)</t>
        </is>
      </c>
      <c r="I24" s="1380" t="inlineStr">
        <is>
          <t>TDD Cost ($m)</t>
        </is>
      </c>
      <c r="J24" s="1380" t="inlineStr">
        <is>
          <t>Funded outside TDD ($m)</t>
        </is>
      </c>
      <c r="M24" s="1858" t="inlineStr">
        <is>
          <t>Nbr Archetype Roles</t>
        </is>
      </c>
      <c r="N24" s="1859" t="inlineStr">
        <is>
          <t>Published Roles</t>
        </is>
      </c>
      <c r="O24" s="1860" t="inlineStr">
        <is>
          <t>Review Outcome</t>
        </is>
      </c>
      <c r="P24" s="1860" t="inlineStr">
        <is>
          <t>Vacant Now</t>
        </is>
      </c>
      <c r="Q24" s="1860" t="inlineStr">
        <is>
          <t>FY27</t>
        </is>
      </c>
    </row>
    <row r="25" ht="14.25" customHeight="1" s="866">
      <c r="B25" s="1382" t="inlineStr">
        <is>
          <t>P&amp;C</t>
        </is>
      </c>
      <c r="C25" s="1392" t="inlineStr">
        <is>
          <t>Configuration / Integration</t>
        </is>
      </c>
      <c r="D25" s="1392" t="inlineStr">
        <is>
          <t>M</t>
        </is>
      </c>
      <c r="E25" s="1392" t="inlineStr">
        <is>
          <t>Onshore</t>
        </is>
      </c>
      <c r="F25" s="1358" t="inlineStr">
        <is>
          <t>AU</t>
        </is>
      </c>
      <c r="G25" s="1393" t="n">
        <v>0.3</v>
      </c>
      <c r="H25" s="1855">
        <f>IFERROR(IF($E25="Onshore",INDEX('0.3 Squad Archetypes'!$G$5:$G$23,MATCH($C25&amp;"|"&amp;$D25,'0.3 Squad Archetypes'!$A$5:$A$23,0)),INDEX('0.3 Squad Archetypes'!$H$5:$H$23,MATCH($C25&amp;"|"&amp;$D25,'0.3 Squad Archetypes'!$A$5:$A$23,0))),"check size")</f>
        <v>2.1</v>
      </c>
      <c r="I25" s="1385">
        <f>IFERROR($H25*$G25,"")</f>
        <v>0.63</v>
      </c>
      <c r="J25" s="1385">
        <f>IFERROR($H25*(1-$G25),"")</f>
        <v>1.47</v>
      </c>
      <c r="M25" s="1861" t="n">
        <v>9</v>
      </c>
      <c r="N25" s="1861" t="n">
        <v>9</v>
      </c>
      <c r="O25" s="1862" t="n"/>
      <c r="P25" s="1861" t="n">
        <v>4</v>
      </c>
      <c r="Q25" s="1861" t="n"/>
    </row>
    <row r="26" ht="14.25" customHeight="1" s="866">
      <c r="B26" s="1382" t="inlineStr">
        <is>
          <t>P&amp;C RTA</t>
        </is>
      </c>
      <c r="C26" s="1392" t="inlineStr">
        <is>
          <t>Configuration / Integration</t>
        </is>
      </c>
      <c r="D26" s="1392" t="inlineStr">
        <is>
          <t>S</t>
        </is>
      </c>
      <c r="E26" s="1392" t="inlineStr">
        <is>
          <t>Onshore</t>
        </is>
      </c>
      <c r="F26" s="1358" t="inlineStr">
        <is>
          <t>AU</t>
        </is>
      </c>
      <c r="G26" s="1393" t="n">
        <v>0.3</v>
      </c>
      <c r="H26" s="1855">
        <f>IFERROR(IF($E26="Onshore",INDEX('0.3 Squad Archetypes'!$G$5:$G$23,MATCH($C26&amp;"|"&amp;$D26,'0.3 Squad Archetypes'!$A$5:$A$23,0)),INDEX('0.3 Squad Archetypes'!$H$5:$H$23,MATCH($C26&amp;"|"&amp;$D26,'0.3 Squad Archetypes'!$A$5:$A$23,0))),"check size")</f>
        <v>1.4</v>
      </c>
      <c r="I26" s="1385">
        <f>IFERROR($H26*$G26,"")</f>
        <v>0.42</v>
      </c>
      <c r="J26" s="1385">
        <f>IFERROR($H26*(1-$G26),"")</f>
        <v>0.98</v>
      </c>
      <c r="M26" s="1861" t="n">
        <v>6</v>
      </c>
      <c r="N26" s="1861" t="n">
        <v>5</v>
      </c>
      <c r="O26" s="1862" t="n"/>
      <c r="P26" s="1861" t="n">
        <v>5</v>
      </c>
      <c r="Q26" s="1861" t="n">
        <v>5</v>
      </c>
    </row>
    <row r="27" ht="14.25" customHeight="1" s="866">
      <c r="B27" s="1382" t="inlineStr">
        <is>
          <t>Platform Overhead</t>
        </is>
      </c>
      <c r="C27" s="865" t="n"/>
      <c r="D27" s="865" t="n"/>
      <c r="E27" s="865" t="n"/>
      <c r="F27" s="1314" t="n"/>
      <c r="G27" s="865" t="n"/>
      <c r="H27" s="1384" t="n"/>
      <c r="I27" s="1855">
        <f>'0.2 Data Config'!$L$16</f>
        <v>0.165</v>
      </c>
      <c r="J27" s="1384" t="n"/>
      <c r="M27" s="865" t="n"/>
      <c r="N27" s="865" t="n"/>
      <c r="O27" s="865" t="n"/>
      <c r="P27" s="865" t="n"/>
      <c r="Q27" s="865" t="n"/>
    </row>
    <row r="28" ht="14.25" customHeight="1" s="866">
      <c r="B28" s="1389" t="inlineStr">
        <is>
          <t>P&amp;C Total</t>
        </is>
      </c>
      <c r="C28" s="1361" t="n"/>
      <c r="D28" s="1361" t="n"/>
      <c r="E28" s="1361" t="n"/>
      <c r="F28" s="1314" t="n"/>
      <c r="G28" s="1361" t="n"/>
      <c r="H28" s="1390">
        <f>SUM(H25:H26)</f>
        <v>3.5</v>
      </c>
      <c r="I28" s="1390">
        <f>SUM(I25:I27)</f>
        <v>1.215</v>
      </c>
      <c r="J28" s="1390">
        <f>SUM(J25:J26)</f>
        <v>2.45</v>
      </c>
      <c r="K28" s="865" t="n"/>
      <c r="L28" s="865" t="n"/>
      <c r="M28" s="865" t="n"/>
      <c r="N28" s="865" t="n"/>
      <c r="O28" s="865" t="n"/>
    </row>
    <row r="29" ht="14.25" customHeight="1" s="866">
      <c r="B29" s="865" t="n"/>
      <c r="C29" s="865" t="n"/>
      <c r="D29" s="865" t="n"/>
      <c r="E29" s="865" t="n"/>
      <c r="F29" s="1314" t="n"/>
      <c r="G29" s="865" t="n"/>
      <c r="H29" s="865" t="n"/>
      <c r="I29" s="865" t="n"/>
      <c r="J29" s="865" t="n"/>
      <c r="K29" s="865" t="n"/>
      <c r="L29" s="865" t="n"/>
      <c r="M29" s="865" t="n"/>
      <c r="N29" s="865" t="n"/>
      <c r="O29" s="865" t="n"/>
    </row>
    <row r="30" ht="19" customHeight="1" s="866">
      <c r="B30" s="1316" t="inlineStr">
        <is>
          <t>Platform: EGI P&amp;C</t>
        </is>
      </c>
      <c r="C30" s="1849" t="n"/>
      <c r="D30" s="1849" t="n"/>
      <c r="E30" s="1849" t="n"/>
      <c r="F30" s="1849" t="n"/>
      <c r="G30" s="1849" t="n"/>
      <c r="H30" s="1849" t="n"/>
      <c r="I30" s="1849" t="n"/>
      <c r="J30" s="1849" t="n"/>
      <c r="K30" s="865" t="n"/>
      <c r="L30" s="865" t="n"/>
      <c r="M30" s="865" t="n"/>
      <c r="N30" s="865" t="n"/>
      <c r="O30" s="865" t="n"/>
    </row>
    <row r="31" ht="31.5" customHeight="1" s="866">
      <c r="B31" s="1319" t="inlineStr">
        <is>
          <t>Squad</t>
        </is>
      </c>
      <c r="C31" s="1319" t="inlineStr">
        <is>
          <t>Squad Type</t>
        </is>
      </c>
      <c r="D31" s="1319" t="inlineStr">
        <is>
          <t>Size</t>
        </is>
      </c>
      <c r="E31" s="1319" t="inlineStr">
        <is>
          <t>Onshore / Offshore</t>
        </is>
      </c>
      <c r="F31" s="1320" t="inlineStr">
        <is>
          <t>AU / NZ</t>
        </is>
      </c>
      <c r="G31" s="1319" t="inlineStr">
        <is>
          <t>% funded by TDD</t>
        </is>
      </c>
      <c r="H31" s="1319" t="inlineStr">
        <is>
          <t>Total Squad Cost ($m)</t>
        </is>
      </c>
      <c r="I31" s="1319" t="inlineStr">
        <is>
          <t>TDD Cost ($m)</t>
        </is>
      </c>
      <c r="J31" s="1319" t="inlineStr">
        <is>
          <t>Funded outside TDD ($m)</t>
        </is>
      </c>
      <c r="K31" s="1356" t="n"/>
      <c r="L31" s="865" t="n"/>
      <c r="M31" s="865" t="n"/>
      <c r="N31" s="865" t="n"/>
      <c r="O31" s="865" t="n"/>
    </row>
    <row r="32" ht="14.25" customHeight="1" s="866">
      <c r="B32" s="1012" t="inlineStr">
        <is>
          <t>EGI P&amp;C</t>
        </is>
      </c>
      <c r="C32" s="1357" t="inlineStr">
        <is>
          <t>Strategic Programs</t>
        </is>
      </c>
      <c r="D32" s="1357" t="n"/>
      <c r="E32" s="1357" t="inlineStr">
        <is>
          <t>Onshore</t>
        </is>
      </c>
      <c r="F32" s="1358" t="inlineStr">
        <is>
          <t>AU</t>
        </is>
      </c>
      <c r="G32" s="1359" t="n">
        <v>0.2</v>
      </c>
      <c r="H32" s="1854" t="n"/>
      <c r="I32" s="1014">
        <f>IFERROR($H32*$G32,"")</f>
        <v>0</v>
      </c>
      <c r="J32" s="1014">
        <f>IFERROR($H32*(1-$G32),"")</f>
        <v>0</v>
      </c>
      <c r="K32" s="1360" t="n"/>
      <c r="L32" s="865" t="n"/>
      <c r="M32" s="865" t="n"/>
      <c r="N32" s="1366" t="str">
        <f>"People in this program today cost "&amp;TEXT(SUMIFS('REVIEW - Complete Role Mapping'!$AA$2:$AA$528,'REVIEW - Complete Role Mapping'!$AT$2:$AT$528,$B32)/1000000,"0.00")&amp;"m. Set the agreed cost in the cream cell."</f>
        <v>People in this program today cost 0.24m. Set the agreed cost in the cream cell.</v>
      </c>
      <c r="O32" s="865" t="n"/>
    </row>
    <row r="33" ht="14.25" customHeight="1" s="866">
      <c r="B33" s="1363" t="inlineStr">
        <is>
          <t>EGI P&amp;C Total</t>
        </is>
      </c>
      <c r="C33" s="865" t="n"/>
      <c r="D33" s="865" t="n"/>
      <c r="E33" s="865" t="n"/>
      <c r="F33" s="1314" t="n"/>
      <c r="G33" s="865" t="n"/>
      <c r="H33" s="1364">
        <f>SUM(H32:H32)</f>
        <v>0</v>
      </c>
      <c r="I33" s="1364">
        <f>SUM(I32:I32)</f>
        <v>0</v>
      </c>
      <c r="J33" s="1364">
        <f>SUM(J32:J32)</f>
        <v>0</v>
      </c>
      <c r="K33" s="865" t="n"/>
      <c r="L33" s="865" t="n"/>
      <c r="M33" s="865" t="n"/>
      <c r="N33" s="865" t="n"/>
      <c r="O33" s="865" t="n"/>
    </row>
    <row r="34" ht="14.25" customHeight="1" s="866">
      <c r="B34" s="865" t="n"/>
      <c r="C34" s="865" t="n"/>
      <c r="D34" s="865" t="n"/>
      <c r="E34" s="865" t="n"/>
      <c r="F34" s="1314" t="n"/>
      <c r="G34" s="865" t="n"/>
      <c r="H34" s="865" t="n"/>
      <c r="I34" s="865" t="n"/>
      <c r="J34" s="865" t="n"/>
      <c r="K34" s="865" t="n"/>
      <c r="L34" s="865" t="n"/>
      <c r="M34" s="865" t="n"/>
      <c r="N34" s="865" t="n"/>
      <c r="O34" s="865" t="n"/>
    </row>
    <row r="35" ht="14.25" customHeight="1" s="866">
      <c r="B35" s="1366" t="n"/>
      <c r="C35" s="1368" t="n"/>
      <c r="D35" s="1314" t="n"/>
      <c r="E35" s="865" t="n"/>
      <c r="F35" s="1314" t="n"/>
      <c r="G35" s="865" t="n"/>
      <c r="H35" s="865" t="n"/>
      <c r="I35" s="865" t="n"/>
      <c r="J35" s="865" t="n"/>
      <c r="K35" s="865" t="n"/>
      <c r="L35" s="865" t="n"/>
      <c r="M35" s="865" t="n"/>
      <c r="N35" s="865" t="n"/>
      <c r="O35" s="865" t="n"/>
    </row>
    <row r="36" ht="14.25" customHeight="1" s="866">
      <c r="B36" s="1366" t="n"/>
      <c r="C36" s="1368" t="n"/>
      <c r="D36" s="1314" t="n"/>
      <c r="E36" s="865" t="n"/>
      <c r="F36" s="1314" t="n"/>
      <c r="G36" s="865" t="n"/>
      <c r="H36" s="865" t="n"/>
      <c r="I36" s="865" t="n"/>
      <c r="J36" s="865" t="n"/>
      <c r="K36" s="865" t="n"/>
      <c r="L36" s="865" t="n"/>
      <c r="M36" s="865" t="n"/>
      <c r="N36" s="865" t="n"/>
      <c r="O36" s="865" t="n"/>
    </row>
    <row r="39" ht="19" customHeight="1" s="866">
      <c r="B39" s="1527" t="inlineStr">
        <is>
          <t>Archetype against actual - every squad on this tab</t>
        </is>
      </c>
      <c r="C39" s="1528" t="n"/>
      <c r="D39" s="1528" t="n"/>
      <c r="E39" s="1528" t="n"/>
      <c r="F39" s="1528" t="n"/>
      <c r="G39" s="1528" t="n"/>
      <c r="H39" s="1528" t="n"/>
      <c r="I39" s="1528" t="n"/>
      <c r="J39" s="1528" t="n"/>
      <c r="K39" s="1528" t="n"/>
      <c r="L39" s="1528" t="n"/>
    </row>
    <row r="40" ht="34" customHeight="1" s="866">
      <c r="B40" s="1529" t="inlineStr">
        <is>
          <t>Platform</t>
        </is>
      </c>
      <c r="C40" s="1945" t="n"/>
      <c r="D40" s="1529" t="inlineStr">
        <is>
          <t>Squad</t>
        </is>
      </c>
      <c r="E40" s="1945" t="n"/>
      <c r="F40" s="1945" t="n"/>
      <c r="G40" s="1945" t="n"/>
      <c r="H40" s="1529" t="inlineStr">
        <is>
          <t>Total Squad Cost ($m)</t>
        </is>
      </c>
      <c r="I40" s="1529" t="inlineStr">
        <is>
          <t>TDD Cost ($m)</t>
        </is>
      </c>
      <c r="J40" s="1529" t="inlineStr">
        <is>
          <t>Funded outside TDD ($m)</t>
        </is>
      </c>
      <c r="K40" s="1529" t="inlineStr">
        <is>
          <t>Actual cost after decisions ($m)</t>
        </is>
      </c>
      <c r="L40" s="1529" t="inlineStr">
        <is>
          <t>Variance to archetype ($m)</t>
        </is>
      </c>
    </row>
    <row r="41">
      <c r="B41" s="1788" t="inlineStr">
        <is>
          <t>P&amp;C</t>
        </is>
      </c>
      <c r="C41" s="1946" t="n"/>
      <c r="D41" s="1788" t="str">
        <f>$B25</f>
        <v>P&amp;C</v>
      </c>
      <c r="E41" s="1946" t="n"/>
      <c r="F41" s="1946" t="n"/>
      <c r="G41" s="1946" t="n"/>
      <c r="H41" s="1791">
        <f>IF(H25="","-",H25)</f>
        <v>2.1</v>
      </c>
      <c r="I41" s="1791">
        <f>IF(I25="","-",I25)</f>
        <v>0.63</v>
      </c>
      <c r="J41" s="1791">
        <f>IF(J25="","-",J25)</f>
        <v>1.47</v>
      </c>
      <c r="K41" s="1791">
        <f>IFERROR(INDEX('2.5 P&amp;C'!$P$8:$P$22,MATCH($D41,'2.5 P&amp;C'!$B$8:$B$22,0)),"-")</f>
        <v>1.76551793</v>
      </c>
      <c r="L41" s="1791">
        <f>IF(AND(ISNUMBER($H41),ISNUMBER($K41)),ROUND($K41-$H41,6),"-")</f>
        <v>-0.334482</v>
      </c>
    </row>
    <row r="42">
      <c r="B42" s="1788" t="inlineStr">
        <is>
          <t>P&amp;C</t>
        </is>
      </c>
      <c r="C42" s="1946" t="n"/>
      <c r="D42" s="1788" t="str">
        <f>$B26</f>
        <v>P&amp;C RTA</v>
      </c>
      <c r="E42" s="1946" t="n"/>
      <c r="F42" s="1946" t="n"/>
      <c r="G42" s="1946" t="n"/>
      <c r="H42" s="1791">
        <f>IF(H26="","-",H26)</f>
        <v>1.4</v>
      </c>
      <c r="I42" s="1791">
        <f>IF(I26="","-",I26)</f>
        <v>0.42</v>
      </c>
      <c r="J42" s="1791">
        <f>IF(J26="","-",J26)</f>
        <v>0.98</v>
      </c>
      <c r="K42" s="1791">
        <f>IFERROR(INDEX('2.5 P&amp;C'!$P$8:$P$22,MATCH($D42,'2.5 P&amp;C'!$B$8:$B$22,0)),"-")</f>
        <v>1.26408815</v>
      </c>
      <c r="L42" s="1791">
        <f>IF(AND(ISNUMBER($H42),ISNUMBER($K42)),ROUND($K42-$H42,6),"-")</f>
        <v>-0.135912</v>
      </c>
    </row>
    <row r="43">
      <c r="B43" s="1535" t="inlineStr">
        <is>
          <t>P&amp;C total</t>
        </is>
      </c>
      <c r="C43" s="1947" t="n"/>
      <c r="D43" s="1947" t="n"/>
      <c r="E43" s="1947" t="n"/>
      <c r="F43" s="1947" t="n"/>
      <c r="G43" s="1947" t="n"/>
      <c r="H43" s="1771">
        <f>IF(COUNT($H41,$H42)=2,SUM($H41,$H42),"-")</f>
        <v>3.5</v>
      </c>
      <c r="I43" s="1771">
        <f>IF(COUNT($I41,$I42)=2,SUM($I41,$I42),"-")</f>
        <v>1.05</v>
      </c>
      <c r="J43" s="1771">
        <f>IF(COUNT($J41,$J42)=2,SUM($J41,$J42),"-")</f>
        <v>2.45</v>
      </c>
      <c r="K43" s="1771">
        <f>SUM($K41:$K42)</f>
        <v>3.02960608</v>
      </c>
      <c r="L43" s="1771">
        <f>IF(AND(ISNUMBER($H43),ISNUMBER($K43)),ROUND($K43-$H43,6),"-")</f>
        <v>-0.470394</v>
      </c>
    </row>
    <row r="44">
      <c r="B44" s="1788" t="inlineStr">
        <is>
          <t>EGI P&amp;C</t>
        </is>
      </c>
      <c r="C44" s="1946" t="n"/>
      <c r="D44" s="1788" t="str">
        <f>$B32</f>
        <v>EGI P&amp;C</v>
      </c>
      <c r="E44" s="1946" t="n"/>
      <c r="F44" s="1946" t="n"/>
      <c r="G44" s="1946" t="n"/>
      <c r="H44" s="1791" t="str">
        <f>IF(H32="","-",H32)</f>
        <v>-</v>
      </c>
      <c r="I44" s="1791">
        <f>IF(I32="","-",I32)</f>
        <v>0</v>
      </c>
      <c r="J44" s="1791">
        <f>IF(J32="","-",J32)</f>
        <v>0</v>
      </c>
      <c r="K44" s="1791">
        <f>IFERROR(INDEX('2.5 P&amp;C'!$P$8:$P$22,MATCH($D44,'2.5 P&amp;C'!$B$8:$B$22,0)),"-")</f>
        <v>0.238965</v>
      </c>
      <c r="L44" s="1791" t="str">
        <f>IF(AND(ISNUMBER($H44),ISNUMBER($K44)),ROUND($K44-$H44,6),"-")</f>
        <v>-</v>
      </c>
    </row>
    <row r="45">
      <c r="B45" s="1535" t="inlineStr">
        <is>
          <t>EGI P&amp;C total</t>
        </is>
      </c>
      <c r="C45" s="1947" t="n"/>
      <c r="D45" s="1947" t="n"/>
      <c r="E45" s="1947" t="n"/>
      <c r="F45" s="1947" t="n"/>
      <c r="G45" s="1947" t="n"/>
      <c r="H45" s="1771" t="str">
        <f>IF(COUNT($H44)=1,SUM($H44),"-")</f>
        <v>-</v>
      </c>
      <c r="I45" s="1771">
        <f>IF(COUNT($I44)=1,SUM($I44),"-")</f>
        <v>0</v>
      </c>
      <c r="J45" s="1771">
        <f>IF(COUNT($J44)=1,SUM($J44),"-")</f>
        <v>0</v>
      </c>
      <c r="K45" s="1771">
        <f>SUM($K44:$K44)</f>
        <v>0.238965</v>
      </c>
      <c r="L45" s="1771" t="str">
        <f>IF(AND(ISNUMBER($H45),ISNUMBER($K45)),ROUND($K45-$H45,6),"-")</f>
        <v>-</v>
      </c>
    </row>
    <row r="46">
      <c r="B46" s="1541" t="inlineStr">
        <is>
          <t>Squads priced by an archetype</t>
        </is>
      </c>
      <c r="C46" s="1948" t="n"/>
      <c r="D46" s="1948" t="n"/>
      <c r="E46" s="1948" t="n"/>
      <c r="F46" s="1948" t="n"/>
      <c r="G46" s="1948" t="n"/>
      <c r="H46" s="1949">
        <f>N($H43)</f>
        <v>3.5</v>
      </c>
      <c r="I46" s="1541" t="n"/>
      <c r="J46" s="1541" t="n"/>
      <c r="K46" s="1949">
        <f>N($K43)</f>
        <v>3.02960608</v>
      </c>
      <c r="L46" s="1949">
        <f>IF(AND(ISNUMBER($H46),ISNUMBER($K46)),ROUND($K46-$H46,6),"-")</f>
        <v>-0.470394</v>
      </c>
    </row>
    <row r="47">
      <c r="B47" s="1788" t="inlineStr">
        <is>
          <t>Squads with no archetype to price them</t>
        </is>
      </c>
      <c r="C47" s="1946" t="n"/>
      <c r="D47" s="1946" t="n"/>
      <c r="E47" s="1946" t="n"/>
      <c r="F47" s="1946" t="n"/>
      <c r="G47" s="1946" t="n"/>
      <c r="H47" s="1791" t="str">
        <f>"-"</f>
        <v>-</v>
      </c>
      <c r="I47" s="1788" t="n"/>
      <c r="J47" s="1788" t="n"/>
      <c r="K47" s="1791">
        <f>N($K45)</f>
        <v>0.238965</v>
      </c>
      <c r="L47" s="1791" t="str">
        <f>"-"</f>
        <v>-</v>
      </c>
    </row>
    <row r="48">
      <c r="B48" s="1788" t="inlineStr">
        <is>
          <t>Overhead roles in this portfolio - no archetype prices them</t>
        </is>
      </c>
      <c r="C48" s="1946" t="n"/>
      <c r="D48" s="1946" t="n"/>
      <c r="E48" s="1946" t="n"/>
      <c r="F48" s="1946" t="n"/>
      <c r="G48" s="1946" t="n"/>
      <c r="H48" s="1791" t="str">
        <f>"-"</f>
        <v>-</v>
      </c>
      <c r="I48" s="1788" t="n"/>
      <c r="J48" s="1788" t="n"/>
      <c r="K48" s="1791">
        <f>N('2.5 P&amp;C'!$P$21)</f>
        <v>0.9158698</v>
      </c>
      <c r="L48" s="1791" t="str">
        <f>"-"</f>
        <v>-</v>
      </c>
    </row>
    <row r="49">
      <c r="B49" s="1788" t="inlineStr">
        <is>
          <t>On the working tab with no row on this tab</t>
        </is>
      </c>
      <c r="C49" s="1946" t="n"/>
      <c r="D49" s="1946" t="n"/>
      <c r="E49" s="1946" t="n"/>
      <c r="F49" s="1946" t="n"/>
      <c r="G49" s="1946" t="n"/>
      <c r="H49" s="1791" t="str">
        <f>"-"</f>
        <v>-</v>
      </c>
      <c r="I49" s="1788" t="n"/>
      <c r="J49" s="1788" t="n"/>
      <c r="K49" s="1791">
        <f>ROUND(N('2.5 P&amp;C'!$P$22)-$K46-$K47-$K48,6)</f>
        <v>0</v>
      </c>
      <c r="L49" s="1791" t="str">
        <f>"-"</f>
        <v>-</v>
      </c>
    </row>
    <row r="50">
      <c r="B50" s="1541" t="inlineStr">
        <is>
          <t>Total actual cost after decisions - ties to the working tab</t>
        </is>
      </c>
      <c r="C50" s="1948" t="n"/>
      <c r="D50" s="1948" t="n"/>
      <c r="E50" s="1948" t="n"/>
      <c r="F50" s="1948" t="n"/>
      <c r="G50" s="1948" t="n"/>
      <c r="H50" s="1949" t="str">
        <f>"-"</f>
        <v>-</v>
      </c>
      <c r="I50" s="1541" t="n"/>
      <c r="J50" s="1541" t="n"/>
      <c r="K50" s="1949">
        <f>'2.5 P&amp;C'!$P$22</f>
        <v>4.18444088</v>
      </c>
      <c r="L50" s="1949" t="str">
        <f>"-"</f>
        <v>-</v>
      </c>
    </row>
    <row r="51">
      <c r="B51" s="1788" t="inlineStr">
        <is>
          <t>Control - every line above against the working tab, must be 0</t>
        </is>
      </c>
      <c r="C51" s="1946" t="n"/>
      <c r="D51" s="1946" t="n"/>
      <c r="E51" s="1946" t="n"/>
      <c r="F51" s="1946" t="n"/>
      <c r="G51" s="1946" t="n"/>
      <c r="K51" s="1806">
        <f>ROUND($K46+$K47+$K48+$K49-$K50,6)</f>
        <v>0</v>
      </c>
    </row>
  </sheetData>
  <mergeCells count="21">
    <mergeCell ref="B23:J23"/>
    <mergeCell ref="B13:D13"/>
    <mergeCell ref="H4:I4"/>
    <mergeCell ref="D42:G42"/>
    <mergeCell ref="B4:E4"/>
    <mergeCell ref="D44:G44"/>
    <mergeCell ref="B42:C42"/>
    <mergeCell ref="B49:G49"/>
    <mergeCell ref="D40:G40"/>
    <mergeCell ref="B51:G51"/>
    <mergeCell ref="B44:C44"/>
    <mergeCell ref="B45:G45"/>
    <mergeCell ref="B50:G50"/>
    <mergeCell ref="B12:D12"/>
    <mergeCell ref="B40:C40"/>
    <mergeCell ref="B47:G47"/>
    <mergeCell ref="D41:G41"/>
    <mergeCell ref="B46:G46"/>
    <mergeCell ref="B43:G43"/>
    <mergeCell ref="B41:C41"/>
    <mergeCell ref="B48:G48"/>
  </mergeCells>
  <dataValidations count="5">
    <dataValidation sqref="C25:C26 C32" showDropDown="0" showInputMessage="0" showErrorMessage="1" allowBlank="1" errorTitle="Invalid entry" error="Pick a value from the list" type="list" errorStyle="stop" operator="between">
      <formula1>SquadTypes</formula1>
      <formula2>0</formula2>
    </dataValidation>
    <dataValidation sqref="D25:D26 D32" showDropDown="0" showInputMessage="0" showErrorMessage="1" allowBlank="1" errorTitle="Invalid entry" error="Pick a value from the list" type="list" errorStyle="stop" operator="between">
      <formula1>SquadSizes</formula1>
      <formula2>0</formula2>
    </dataValidation>
    <dataValidation sqref="E25:E26 E32" showDropDown="0" showInputMessage="0" showErrorMessage="1" allowBlank="1" errorTitle="Invalid entry" error="Pick a value from the list" type="list" errorStyle="stop" operator="between">
      <formula1>OnOff</formula1>
      <formula2>0</formula2>
    </dataValidation>
    <dataValidation sqref="G25:G26 G32" showDropDown="0" showInputMessage="0" showErrorMessage="1" allowBlank="1" errorTitle="Invalid entry" error="Pick a value from the list" type="list" errorStyle="stop" operator="between">
      <formula1>SupportPct</formula1>
      <formula2>0</formula2>
    </dataValidation>
    <dataValidation sqref="F25:F26 F32" showDropDown="0" showInputMessage="0" showErrorMessage="1" allowBlank="0" type="list" errorStyle="stop" operator="between">
      <formula1>"AU,NZ"</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4.xml><?xml version="1.0" encoding="utf-8"?>
<worksheet xmlns="http://schemas.openxmlformats.org/spreadsheetml/2006/main">
  <sheetPr filterMode="0">
    <tabColor rgb="FF1F4E79"/>
    <outlinePr summaryBelow="1" summaryRight="1"/>
    <pageSetUpPr fitToPage="1"/>
  </sheetPr>
  <dimension ref="B1:O51"/>
  <sheetViews>
    <sheetView showFormulas="0" showGridLines="0" showRowColHeaders="1" showZeros="1" rightToLeft="0" tabSelected="0" showOutlineSymbols="1" defaultGridColor="1" view="normal" topLeftCell="A1" colorId="64" zoomScale="110" zoomScaleNormal="110" zoomScalePageLayoutView="100" workbookViewId="0">
      <selection pane="topLeft" activeCell="G26" activeCellId="0" sqref="G26"/>
    </sheetView>
  </sheetViews>
  <sheetFormatPr baseColWidth="8" defaultColWidth="8.54296875" defaultRowHeight="14.25" zeroHeight="0" outlineLevelRow="0"/>
  <cols>
    <col width="2" customWidth="1" style="865" min="1" max="1"/>
    <col width="40" customWidth="1" style="865" min="2" max="2"/>
    <col width="26" customWidth="1" style="865" min="3" max="3"/>
    <col width="11" customWidth="1" style="865" min="4" max="4"/>
    <col width="18" customWidth="1" style="865" min="5" max="5"/>
    <col width="10" customWidth="1" style="865" min="6" max="6"/>
    <col width="15" customWidth="1" style="865" min="7" max="7"/>
    <col width="34" customWidth="1" style="865" min="8" max="8"/>
    <col width="14" customWidth="1" style="865" min="9" max="9"/>
    <col width="24" customWidth="1" style="865" min="10" max="10"/>
    <col width="22" customWidth="1" style="865" min="11" max="11"/>
    <col width="30" customWidth="1" style="865" min="12" max="12"/>
    <col width="15.73" customWidth="1" style="865" min="13" max="13"/>
  </cols>
  <sheetData>
    <row r="1" ht="14.25" customHeight="1" s="866">
      <c r="B1" s="865" t="n"/>
      <c r="C1" s="865" t="n"/>
      <c r="D1" s="865" t="n"/>
      <c r="E1" s="865" t="n"/>
      <c r="F1" s="1314" t="n"/>
      <c r="G1" s="865" t="n"/>
      <c r="H1" s="865" t="n"/>
      <c r="I1" s="865" t="n"/>
      <c r="J1" s="865" t="n"/>
      <c r="K1" s="865" t="n"/>
      <c r="L1" s="865" t="n"/>
      <c r="M1" s="865" t="n"/>
      <c r="N1" s="865" t="n"/>
      <c r="O1" s="865" t="n"/>
    </row>
    <row r="2" ht="21" customHeight="1" s="866">
      <c r="B2" s="1315" t="inlineStr">
        <is>
          <t>Finance</t>
        </is>
      </c>
      <c r="C2" s="865" t="n"/>
      <c r="D2" s="865" t="n"/>
      <c r="E2" s="865" t="n"/>
      <c r="F2" s="1314" t="n"/>
      <c r="G2" s="865" t="n"/>
      <c r="H2" s="865" t="n"/>
      <c r="I2" s="865" t="n"/>
      <c r="J2" s="865" t="n"/>
      <c r="K2" s="865" t="n"/>
      <c r="L2" s="865" t="n"/>
      <c r="M2" s="865" t="n"/>
      <c r="N2" s="865" t="n"/>
      <c r="O2" s="865" t="n"/>
    </row>
    <row r="3" ht="14.25" customHeight="1" s="866">
      <c r="B3" s="865" t="n"/>
      <c r="C3" s="865" t="n"/>
      <c r="D3" s="865" t="n"/>
      <c r="E3" s="865" t="n"/>
      <c r="F3" s="1314" t="n"/>
      <c r="G3" s="865" t="n"/>
      <c r="H3" s="865" t="n"/>
      <c r="I3" s="865" t="n"/>
      <c r="J3" s="865" t="n"/>
      <c r="K3" s="865" t="n"/>
      <c r="L3" s="865" t="n"/>
      <c r="M3" s="865" t="n"/>
      <c r="N3" s="865" t="n"/>
      <c r="O3" s="865" t="n"/>
    </row>
    <row r="4" ht="19" customHeight="1" s="866">
      <c r="B4" s="1316" t="inlineStr">
        <is>
          <t>Portfolio Summary</t>
        </is>
      </c>
      <c r="C4" s="1003" t="n"/>
      <c r="D4" s="1003" t="n"/>
      <c r="E4" s="1004" t="n"/>
      <c r="F4" s="1849" t="n"/>
      <c r="G4" s="865" t="n"/>
      <c r="H4" s="1316" t="inlineStr">
        <is>
          <t>Budget vs TDD Cost</t>
        </is>
      </c>
      <c r="I4" s="1004" t="n"/>
      <c r="J4" s="865" t="n"/>
      <c r="K4" s="865" t="n"/>
      <c r="L4" s="865" t="n"/>
      <c r="M4" s="865" t="n"/>
      <c r="N4" s="865" t="n"/>
      <c r="O4" s="865" t="n"/>
    </row>
    <row r="5" ht="31.5" customHeight="1" s="866">
      <c r="B5" s="1319" t="inlineStr">
        <is>
          <t>Cost</t>
        </is>
      </c>
      <c r="C5" s="1320" t="inlineStr">
        <is>
          <t>TDD AU ($m)</t>
        </is>
      </c>
      <c r="D5" s="1320" t="inlineStr">
        <is>
          <t>TDD NZ ($m)</t>
        </is>
      </c>
      <c r="E5" s="1320" t="inlineStr">
        <is>
          <t>Other ($m)</t>
        </is>
      </c>
      <c r="F5" s="1320" t="inlineStr">
        <is>
          <t>Total ($m)</t>
        </is>
      </c>
      <c r="G5" s="1420" t="n"/>
      <c r="H5" s="1321" t="inlineStr">
        <is>
          <t>TDD Budget Allocation (people - 0.2 Data Config)</t>
        </is>
      </c>
      <c r="I5" s="1850">
        <f>'0.2 Data Config'!$E$19</f>
        <v>2</v>
      </c>
      <c r="J5" s="865" t="n"/>
      <c r="K5" s="865" t="n"/>
      <c r="L5" s="865" t="n"/>
      <c r="M5" s="865" t="n"/>
      <c r="N5" s="865" t="n"/>
      <c r="O5" s="865" t="n"/>
    </row>
    <row r="6" ht="14.25" customHeight="1" s="866">
      <c r="B6" s="1012" t="inlineStr">
        <is>
          <t>Portfolio Overhead (see 0.2 Data Config)</t>
        </is>
      </c>
      <c r="C6" s="1323">
        <f>IF('0.2 Data Config'!$D$19&gt;'0.2 Data Config'!$C$19,0,'0.2 Data Config'!$L$10)</f>
        <v>0.7975</v>
      </c>
      <c r="D6" s="1323">
        <f>IF('0.2 Data Config'!$D$19&gt;'0.2 Data Config'!$C$19,'0.2 Data Config'!$L$10,0)</f>
        <v>0</v>
      </c>
      <c r="E6" s="1323">
        <f>0</f>
        <v>0</v>
      </c>
      <c r="F6" s="1323">
        <f>C6+D6+E6</f>
        <v>0.7975</v>
      </c>
      <c r="G6" s="1368" t="n"/>
      <c r="H6" s="1369" t="inlineStr">
        <is>
          <t>AU Budget ($m)</t>
        </is>
      </c>
      <c r="I6" s="1323">
        <f>'0.2 Data Config'!$C$19</f>
        <v>1</v>
      </c>
      <c r="J6" s="865" t="n"/>
      <c r="K6" s="865" t="n"/>
      <c r="L6" s="865" t="n"/>
      <c r="M6" s="865" t="n"/>
      <c r="N6" s="865" t="n"/>
      <c r="O6" s="865" t="n"/>
    </row>
    <row r="7" ht="14.25" customHeight="1" s="866">
      <c r="B7" s="1012" t="inlineStr">
        <is>
          <t>Platform Overheads</t>
        </is>
      </c>
      <c r="C7" s="1323">
        <f>IF('0.2 Data Config'!$D$19&gt;'0.2 Data Config'!$C$19,0,SUM(I28))</f>
        <v>0.165</v>
      </c>
      <c r="D7" s="1323">
        <f>IF('0.2 Data Config'!$D$19&gt;'0.2 Data Config'!$C$19,SUM(I28),0)</f>
        <v>0</v>
      </c>
      <c r="E7" s="1323">
        <f>0</f>
        <v>0</v>
      </c>
      <c r="F7" s="1323">
        <f>C7+D7+E7</f>
        <v>0.165</v>
      </c>
      <c r="G7" s="1368" t="n"/>
      <c r="H7" s="1370" t="inlineStr">
        <is>
          <t>NZ Budget ($m)</t>
        </is>
      </c>
      <c r="I7" s="1371">
        <f>'0.2 Data Config'!$D$19</f>
        <v>1</v>
      </c>
      <c r="J7" s="865" t="n"/>
      <c r="K7" s="865" t="n"/>
      <c r="L7" s="865" t="n"/>
      <c r="M7" s="865" t="n"/>
      <c r="N7" s="865" t="n"/>
      <c r="O7" s="865" t="n"/>
    </row>
    <row r="8" ht="14.25" customHeight="1" s="866">
      <c r="B8" s="1012" t="inlineStr">
        <is>
          <t>Squad Support Costs</t>
        </is>
      </c>
      <c r="C8" s="1323">
        <f>SUMIF($F$26:$F$27,"AU",$I$26:$I$27)+SUMIF($F$33:$F$33,"AU",$I$33:$I$33)</f>
        <v>0.28</v>
      </c>
      <c r="D8" s="1323">
        <f>SUMIF($F$26:$F$27,"NZ",$I$26:$I$27)+SUMIF($F$33:$F$33,"NZ",$I$33:$I$33)</f>
        <v>1.4</v>
      </c>
      <c r="E8" s="1323">
        <f>SUM($J$26:$J$27)+SUM($J$33:$J$33)</f>
        <v>1.12</v>
      </c>
      <c r="F8" s="1323">
        <f>C8+D8+E8</f>
        <v>2.8</v>
      </c>
      <c r="G8" s="1368" t="n"/>
      <c r="H8" s="1372" t="inlineStr">
        <is>
          <t>AU over/(under) budget ($m)</t>
        </is>
      </c>
      <c r="I8" s="1373">
        <f>C9-I6</f>
        <v>0.2425</v>
      </c>
      <c r="J8" s="865" t="n"/>
      <c r="K8" s="865" t="n"/>
      <c r="L8" s="865" t="n"/>
      <c r="M8" s="865" t="n"/>
      <c r="N8" s="865" t="n"/>
      <c r="O8" s="865" t="n"/>
    </row>
    <row r="9" ht="14.25" customHeight="1" s="866">
      <c r="B9" s="1330" t="inlineStr">
        <is>
          <t>Total Cost</t>
        </is>
      </c>
      <c r="C9" s="1331">
        <f>SUM(C6:C8)</f>
        <v>1.2425</v>
      </c>
      <c r="D9" s="1331">
        <f>SUM(D6:D8)</f>
        <v>1.4</v>
      </c>
      <c r="E9" s="1331">
        <f>SUM(E6:E8)</f>
        <v>1.12</v>
      </c>
      <c r="F9" s="1331">
        <f>SUM(F6:F8)</f>
        <v>3.7625</v>
      </c>
      <c r="G9" s="1375" t="n"/>
      <c r="H9" s="1372" t="inlineStr">
        <is>
          <t>NZ over/(under) budget ($m)</t>
        </is>
      </c>
      <c r="I9" s="1373">
        <f>D9-I7</f>
        <v>0.4</v>
      </c>
      <c r="J9" s="865" t="n"/>
      <c r="K9" s="865" t="n"/>
      <c r="L9" s="865" t="n"/>
      <c r="M9" s="865" t="n"/>
      <c r="N9" s="865" t="n"/>
      <c r="O9" s="865" t="n"/>
    </row>
    <row r="10" ht="14.25" customFormat="1" customHeight="1" s="865">
      <c r="B10" s="1932" t="n"/>
      <c r="C10" s="1933" t="n"/>
      <c r="D10" s="1933" t="n"/>
      <c r="E10" s="1933" t="n"/>
      <c r="F10" s="1933" t="n"/>
      <c r="G10" s="1375" t="n"/>
      <c r="H10" s="1374" t="inlineStr">
        <is>
          <t>TDD over/(under) budget ($m)</t>
        </is>
      </c>
      <c r="I10" s="1416">
        <f>I8+I9</f>
        <v>0.6425</v>
      </c>
    </row>
    <row r="11" ht="14.25" customFormat="1" customHeight="1" s="865">
      <c r="B11" s="1930" t="n"/>
      <c r="C11" s="1934" t="n"/>
      <c r="D11" s="1934" t="n"/>
      <c r="E11" s="1934" t="n"/>
      <c r="F11" s="1934" t="n"/>
      <c r="G11" s="1375" t="n"/>
      <c r="H11" s="1374" t="n"/>
      <c r="I11" s="1416" t="n"/>
    </row>
    <row r="12" ht="14.25" customHeight="1" s="866">
      <c r="B12" s="865" t="n"/>
      <c r="C12" s="865" t="n"/>
      <c r="D12" s="865" t="n"/>
      <c r="E12" s="865" t="n"/>
      <c r="F12" s="1314" t="n"/>
      <c r="G12" s="865" t="n"/>
      <c r="H12" s="1376" t="inlineStr">
        <is>
          <t xml:space="preserve">Other funding </t>
        </is>
      </c>
      <c r="I12" s="1352" t="n"/>
      <c r="J12" s="1352" t="n"/>
      <c r="K12" s="1353" t="n"/>
      <c r="L12" s="865" t="n"/>
      <c r="M12" s="865" t="n"/>
      <c r="N12" s="865" t="n"/>
      <c r="O12" s="865" t="n"/>
    </row>
    <row r="13" ht="31.5" customHeight="1" s="866">
      <c r="B13" s="1377" t="inlineStr">
        <is>
          <t xml:space="preserve">Total Corporate Finance budget </t>
        </is>
      </c>
      <c r="D13" s="1378" t="n"/>
      <c r="E13" s="1379">
        <f>SUM(I14:I19)</f>
        <v>3.5</v>
      </c>
      <c r="F13" s="1314" t="n"/>
      <c r="G13" s="865" t="n"/>
      <c r="H13" s="1380" t="inlineStr">
        <is>
          <t>Budget line</t>
        </is>
      </c>
      <c r="I13" s="1380" t="inlineStr">
        <is>
          <t>Budget ($m)</t>
        </is>
      </c>
      <c r="J13" s="1380" t="inlineStr">
        <is>
          <t>Amount that can be allocated to people</t>
        </is>
      </c>
      <c r="K13" s="1380" t="inlineStr">
        <is>
          <t>Remaining for non-people ($m)</t>
        </is>
      </c>
      <c r="L13" s="865" t="n"/>
      <c r="M13" s="865" t="n"/>
      <c r="N13" s="865" t="n"/>
      <c r="O13" s="865" t="n"/>
    </row>
    <row r="14" ht="14.25" customHeight="1" s="866">
      <c r="B14" s="1381" t="inlineStr">
        <is>
          <t xml:space="preserve">Reconciled to Finance </t>
        </is>
      </c>
      <c r="D14" s="1378" t="n"/>
      <c r="E14" s="1354">
        <f>N('0.1 Budget Table (Fin)'!Q11)</f>
        <v>3.5</v>
      </c>
      <c r="F14" s="1314" t="n"/>
      <c r="G14" s="865" t="n"/>
      <c r="H14" s="1382" t="inlineStr">
        <is>
          <t>Corporate Finance Lights On</t>
        </is>
      </c>
      <c r="I14" s="1855">
        <f>N('0.1 Budget Table (Fin)'!L11)</f>
        <v>2.6</v>
      </c>
      <c r="J14" s="1432">
        <f>N('0.1 Budget Table (Fin)'!$I$22)</f>
        <v>1.3</v>
      </c>
      <c r="K14" s="1385">
        <f>IFERROR(I14-J14,0)</f>
        <v>1.3</v>
      </c>
      <c r="L14" s="865" t="n"/>
      <c r="M14" s="865" t="n"/>
      <c r="N14" s="865" t="n"/>
      <c r="O14" s="865" t="n"/>
    </row>
    <row r="15" ht="14.25" customHeight="1" s="866">
      <c r="B15" s="865" t="n"/>
      <c r="C15" s="865" t="n"/>
      <c r="D15" s="865" t="n"/>
      <c r="E15" s="865" t="n"/>
      <c r="F15" s="1314" t="n"/>
      <c r="G15" s="865" t="n"/>
      <c r="H15" s="1382" t="inlineStr">
        <is>
          <t>OpEx Initiatives</t>
        </is>
      </c>
      <c r="I15" s="1855">
        <f>N('0.1 Budget Table (Fin)'!N11)</f>
        <v>0.9</v>
      </c>
      <c r="J15" s="1857">
        <f>I15*0.5</f>
        <v>0.45</v>
      </c>
      <c r="K15" s="1385">
        <f>IFERROR(I15-J15,0)</f>
        <v>0.45</v>
      </c>
      <c r="L15" s="865" t="n"/>
      <c r="M15" s="1861" t="inlineStr">
        <is>
          <t>Inline with FY26 recharge</t>
        </is>
      </c>
      <c r="N15" s="865" t="n"/>
      <c r="O15" s="865" t="n"/>
    </row>
    <row r="16" ht="14.25" customHeight="1" s="866">
      <c r="B16" s="1336" t="inlineStr">
        <is>
          <t>Funding position ($m)</t>
        </is>
      </c>
      <c r="C16" s="1337" t="n"/>
      <c r="D16" s="865" t="n"/>
      <c r="E16" s="865" t="n"/>
      <c r="F16" s="1314" t="n"/>
      <c r="G16" s="865" t="n"/>
      <c r="H16" s="1382" t="inlineStr">
        <is>
          <t>CapEx</t>
        </is>
      </c>
      <c r="I16" s="1855">
        <f>N('0.1 Budget Table (Fin)'!P11)</f>
        <v>0</v>
      </c>
      <c r="J16" s="1856" t="n">
        <v>0</v>
      </c>
      <c r="K16" s="1385">
        <f>IFERROR(I16-J16,0)</f>
        <v>0</v>
      </c>
      <c r="L16" s="865" t="n"/>
      <c r="M16" s="865" t="n"/>
      <c r="N16" s="865" t="n"/>
      <c r="O16" s="865" t="n"/>
    </row>
    <row r="17" ht="14.25" customHeight="1" s="866">
      <c r="B17" s="1338" t="inlineStr">
        <is>
          <t>Over/(under) TDD budget</t>
        </is>
      </c>
      <c r="C17" s="1339">
        <f>$I$8+$I$9</f>
        <v>0.6425</v>
      </c>
      <c r="D17" s="865" t="n"/>
      <c r="E17" s="865" t="n"/>
      <c r="F17" s="1314" t="n"/>
      <c r="G17" s="865" t="n"/>
      <c r="H17" s="1382" t="inlineStr">
        <is>
          <t>Significant Items</t>
        </is>
      </c>
      <c r="I17" s="1855">
        <f>N('0.1 Budget Table (Fin)'!O11)</f>
        <v>0</v>
      </c>
      <c r="J17" s="1856" t="n">
        <v>0</v>
      </c>
      <c r="K17" s="1385">
        <f>IFERROR(I17-J17,0)</f>
        <v>0</v>
      </c>
      <c r="L17" s="865" t="n"/>
      <c r="M17" s="865" t="n"/>
      <c r="N17" s="865" t="n"/>
      <c r="O17" s="865" t="n"/>
    </row>
    <row r="18" ht="14.25" customHeight="1" s="866">
      <c r="B18" s="1338" t="inlineStr">
        <is>
          <t>Still to fund outside TDD</t>
        </is>
      </c>
      <c r="C18" s="1339">
        <f>$J22</f>
        <v>0.67</v>
      </c>
      <c r="D18" s="865" t="n"/>
      <c r="E18" s="865" t="n"/>
      <c r="F18" s="1314" t="n"/>
      <c r="G18" s="865" t="n"/>
      <c r="H18" s="1382" t="inlineStr">
        <is>
          <t>Significant Items EGI</t>
        </is>
      </c>
      <c r="I18" s="1855" t="n"/>
      <c r="J18" s="1855">
        <f>J33</f>
        <v>0</v>
      </c>
      <c r="K18" s="1385" t="n"/>
      <c r="L18" s="865" t="n"/>
      <c r="M18" s="865" t="n"/>
      <c r="N18" s="865" t="n"/>
      <c r="O18" s="865" t="n"/>
    </row>
    <row r="19" ht="14.25" customHeight="1" s="866">
      <c r="B19" s="1344" t="inlineStr">
        <is>
          <t>Total to fund</t>
        </is>
      </c>
      <c r="C19" s="1345">
        <f>$C17+$C18</f>
        <v>1.3125</v>
      </c>
      <c r="D19" s="865" t="n"/>
      <c r="E19" s="865" t="n"/>
      <c r="F19" s="1314" t="n"/>
      <c r="G19" s="865" t="n"/>
      <c r="H19" s="1382" t="inlineStr">
        <is>
          <t>Depreciation</t>
        </is>
      </c>
      <c r="I19" s="1855">
        <f>N('0.1 Budget Table (Fin)'!M11)</f>
        <v>0</v>
      </c>
      <c r="J19" s="1856" t="n">
        <v>0</v>
      </c>
      <c r="K19" s="1385">
        <f>IFERROR(I19-J19,0)</f>
        <v>0</v>
      </c>
      <c r="L19" s="865" t="n"/>
      <c r="M19" s="865" t="n"/>
      <c r="N19" s="865" t="n"/>
      <c r="O19" s="865" t="n"/>
    </row>
    <row r="20" ht="14.25" customHeight="1" s="866">
      <c r="B20" s="865" t="n"/>
      <c r="C20" s="865" t="n"/>
      <c r="D20" s="865" t="n"/>
      <c r="E20" s="865" t="n"/>
      <c r="F20" s="1314" t="n"/>
      <c r="G20" s="865" t="n"/>
      <c r="H20" s="1387" t="inlineStr">
        <is>
          <t>Total applied</t>
        </is>
      </c>
      <c r="I20" s="1384" t="n"/>
      <c r="J20" s="1388">
        <f>SUM(J14:J19)</f>
        <v>1.75</v>
      </c>
      <c r="K20" s="1384" t="n"/>
      <c r="L20" s="865" t="n"/>
      <c r="M20" s="865" t="n"/>
      <c r="N20" s="865" t="n"/>
      <c r="O20" s="865" t="n"/>
    </row>
    <row r="21" ht="14.25" customHeight="1" s="866">
      <c r="B21" s="865" t="n"/>
      <c r="C21" s="865" t="n"/>
      <c r="D21" s="865" t="n"/>
      <c r="E21" s="865" t="n"/>
      <c r="F21" s="1314" t="n"/>
      <c r="G21" s="865" t="n"/>
      <c r="H21" s="1382" t="inlineStr">
        <is>
          <t>Other cost (this model)</t>
        </is>
      </c>
      <c r="I21" s="1384" t="n"/>
      <c r="J21" s="1385">
        <f>E9</f>
        <v>1.12</v>
      </c>
      <c r="K21" s="1384" t="n"/>
      <c r="L21" s="865" t="n"/>
      <c r="M21" s="865" t="n"/>
      <c r="N21" s="865" t="n"/>
      <c r="O21" s="865" t="n"/>
    </row>
    <row r="22" ht="14.25" customHeight="1" s="866">
      <c r="B22" s="865" t="n"/>
      <c r="C22" s="865" t="n"/>
      <c r="D22" s="865" t="n"/>
      <c r="E22" s="865" t="n"/>
      <c r="F22" s="1314" t="n"/>
      <c r="G22" s="865" t="n"/>
      <c r="H22" s="1389" t="inlineStr">
        <is>
          <t>Left to fund</t>
        </is>
      </c>
      <c r="I22" s="1384" t="n"/>
      <c r="J22" s="1390">
        <f>E9-(J20-J14)</f>
        <v>0.67</v>
      </c>
      <c r="K22" s="1384" t="n"/>
      <c r="L22" s="865" t="n"/>
      <c r="M22" s="865" t="n"/>
      <c r="N22" s="865" t="n"/>
      <c r="O22" s="865" t="n"/>
    </row>
    <row r="23" ht="14.25" customHeight="1" s="866">
      <c r="B23" s="865" t="n"/>
      <c r="C23" s="865" t="n"/>
      <c r="D23" s="865" t="n"/>
      <c r="E23" s="865" t="n"/>
      <c r="F23" s="1314" t="n"/>
      <c r="G23" s="865" t="n"/>
      <c r="H23" s="865" t="n"/>
      <c r="I23" s="865" t="n"/>
      <c r="J23" s="865" t="n"/>
      <c r="K23" s="865" t="n"/>
      <c r="L23" s="865" t="n"/>
      <c r="M23" s="865" t="n"/>
      <c r="N23" s="865" t="n"/>
      <c r="O23" s="865" t="n"/>
    </row>
    <row r="24" ht="19" customHeight="1" s="866">
      <c r="B24" s="1414" t="inlineStr">
        <is>
          <t>Platform: Finance</t>
        </is>
      </c>
      <c r="K24" s="865" t="n"/>
      <c r="L24" s="865" t="n"/>
      <c r="M24" s="865" t="n"/>
      <c r="N24" s="865" t="n"/>
      <c r="O24" s="865" t="n"/>
    </row>
    <row r="25" ht="31.5" customHeight="1" s="866">
      <c r="B25" s="1380" t="inlineStr">
        <is>
          <t>Squad</t>
        </is>
      </c>
      <c r="C25" s="1380" t="inlineStr">
        <is>
          <t>Squad Type</t>
        </is>
      </c>
      <c r="D25" s="1380" t="inlineStr">
        <is>
          <t>Size</t>
        </is>
      </c>
      <c r="E25" s="1380" t="inlineStr">
        <is>
          <t>Onshore / Offshore</t>
        </is>
      </c>
      <c r="F25" s="1320" t="inlineStr">
        <is>
          <t>AU / NZ</t>
        </is>
      </c>
      <c r="G25" s="1380" t="inlineStr">
        <is>
          <t>% funded by TDD</t>
        </is>
      </c>
      <c r="H25" s="1380" t="inlineStr">
        <is>
          <t>Total Squad Cost ($m)</t>
        </is>
      </c>
      <c r="I25" s="1380" t="inlineStr">
        <is>
          <t>TDD Cost ($m)</t>
        </is>
      </c>
      <c r="J25" s="1380" t="inlineStr">
        <is>
          <t>Funded outside TDD ($m)</t>
        </is>
      </c>
      <c r="K25" s="1863" t="inlineStr">
        <is>
          <t>Nbr Archetype Roles</t>
        </is>
      </c>
      <c r="L25" s="1864" t="inlineStr">
        <is>
          <t>Published Roles</t>
        </is>
      </c>
      <c r="M25" s="1860" t="inlineStr">
        <is>
          <t>Review Outcome</t>
        </is>
      </c>
      <c r="N25" s="1860" t="inlineStr">
        <is>
          <t>Vacant Now</t>
        </is>
      </c>
      <c r="O25" s="1860" t="inlineStr">
        <is>
          <t>FY27</t>
        </is>
      </c>
    </row>
    <row r="26" ht="14.25" customHeight="1" s="866">
      <c r="B26" s="1382" t="inlineStr">
        <is>
          <t>SAP ERP</t>
        </is>
      </c>
      <c r="C26" s="1392" t="inlineStr">
        <is>
          <t>Configuration / Integration</t>
        </is>
      </c>
      <c r="D26" s="1392" t="inlineStr">
        <is>
          <t>S</t>
        </is>
      </c>
      <c r="E26" s="1392" t="inlineStr">
        <is>
          <t>Onshore</t>
        </is>
      </c>
      <c r="F26" s="1358" t="inlineStr">
        <is>
          <t>AU</t>
        </is>
      </c>
      <c r="G26" s="1393" t="n">
        <v>0.2</v>
      </c>
      <c r="H26" s="1855">
        <f>IFERROR(IF($E26="Onshore",INDEX('0.3 Squad Archetypes'!$G$5:$G$23,MATCH($C26&amp;"|"&amp;$D26,'0.3 Squad Archetypes'!$A$5:$A$23,0)),INDEX('0.3 Squad Archetypes'!$H$5:$H$23,MATCH($C26&amp;"|"&amp;$D26,'0.3 Squad Archetypes'!$A$5:$A$23,0))),"check size")</f>
        <v>1.4</v>
      </c>
      <c r="I26" s="1385">
        <f>IFERROR($H26*$G26,"")</f>
        <v>0.28</v>
      </c>
      <c r="J26" s="1385">
        <f>IFERROR($H26*(1-$G26),"")</f>
        <v>1.12</v>
      </c>
      <c r="K26" s="1865" t="n">
        <v>6</v>
      </c>
      <c r="L26" s="1861" t="n">
        <v>9</v>
      </c>
      <c r="M26" s="1312" t="inlineStr">
        <is>
          <t>remove 2 roles</t>
        </is>
      </c>
      <c r="N26" s="1861" t="n">
        <v>5</v>
      </c>
      <c r="O26" s="1861" t="n">
        <v>7</v>
      </c>
    </row>
    <row r="27" ht="14.25" customHeight="1" s="866">
      <c r="B27" s="1382" t="inlineStr">
        <is>
          <t>NZ Finance</t>
        </is>
      </c>
      <c r="C27" s="1392" t="inlineStr">
        <is>
          <t>Configuration / Integration</t>
        </is>
      </c>
      <c r="D27" s="1392" t="inlineStr">
        <is>
          <t>S</t>
        </is>
      </c>
      <c r="E27" s="1392" t="inlineStr">
        <is>
          <t>Onshore</t>
        </is>
      </c>
      <c r="F27" s="1358" t="inlineStr">
        <is>
          <t>NZ</t>
        </is>
      </c>
      <c r="G27" s="1393" t="n">
        <v>1</v>
      </c>
      <c r="H27" s="1855">
        <f>IFERROR(IF($E27="Onshore",INDEX('0.3 Squad Archetypes'!$G$5:$G$23,MATCH($C27&amp;"|"&amp;$D27,'0.3 Squad Archetypes'!$A$5:$A$23,0)),INDEX('0.3 Squad Archetypes'!$H$5:$H$23,MATCH($C27&amp;"|"&amp;$D27,'0.3 Squad Archetypes'!$A$5:$A$23,0))),"check size")</f>
        <v>1.4</v>
      </c>
      <c r="I27" s="1385">
        <f>IFERROR($H27*$G27,"")</f>
        <v>1.4</v>
      </c>
      <c r="J27" s="1385">
        <f>IFERROR($H27*(1-$G27),"")</f>
        <v>0</v>
      </c>
      <c r="K27" s="1865" t="n">
        <v>6</v>
      </c>
      <c r="L27" s="1861" t="n">
        <v>5</v>
      </c>
      <c r="M27" s="1312" t="n"/>
      <c r="N27" s="1861" t="n">
        <v>1</v>
      </c>
      <c r="O27" s="1861" t="n">
        <v>5</v>
      </c>
    </row>
    <row r="28" ht="14.25" customHeight="1" s="866">
      <c r="B28" s="1382" t="inlineStr">
        <is>
          <t>Platform Overhead</t>
        </is>
      </c>
      <c r="C28" s="1384" t="n"/>
      <c r="D28" s="1384" t="n"/>
      <c r="E28" s="1384" t="n"/>
      <c r="F28" s="1314" t="n"/>
      <c r="G28" s="1384" t="n"/>
      <c r="H28" s="1384" t="n"/>
      <c r="I28" s="1855">
        <f>'0.2 Data Config'!$L$16</f>
        <v>0.165</v>
      </c>
      <c r="J28" s="1384" t="n"/>
      <c r="K28" s="865" t="n"/>
      <c r="L28" s="865" t="n"/>
      <c r="M28" s="865" t="n"/>
      <c r="N28" s="865" t="n"/>
      <c r="O28" s="865" t="n"/>
    </row>
    <row r="29" ht="14.25" customHeight="1" s="866">
      <c r="B29" s="1389" t="inlineStr">
        <is>
          <t>Finance Total</t>
        </is>
      </c>
      <c r="C29" s="1361" t="n"/>
      <c r="D29" s="1361" t="n"/>
      <c r="E29" s="1361" t="n"/>
      <c r="F29" s="1314" t="n"/>
      <c r="G29" s="1361" t="n"/>
      <c r="H29" s="1390">
        <f>SUM(H26:H27)</f>
        <v>2.8</v>
      </c>
      <c r="I29" s="1390">
        <f>SUM(I26:I28)</f>
        <v>1.845</v>
      </c>
      <c r="J29" s="1390">
        <f>SUM(J26:J27)</f>
        <v>1.12</v>
      </c>
      <c r="K29" s="865" t="n"/>
      <c r="L29" s="865" t="n"/>
      <c r="M29" s="865" t="n"/>
      <c r="N29" s="865" t="n"/>
      <c r="O29" s="865" t="n"/>
    </row>
    <row r="30" ht="14.25" customHeight="1" s="866">
      <c r="B30" s="865" t="n"/>
      <c r="C30" s="865" t="n"/>
      <c r="D30" s="865" t="n"/>
      <c r="E30" s="865" t="n"/>
      <c r="F30" s="1314" t="n"/>
      <c r="G30" s="865" t="n"/>
      <c r="H30" s="865" t="n"/>
      <c r="I30" s="865" t="n"/>
      <c r="J30" s="865" t="n"/>
      <c r="K30" s="1441" t="n"/>
      <c r="L30" s="865" t="n"/>
      <c r="M30" s="865" t="n"/>
      <c r="N30" s="865" t="n"/>
      <c r="O30" s="865" t="n"/>
    </row>
    <row r="31" ht="19" customHeight="1" s="866">
      <c r="B31" s="1316" t="inlineStr">
        <is>
          <t>Platform: EGI Finance</t>
        </is>
      </c>
      <c r="C31" s="1849" t="n"/>
      <c r="D31" s="1849" t="n"/>
      <c r="E31" s="1849" t="n"/>
      <c r="F31" s="1849" t="n"/>
      <c r="G31" s="1849" t="n"/>
      <c r="H31" s="1849" t="n"/>
      <c r="I31" s="1849" t="n"/>
      <c r="J31" s="1849" t="n"/>
      <c r="K31" s="865" t="n"/>
      <c r="L31" s="865" t="n"/>
      <c r="M31" s="865" t="n"/>
      <c r="N31" s="865" t="n"/>
      <c r="O31" s="865" t="n"/>
    </row>
    <row r="32" ht="31.5" customHeight="1" s="866">
      <c r="B32" s="1319" t="inlineStr">
        <is>
          <t>Squad</t>
        </is>
      </c>
      <c r="C32" s="1319" t="inlineStr">
        <is>
          <t>Squad Type</t>
        </is>
      </c>
      <c r="D32" s="1319" t="inlineStr">
        <is>
          <t>Size</t>
        </is>
      </c>
      <c r="E32" s="1319" t="inlineStr">
        <is>
          <t>Onshore / Offshore</t>
        </is>
      </c>
      <c r="F32" s="1320" t="inlineStr">
        <is>
          <t>AU / NZ</t>
        </is>
      </c>
      <c r="G32" s="1319" t="inlineStr">
        <is>
          <t>% funded by TDD</t>
        </is>
      </c>
      <c r="H32" s="1319" t="inlineStr">
        <is>
          <t>Total Squad Cost ($m)</t>
        </is>
      </c>
      <c r="I32" s="1319" t="inlineStr">
        <is>
          <t>TDD Cost ($m)</t>
        </is>
      </c>
      <c r="J32" s="1319" t="inlineStr">
        <is>
          <t>Funded outside TDD ($m)</t>
        </is>
      </c>
      <c r="K32" s="1356" t="n"/>
      <c r="L32" s="865" t="n"/>
      <c r="M32" s="865" t="n"/>
      <c r="N32" s="865" t="n"/>
      <c r="O32" s="865" t="n"/>
    </row>
    <row r="33" ht="14.25" customHeight="1" s="866">
      <c r="B33" s="1012" t="inlineStr">
        <is>
          <t>EGI Finance</t>
        </is>
      </c>
      <c r="C33" s="1357" t="inlineStr">
        <is>
          <t>Strategic Programs</t>
        </is>
      </c>
      <c r="D33" s="1357" t="n"/>
      <c r="E33" s="1357" t="inlineStr">
        <is>
          <t>Onshore</t>
        </is>
      </c>
      <c r="F33" s="1358" t="inlineStr">
        <is>
          <t>AU</t>
        </is>
      </c>
      <c r="G33" s="1359" t="n">
        <v>0.2</v>
      </c>
      <c r="H33" s="1852" t="n">
        <v>0</v>
      </c>
      <c r="I33" s="1014">
        <f>IFERROR($H33*$G33,"")</f>
        <v>0</v>
      </c>
      <c r="J33" s="1014">
        <f>IFERROR($H33*(1-$G33),"")</f>
        <v>0</v>
      </c>
      <c r="K33" s="1360" t="n"/>
      <c r="L33" s="865" t="n"/>
      <c r="M33" s="865" t="n"/>
      <c r="N33" s="1366" t="str">
        <f>"People in this program today cost "&amp;TEXT(SUMIFS('REVIEW - Complete Role Mapping'!$AA$2:$AA$528,'REVIEW - Complete Role Mapping'!$AT$2:$AT$528,$B33)/1000000,"0.00")&amp;"m. Set the agreed cost in the cream cell."</f>
        <v>People in this program today cost 0.24m. Set the agreed cost in the cream cell.</v>
      </c>
      <c r="O33" s="865" t="n"/>
    </row>
    <row r="34" ht="14.25" customHeight="1" s="866">
      <c r="B34" s="1363" t="inlineStr">
        <is>
          <t>EGI Finance Total</t>
        </is>
      </c>
      <c r="C34" s="865" t="n"/>
      <c r="D34" s="865" t="n"/>
      <c r="E34" s="865" t="n"/>
      <c r="F34" s="1314" t="n"/>
      <c r="G34" s="865" t="n"/>
      <c r="H34" s="1364">
        <f>SUM(H33:H33)</f>
        <v>0</v>
      </c>
      <c r="I34" s="1364">
        <f>SUM(I33:I33)</f>
        <v>0</v>
      </c>
      <c r="J34" s="1364">
        <f>SUM(J33:J33)</f>
        <v>0</v>
      </c>
      <c r="K34" s="865" t="n"/>
      <c r="L34" s="865" t="n"/>
      <c r="M34" s="865" t="n"/>
      <c r="N34" s="865" t="n"/>
      <c r="O34" s="865" t="n"/>
    </row>
    <row r="35" ht="14.25" customHeight="1" s="866">
      <c r="B35" s="865" t="n"/>
      <c r="C35" s="865" t="n"/>
      <c r="D35" s="865" t="n"/>
      <c r="E35" s="865" t="n"/>
      <c r="F35" s="1314" t="n"/>
      <c r="G35" s="865" t="n"/>
      <c r="H35" s="865" t="n"/>
      <c r="I35" s="865" t="n"/>
      <c r="J35" s="865" t="n"/>
      <c r="K35" s="865" t="n"/>
      <c r="L35" s="865" t="n"/>
      <c r="M35" s="865" t="n"/>
      <c r="N35" s="865" t="n"/>
      <c r="O35" s="865" t="n"/>
    </row>
    <row r="36" ht="14.25" customHeight="1" s="866">
      <c r="B36" s="1366" t="n"/>
      <c r="C36" s="1368" t="n"/>
      <c r="D36" s="1314" t="n"/>
      <c r="E36" s="865" t="n"/>
      <c r="F36" s="1314" t="n"/>
      <c r="G36" s="865" t="n"/>
      <c r="H36" s="865" t="n"/>
      <c r="I36" s="865" t="n"/>
      <c r="J36" s="865" t="n"/>
      <c r="K36" s="865" t="n"/>
      <c r="L36" s="865" t="n"/>
      <c r="M36" s="865" t="n"/>
      <c r="N36" s="865" t="n"/>
      <c r="O36" s="865" t="n"/>
    </row>
    <row r="37" ht="14.25" customHeight="1" s="866">
      <c r="B37" s="1366" t="n"/>
      <c r="C37" s="1368" t="n"/>
      <c r="D37" s="1314" t="n"/>
      <c r="E37" s="865" t="n"/>
      <c r="F37" s="1314" t="n"/>
      <c r="G37" s="865" t="n"/>
      <c r="H37" s="865" t="n"/>
      <c r="I37" s="865" t="n"/>
      <c r="J37" s="865" t="n"/>
      <c r="K37" s="865" t="n"/>
      <c r="L37" s="865" t="n"/>
      <c r="M37" s="865" t="n"/>
      <c r="N37" s="865" t="n"/>
      <c r="O37" s="865" t="n"/>
    </row>
    <row r="40" ht="19" customHeight="1" s="866">
      <c r="B40" s="1527" t="inlineStr">
        <is>
          <t>Archetype against actual - every squad on this tab</t>
        </is>
      </c>
      <c r="C40" s="1528" t="n"/>
      <c r="D40" s="1528" t="n"/>
      <c r="E40" s="1528" t="n"/>
      <c r="F40" s="1528" t="n"/>
      <c r="G40" s="1528" t="n"/>
      <c r="H40" s="1528" t="n"/>
      <c r="I40" s="1528" t="n"/>
      <c r="J40" s="1528" t="n"/>
      <c r="K40" s="1528" t="n"/>
      <c r="L40" s="1528" t="n"/>
    </row>
    <row r="41" ht="34" customHeight="1" s="866">
      <c r="B41" s="1529" t="inlineStr">
        <is>
          <t>Platform</t>
        </is>
      </c>
      <c r="C41" s="1945" t="n"/>
      <c r="D41" s="1529" t="inlineStr">
        <is>
          <t>Squad</t>
        </is>
      </c>
      <c r="E41" s="1945" t="n"/>
      <c r="F41" s="1945" t="n"/>
      <c r="G41" s="1945" t="n"/>
      <c r="H41" s="1529" t="inlineStr">
        <is>
          <t>Total Squad Cost ($m)</t>
        </is>
      </c>
      <c r="I41" s="1529" t="inlineStr">
        <is>
          <t>TDD Cost ($m)</t>
        </is>
      </c>
      <c r="J41" s="1529" t="inlineStr">
        <is>
          <t>Funded outside TDD ($m)</t>
        </is>
      </c>
      <c r="K41" s="1529" t="inlineStr">
        <is>
          <t>Actual cost after decisions ($m)</t>
        </is>
      </c>
      <c r="L41" s="1529" t="inlineStr">
        <is>
          <t>Variance to archetype ($m)</t>
        </is>
      </c>
    </row>
    <row r="42">
      <c r="B42" s="1788" t="inlineStr">
        <is>
          <t>Finance</t>
        </is>
      </c>
      <c r="C42" s="1946" t="n"/>
      <c r="D42" s="1788" t="str">
        <f>$B26</f>
        <v>SAP ERP</v>
      </c>
      <c r="E42" s="1946" t="n"/>
      <c r="F42" s="1946" t="n"/>
      <c r="G42" s="1946" t="n"/>
      <c r="H42" s="1791">
        <f>IF(H26="","-",H26)</f>
        <v>1.4</v>
      </c>
      <c r="I42" s="1791">
        <f>IF(I26="","-",I26)</f>
        <v>0.28</v>
      </c>
      <c r="J42" s="1791">
        <f>IF(J26="","-",J26)</f>
        <v>1.12</v>
      </c>
      <c r="K42" s="1791">
        <f>IFERROR(INDEX('2.6 Finance'!$P$8:$P$20,MATCH($D42,'2.6 Finance'!$B$8:$B$20,0)),"-")</f>
        <v>2.37418557</v>
      </c>
      <c r="L42" s="1791">
        <f>IF(AND(ISNUMBER($H42),ISNUMBER($K42)),ROUND($K42-$H42,6),"-")</f>
        <v>0.974186</v>
      </c>
    </row>
    <row r="43">
      <c r="B43" s="1788" t="inlineStr">
        <is>
          <t>Finance</t>
        </is>
      </c>
      <c r="C43" s="1946" t="n"/>
      <c r="D43" s="1788" t="str">
        <f>$B27</f>
        <v>NZ Finance</v>
      </c>
      <c r="E43" s="1946" t="n"/>
      <c r="F43" s="1946" t="n"/>
      <c r="G43" s="1946" t="n"/>
      <c r="H43" s="1791">
        <f>IF(H27="","-",H27)</f>
        <v>1.4</v>
      </c>
      <c r="I43" s="1791">
        <f>IF(I27="","-",I27)</f>
        <v>1.4</v>
      </c>
      <c r="J43" s="1791">
        <f>IF(J27="","-",J27)</f>
        <v>0</v>
      </c>
      <c r="K43" s="1791">
        <f>IFERROR(INDEX('2.6 Finance'!$P$8:$P$20,MATCH($D43,'2.6 Finance'!$B$8:$B$20,0)),"-")</f>
        <v>0.905141646</v>
      </c>
      <c r="L43" s="1791">
        <f>IF(AND(ISNUMBER($H43),ISNUMBER($K43)),ROUND($K43-$H43,6),"-")</f>
        <v>-0.494858</v>
      </c>
    </row>
    <row r="44">
      <c r="B44" s="1535" t="inlineStr">
        <is>
          <t>Finance total</t>
        </is>
      </c>
      <c r="C44" s="1947" t="n"/>
      <c r="D44" s="1947" t="n"/>
      <c r="E44" s="1947" t="n"/>
      <c r="F44" s="1947" t="n"/>
      <c r="G44" s="1947" t="n"/>
      <c r="H44" s="1771">
        <f>IF(COUNT($H42,$H43)=2,SUM($H42,$H43),"-")</f>
        <v>2.8</v>
      </c>
      <c r="I44" s="1771">
        <f>IF(COUNT($I42,$I43)=2,SUM($I42,$I43),"-")</f>
        <v>1.68</v>
      </c>
      <c r="J44" s="1771">
        <f>IF(COUNT($J42,$J43)=2,SUM($J42,$J43),"-")</f>
        <v>1.12</v>
      </c>
      <c r="K44" s="1771">
        <f>SUM($K42:$K43)</f>
        <v>3.279327216</v>
      </c>
      <c r="L44" s="1771">
        <f>IF(AND(ISNUMBER($H44),ISNUMBER($K44)),ROUND($K44-$H44,6),"-")</f>
        <v>0.479327</v>
      </c>
    </row>
    <row r="45">
      <c r="B45" s="1788" t="inlineStr">
        <is>
          <t>EGI Finance</t>
        </is>
      </c>
      <c r="C45" s="1946" t="n"/>
      <c r="D45" s="1788" t="str">
        <f>$B33</f>
        <v>EGI Finance</v>
      </c>
      <c r="E45" s="1946" t="n"/>
      <c r="F45" s="1946" t="n"/>
      <c r="G45" s="1946" t="n"/>
      <c r="H45" s="1791">
        <f>IF(H33="","-",H33)</f>
        <v>0</v>
      </c>
      <c r="I45" s="1791">
        <f>IF(I33="","-",I33)</f>
        <v>0</v>
      </c>
      <c r="J45" s="1791">
        <f>IF(J33="","-",J33)</f>
        <v>0</v>
      </c>
      <c r="K45" s="1791">
        <f>IFERROR(INDEX('2.6 Finance'!$P$8:$P$20,MATCH($D45,'2.6 Finance'!$B$8:$B$20,0)),"-")</f>
        <v>0.24172845</v>
      </c>
      <c r="L45" s="1791">
        <f>IF(AND(ISNUMBER($H45),ISNUMBER($K45)),ROUND($K45-$H45,6),"-")</f>
        <v>0.241728</v>
      </c>
    </row>
    <row r="46">
      <c r="B46" s="1535" t="inlineStr">
        <is>
          <t>EGI Finance total</t>
        </is>
      </c>
      <c r="C46" s="1947" t="n"/>
      <c r="D46" s="1947" t="n"/>
      <c r="E46" s="1947" t="n"/>
      <c r="F46" s="1947" t="n"/>
      <c r="G46" s="1947" t="n"/>
      <c r="H46" s="1771">
        <f>IF(COUNT($H45)=1,SUM($H45),"-")</f>
        <v>0</v>
      </c>
      <c r="I46" s="1771">
        <f>IF(COUNT($I45)=1,SUM($I45),"-")</f>
        <v>0</v>
      </c>
      <c r="J46" s="1771">
        <f>IF(COUNT($J45)=1,SUM($J45),"-")</f>
        <v>0</v>
      </c>
      <c r="K46" s="1771">
        <f>SUM($K45:$K45)</f>
        <v>0.24172845</v>
      </c>
      <c r="L46" s="1771">
        <f>IF(AND(ISNUMBER($H46),ISNUMBER($K46)),ROUND($K46-$H46,6),"-")</f>
        <v>0.241728</v>
      </c>
    </row>
    <row r="47">
      <c r="B47" s="1541" t="inlineStr">
        <is>
          <t>Squads priced by an archetype</t>
        </is>
      </c>
      <c r="C47" s="1948" t="n"/>
      <c r="D47" s="1948" t="n"/>
      <c r="E47" s="1948" t="n"/>
      <c r="F47" s="1948" t="n"/>
      <c r="G47" s="1948" t="n"/>
      <c r="H47" s="1949">
        <f>N($H44)+N($H46)</f>
        <v>2.8</v>
      </c>
      <c r="I47" s="1541" t="n"/>
      <c r="J47" s="1541" t="n"/>
      <c r="K47" s="1949">
        <f>N($K44)+N($K46)</f>
        <v>3.521055666</v>
      </c>
      <c r="L47" s="1949">
        <f>IF(AND(ISNUMBER($H47),ISNUMBER($K47)),ROUND($K47-$H47,6),"-")</f>
        <v>0.721056</v>
      </c>
    </row>
    <row r="48">
      <c r="B48" s="1788" t="inlineStr">
        <is>
          <t>Overhead roles in this portfolio - no archetype prices them</t>
        </is>
      </c>
      <c r="C48" s="1946" t="n"/>
      <c r="D48" s="1946" t="n"/>
      <c r="E48" s="1946" t="n"/>
      <c r="F48" s="1946" t="n"/>
      <c r="G48" s="1946" t="n"/>
      <c r="H48" s="1791" t="str">
        <f>"-"</f>
        <v>-</v>
      </c>
      <c r="I48" s="1788" t="n"/>
      <c r="J48" s="1788" t="n"/>
      <c r="K48" s="1791">
        <f>N('2.6 Finance'!$P$19)</f>
        <v>0.32356045</v>
      </c>
      <c r="L48" s="1791" t="str">
        <f>"-"</f>
        <v>-</v>
      </c>
    </row>
    <row r="49">
      <c r="B49" s="1788" t="inlineStr">
        <is>
          <t>On the working tab with no row on this tab</t>
        </is>
      </c>
      <c r="C49" s="1946" t="n"/>
      <c r="D49" s="1946" t="n"/>
      <c r="E49" s="1946" t="n"/>
      <c r="F49" s="1946" t="n"/>
      <c r="G49" s="1946" t="n"/>
      <c r="H49" s="1791" t="str">
        <f>"-"</f>
        <v>-</v>
      </c>
      <c r="I49" s="1788" t="n"/>
      <c r="J49" s="1788" t="n"/>
      <c r="K49" s="1791">
        <f>ROUND(N('2.6 Finance'!$P$20)-$K47-$K48,6)</f>
        <v>0</v>
      </c>
      <c r="L49" s="1791" t="str">
        <f>"-"</f>
        <v>-</v>
      </c>
    </row>
    <row r="50">
      <c r="B50" s="1541" t="inlineStr">
        <is>
          <t>Total actual cost after decisions - ties to the working tab</t>
        </is>
      </c>
      <c r="C50" s="1948" t="n"/>
      <c r="D50" s="1948" t="n"/>
      <c r="E50" s="1948" t="n"/>
      <c r="F50" s="1948" t="n"/>
      <c r="G50" s="1948" t="n"/>
      <c r="H50" s="1949" t="str">
        <f>"-"</f>
        <v>-</v>
      </c>
      <c r="I50" s="1541" t="n"/>
      <c r="J50" s="1541" t="n"/>
      <c r="K50" s="1949">
        <f>'2.6 Finance'!$P$20</f>
        <v>3.844616116</v>
      </c>
      <c r="L50" s="1949" t="str">
        <f>"-"</f>
        <v>-</v>
      </c>
    </row>
    <row r="51">
      <c r="B51" s="1788" t="inlineStr">
        <is>
          <t>Control - every line above against the working tab, must be 0</t>
        </is>
      </c>
      <c r="C51" s="1946" t="n"/>
      <c r="D51" s="1946" t="n"/>
      <c r="E51" s="1946" t="n"/>
      <c r="F51" s="1946" t="n"/>
      <c r="G51" s="1946" t="n"/>
      <c r="K51" s="1806">
        <f>ROUND($K47+$K48+$K49-$K50,6)</f>
        <v>0</v>
      </c>
    </row>
  </sheetData>
  <mergeCells count="21">
    <mergeCell ref="B14:D14"/>
    <mergeCell ref="H12:K12"/>
    <mergeCell ref="B13:D13"/>
    <mergeCell ref="H4:I4"/>
    <mergeCell ref="B44:G44"/>
    <mergeCell ref="D42:G42"/>
    <mergeCell ref="B43:C43"/>
    <mergeCell ref="B4:E4"/>
    <mergeCell ref="B42:C42"/>
    <mergeCell ref="B49:G49"/>
    <mergeCell ref="B24:J24"/>
    <mergeCell ref="B51:G51"/>
    <mergeCell ref="D45:G45"/>
    <mergeCell ref="B50:G50"/>
    <mergeCell ref="B47:G47"/>
    <mergeCell ref="D41:G41"/>
    <mergeCell ref="B46:G46"/>
    <mergeCell ref="B45:C45"/>
    <mergeCell ref="D43:G43"/>
    <mergeCell ref="B41:C41"/>
    <mergeCell ref="B48:G48"/>
  </mergeCells>
  <dataValidations count="5">
    <dataValidation sqref="C26:C27 C33" showDropDown="0" showInputMessage="0" showErrorMessage="1" allowBlank="1" errorTitle="Invalid entry" error="Pick a value from the list" type="list" errorStyle="stop" operator="between">
      <formula1>SquadTypes</formula1>
      <formula2>0</formula2>
    </dataValidation>
    <dataValidation sqref="D26:D27 D33" showDropDown="0" showInputMessage="0" showErrorMessage="1" allowBlank="1" errorTitle="Invalid entry" error="Pick a value from the list" type="list" errorStyle="stop" operator="between">
      <formula1>SquadSizes</formula1>
      <formula2>0</formula2>
    </dataValidation>
    <dataValidation sqref="E26:E27 E33" showDropDown="0" showInputMessage="0" showErrorMessage="1" allowBlank="1" errorTitle="Invalid entry" error="Pick a value from the list" type="list" errorStyle="stop" operator="between">
      <formula1>OnOff</formula1>
      <formula2>0</formula2>
    </dataValidation>
    <dataValidation sqref="G26:G27 G33" showDropDown="0" showInputMessage="0" showErrorMessage="1" allowBlank="1" errorTitle="Invalid entry" error="Pick a value from the list" type="list" errorStyle="stop" operator="between">
      <formula1>SupportPct</formula1>
      <formula2>0</formula2>
    </dataValidation>
    <dataValidation sqref="F26:F27 F33" showDropDown="0" showInputMessage="0" showErrorMessage="1" allowBlank="0" type="list" errorStyle="stop" operator="between">
      <formula1>"AU,NZ"</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5.xml><?xml version="1.0" encoding="utf-8"?>
<worksheet xmlns="http://schemas.openxmlformats.org/spreadsheetml/2006/main">
  <sheetPr filterMode="0">
    <tabColor rgb="FF1F4E79"/>
    <outlinePr summaryBelow="1" summaryRight="1"/>
    <pageSetUpPr fitToPage="1"/>
  </sheetPr>
  <dimension ref="B1:M6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C20" activeCellId="0" sqref="C20"/>
    </sheetView>
  </sheetViews>
  <sheetFormatPr baseColWidth="8" defaultColWidth="8.54296875" defaultRowHeight="14.25" zeroHeight="0" outlineLevelRow="0"/>
  <cols>
    <col width="2" customWidth="1" style="865" min="1" max="1"/>
    <col width="40" customWidth="1" style="865" min="2" max="2"/>
    <col width="26" customWidth="1" style="865" min="3" max="3"/>
    <col width="11" customWidth="1" style="865" min="4" max="4"/>
    <col width="18" customWidth="1" style="865" min="5" max="5"/>
    <col width="10" customWidth="1" style="865" min="6" max="6"/>
    <col width="15" customWidth="1" style="865" min="7" max="7"/>
    <col width="34" customWidth="1" style="865" min="8" max="8"/>
    <col width="14" customWidth="1" style="865" min="9" max="9"/>
    <col width="24" customWidth="1" style="865" min="10" max="10"/>
    <col width="22" customWidth="1" style="865" min="11" max="11"/>
    <col width="30" customWidth="1" style="865" min="12" max="12"/>
  </cols>
  <sheetData>
    <row r="1" ht="14.25" customHeight="1" s="866">
      <c r="B1" s="865" t="n"/>
      <c r="C1" s="865" t="n"/>
      <c r="D1" s="865" t="n"/>
      <c r="E1" s="865" t="n"/>
      <c r="F1" s="1314" t="n"/>
      <c r="G1" s="865" t="n"/>
      <c r="H1" s="865" t="n"/>
      <c r="I1" s="865" t="n"/>
      <c r="J1" s="865" t="n"/>
      <c r="K1" s="865" t="n"/>
      <c r="L1" s="865" t="n"/>
      <c r="M1" s="865" t="n"/>
    </row>
    <row r="2" ht="21" customHeight="1" s="866">
      <c r="B2" s="1315" t="inlineStr">
        <is>
          <t>Infrastructure</t>
        </is>
      </c>
      <c r="C2" s="865" t="n"/>
      <c r="D2" s="865" t="n"/>
      <c r="E2" s="865" t="n"/>
      <c r="F2" s="1314" t="n"/>
      <c r="G2" s="865" t="n"/>
      <c r="H2" s="865" t="n"/>
      <c r="I2" s="865" t="n"/>
      <c r="J2" s="865" t="n"/>
      <c r="K2" s="865" t="n"/>
      <c r="L2" s="865" t="n"/>
      <c r="M2" s="865" t="n"/>
    </row>
    <row r="3" ht="14.25" customHeight="1" s="866">
      <c r="B3" s="865" t="n"/>
      <c r="C3" s="865" t="n"/>
      <c r="D3" s="865" t="n"/>
      <c r="E3" s="865" t="n"/>
      <c r="F3" s="1314" t="n"/>
      <c r="G3" s="865" t="n"/>
      <c r="H3" s="865" t="n"/>
      <c r="I3" s="865" t="n"/>
      <c r="J3" s="865" t="n"/>
      <c r="K3" s="865" t="n"/>
      <c r="L3" s="865" t="n"/>
      <c r="M3" s="865" t="n"/>
    </row>
    <row r="4" ht="19" customHeight="1" s="866">
      <c r="B4" s="1316" t="inlineStr">
        <is>
          <t>Portfolio Summary</t>
        </is>
      </c>
      <c r="C4" s="1003" t="n"/>
      <c r="D4" s="1003" t="n"/>
      <c r="E4" s="1004" t="n"/>
      <c r="F4" s="1849" t="n"/>
      <c r="G4" s="865" t="n"/>
      <c r="H4" s="1317" t="inlineStr">
        <is>
          <t>Budget vs TDD Cost</t>
        </is>
      </c>
      <c r="I4" s="1318" t="n"/>
      <c r="J4" s="865" t="n"/>
      <c r="K4" s="865" t="n"/>
      <c r="L4" s="865" t="n"/>
      <c r="M4" s="865" t="n"/>
    </row>
    <row r="5" ht="31.5" customHeight="1" s="866">
      <c r="B5" s="1319" t="inlineStr">
        <is>
          <t>Cost</t>
        </is>
      </c>
      <c r="C5" s="1320" t="inlineStr">
        <is>
          <t>TDD AU ($m)</t>
        </is>
      </c>
      <c r="D5" s="1320" t="inlineStr">
        <is>
          <t>TDD NZ ($m)</t>
        </is>
      </c>
      <c r="E5" s="1320" t="inlineStr">
        <is>
          <t>Other ($m)</t>
        </is>
      </c>
      <c r="F5" s="1320" t="inlineStr">
        <is>
          <t>Total ($m)</t>
        </is>
      </c>
      <c r="G5" s="1420" t="n"/>
      <c r="H5" s="1402" t="inlineStr">
        <is>
          <t>AU Budget ($m)</t>
        </is>
      </c>
      <c r="I5" s="1442">
        <f>'0.2 Data Config'!$C$17</f>
        <v>2.5</v>
      </c>
      <c r="J5" s="865" t="n"/>
      <c r="K5" s="865" t="n"/>
      <c r="L5" s="865" t="n"/>
      <c r="M5" s="865" t="n"/>
    </row>
    <row r="6" ht="14.25" customHeight="1" s="866">
      <c r="B6" s="1443" t="inlineStr">
        <is>
          <t>Portfolio Overhead (see 0.2 Data Config)</t>
        </is>
      </c>
      <c r="C6" s="1323">
        <f>IF('0.2 Data Config'!$D$17&gt;'0.2 Data Config'!$C$17,0,'0.2 Data Config'!$L$10)</f>
        <v>0.7975</v>
      </c>
      <c r="D6" s="1323">
        <f>IF('0.2 Data Config'!$D$17&gt;'0.2 Data Config'!$C$17,'0.2 Data Config'!$L$10,0)</f>
        <v>0</v>
      </c>
      <c r="E6" s="1323">
        <f>0</f>
        <v>0</v>
      </c>
      <c r="F6" s="1323">
        <f>C6+D6+E6</f>
        <v>0.7975</v>
      </c>
      <c r="G6" s="1368" t="n"/>
      <c r="H6" s="1369" t="inlineStr">
        <is>
          <t>NZ Budget ($m)</t>
        </is>
      </c>
      <c r="I6" s="1323">
        <f>'0.2 Data Config'!$D$17</f>
        <v>0</v>
      </c>
      <c r="J6" s="865" t="n"/>
      <c r="K6" s="865" t="n"/>
      <c r="L6" s="865" t="n"/>
      <c r="M6" s="865" t="n"/>
    </row>
    <row r="7" ht="14.25" customHeight="1" s="866">
      <c r="B7" s="1443" t="inlineStr">
        <is>
          <t>Platform Overheads</t>
        </is>
      </c>
      <c r="C7" s="1323">
        <f>IF('0.2 Data Config'!$D$17&gt;'0.2 Data Config'!$C$17,0,SUM(I27,I34,I40))</f>
        <v>0.495</v>
      </c>
      <c r="D7" s="1323">
        <f>IF('0.2 Data Config'!$D$17&gt;'0.2 Data Config'!$C$17,SUM(I27,I34,I40),0)</f>
        <v>0</v>
      </c>
      <c r="E7" s="1323">
        <f>0</f>
        <v>0</v>
      </c>
      <c r="F7" s="1323">
        <f>C7+D7+E7</f>
        <v>0.495</v>
      </c>
      <c r="G7" s="1368" t="n"/>
      <c r="H7" s="1444" t="inlineStr">
        <is>
          <t>AU over/(under) budget ($m)</t>
        </is>
      </c>
      <c r="I7" s="1445">
        <f>C9-I5</f>
        <v>0.5525</v>
      </c>
      <c r="J7" s="865" t="n"/>
      <c r="K7" s="865" t="n"/>
      <c r="L7" s="865" t="n"/>
      <c r="M7" s="865" t="n"/>
    </row>
    <row r="8" ht="14.25" customHeight="1" s="866">
      <c r="B8" s="1012" t="inlineStr">
        <is>
          <t>Squad Support Costs</t>
        </is>
      </c>
      <c r="C8" s="1323">
        <f>SUMIF($F$26:$F$26,"AU",$I$26:$I$26)+SUMIF($F$32:$F$33,"AU",$I$32:$I$33)+SUMIF($F$39:$F$39,"AU",$I$39:$I$39)</f>
        <v>1.76</v>
      </c>
      <c r="D8" s="1323">
        <f>SUMIF($F$26:$F$26,"NZ",$I$26:$I$26)+SUMIF($F$32:$F$33,"NZ",$I$32:$I$33)+SUMIF($F$39:$F$39,"NZ",$I$39:$I$39)</f>
        <v>0</v>
      </c>
      <c r="E8" s="1323">
        <f>SUM($J$26:$J$26)+SUM($J$32:$J$33)+SUM($J$39:$J$39)</f>
        <v>4.64</v>
      </c>
      <c r="F8" s="1323">
        <f>C8+D8+E8</f>
        <v>6.4</v>
      </c>
      <c r="G8" s="1368" t="n"/>
      <c r="H8" s="1372" t="inlineStr">
        <is>
          <t>NZ over/(under) budget ($m)</t>
        </is>
      </c>
      <c r="I8" s="1373">
        <f>D9-I6</f>
        <v>0</v>
      </c>
      <c r="J8" s="865" t="n"/>
      <c r="K8" s="865" t="n"/>
      <c r="L8" s="865" t="n"/>
      <c r="M8" s="865" t="n"/>
    </row>
    <row r="9" ht="14.25" customHeight="1" s="866">
      <c r="B9" s="1330" t="inlineStr">
        <is>
          <t>Total Cost</t>
        </is>
      </c>
      <c r="C9" s="1331">
        <f>SUM(C6:C8)</f>
        <v>3.0525</v>
      </c>
      <c r="D9" s="1331">
        <f>SUM(D6:D8)</f>
        <v>0</v>
      </c>
      <c r="E9" s="1331">
        <f>SUM(E6:E8)</f>
        <v>4.64</v>
      </c>
      <c r="F9" s="1331">
        <f>SUM(F6:F8)</f>
        <v>7.6925</v>
      </c>
      <c r="G9" s="1375" t="n"/>
      <c r="H9" s="1022" t="inlineStr">
        <is>
          <t>TDD over/(under) budget ($m)</t>
        </is>
      </c>
      <c r="I9" s="1421">
        <f>I7+I8</f>
        <v>0.5525</v>
      </c>
      <c r="J9" s="865" t="n"/>
      <c r="K9" s="865" t="n"/>
      <c r="L9" s="865" t="n"/>
      <c r="M9" s="865" t="n"/>
    </row>
    <row r="10" ht="14.25" customHeight="1" s="866">
      <c r="M10" s="865" t="n"/>
    </row>
    <row r="11" ht="14.25" customFormat="1" customHeight="1" s="865">
      <c r="B11" s="1930" t="n"/>
      <c r="C11" s="1934" t="n"/>
      <c r="D11" s="1934" t="n"/>
      <c r="E11" s="1934" t="n"/>
      <c r="F11" s="1934" t="n"/>
      <c r="G11" s="1375" t="n"/>
      <c r="H11" s="1022" t="n"/>
      <c r="I11" s="1421" t="n"/>
    </row>
    <row r="12" ht="14.25" customHeight="1" s="866">
      <c r="B12" s="865" t="n"/>
      <c r="C12" s="865" t="n"/>
      <c r="D12" s="865" t="n"/>
      <c r="E12" s="865" t="n"/>
      <c r="F12" s="1314" t="n"/>
      <c r="G12" s="865" t="n"/>
      <c r="H12" s="1376" t="inlineStr">
        <is>
          <t xml:space="preserve">Other funding </t>
        </is>
      </c>
      <c r="I12" s="1352" t="n"/>
      <c r="J12" s="1352" t="n"/>
      <c r="K12" s="1353" t="n"/>
      <c r="L12" s="865" t="n"/>
      <c r="M12" s="865" t="n"/>
    </row>
    <row r="13" ht="31.5" customHeight="1" s="866">
      <c r="B13" s="1377" t="inlineStr">
        <is>
          <t xml:space="preserve">Total Infrastructure budget </t>
        </is>
      </c>
      <c r="D13" s="1378" t="n"/>
      <c r="E13" s="1379">
        <f>SUM(I14:I18)</f>
        <v>9.3</v>
      </c>
      <c r="F13" s="1314" t="n"/>
      <c r="G13" s="865" t="n"/>
      <c r="H13" s="1380" t="inlineStr">
        <is>
          <t>Budget line</t>
        </is>
      </c>
      <c r="I13" s="1380" t="inlineStr">
        <is>
          <t>Budget ($m)</t>
        </is>
      </c>
      <c r="J13" s="1446" t="inlineStr">
        <is>
          <t>Amount that can be allocated to people</t>
        </is>
      </c>
      <c r="K13" s="1380" t="inlineStr">
        <is>
          <t>Remaining for non-people ($m)</t>
        </is>
      </c>
      <c r="L13" s="865" t="n"/>
      <c r="M13" s="865" t="n"/>
    </row>
    <row r="14" ht="14.25" customHeight="1" s="866">
      <c r="B14" s="1447" t="inlineStr">
        <is>
          <t xml:space="preserve">Reconciled to Finance </t>
        </is>
      </c>
      <c r="C14" s="1352" t="n"/>
      <c r="D14" s="1353" t="n"/>
      <c r="E14" s="1354">
        <f>N('0.1 Budget Table (Fin)'!Q10)</f>
        <v>9.3</v>
      </c>
      <c r="F14" s="1314" t="n"/>
      <c r="G14" s="865" t="n"/>
      <c r="H14" s="1382" t="inlineStr">
        <is>
          <t>Infrastructure Lights On</t>
        </is>
      </c>
      <c r="I14" s="1855">
        <f>N('0.1 Budget Table (Fin)'!L10)</f>
        <v>3.9</v>
      </c>
      <c r="J14" s="1384">
        <f>N('0.1 Budget Table (Fin)'!$I$21)</f>
        <v>2</v>
      </c>
      <c r="K14" s="1385">
        <f>IFERROR(I14-J14,0)</f>
        <v>1.9</v>
      </c>
      <c r="L14" s="865" t="n"/>
      <c r="M14" s="865" t="n"/>
    </row>
    <row r="15" ht="14.25" customHeight="1" s="866">
      <c r="B15" s="865" t="n"/>
      <c r="C15" s="865" t="n"/>
      <c r="D15" s="865" t="n"/>
      <c r="E15" s="865" t="n"/>
      <c r="F15" s="1314" t="n"/>
      <c r="G15" s="865" t="n"/>
      <c r="H15" s="1382" t="inlineStr">
        <is>
          <t>OpEx Initiatives</t>
        </is>
      </c>
      <c r="I15" s="1855">
        <f>N('0.1 Budget Table (Fin)'!N10)</f>
        <v>0.4</v>
      </c>
      <c r="J15" s="1856" t="n">
        <v>0</v>
      </c>
      <c r="K15" s="1385">
        <f>IFERROR(I15-J15,0)</f>
        <v>0.4</v>
      </c>
      <c r="L15" s="865" t="n"/>
      <c r="M15" s="865" t="n"/>
    </row>
    <row r="16" ht="14.25" customHeight="1" s="866">
      <c r="B16" s="1336" t="inlineStr">
        <is>
          <t>Funding position ($m)</t>
        </is>
      </c>
      <c r="C16" s="1337" t="n"/>
      <c r="D16" s="865" t="n"/>
      <c r="E16" s="865" t="n"/>
      <c r="F16" s="1314" t="n"/>
      <c r="G16" s="865" t="n"/>
      <c r="H16" s="1382" t="inlineStr">
        <is>
          <t>CapEx</t>
        </is>
      </c>
      <c r="I16" s="1855">
        <f>N('0.1 Budget Table (Fin)'!P10)</f>
        <v>5</v>
      </c>
      <c r="J16" s="1857">
        <f>I16*0.5</f>
        <v>2.5</v>
      </c>
      <c r="K16" s="1385">
        <f>IFERROR(I16-J16,0)</f>
        <v>2.5</v>
      </c>
      <c r="L16" s="865" t="n"/>
      <c r="M16" s="865" t="n"/>
    </row>
    <row r="17" ht="14.25" customHeight="1" s="866">
      <c r="B17" s="1338" t="inlineStr">
        <is>
          <t>Over/(under) TDD budget</t>
        </is>
      </c>
      <c r="C17" s="1339">
        <f>$I$7+$I$8</f>
        <v>0.5525</v>
      </c>
      <c r="D17" s="865" t="n"/>
      <c r="E17" s="865" t="n"/>
      <c r="F17" s="1314" t="n"/>
      <c r="G17" s="865" t="n"/>
      <c r="H17" s="1382" t="inlineStr">
        <is>
          <t>Significant Items</t>
        </is>
      </c>
      <c r="I17" s="1855">
        <f>N('0.1 Budget Table (Fin)'!O10)</f>
        <v>0</v>
      </c>
      <c r="J17" s="1856" t="n">
        <v>0</v>
      </c>
      <c r="K17" s="1385">
        <f>IFERROR(I17-J17,0)</f>
        <v>0</v>
      </c>
      <c r="L17" s="865" t="n"/>
      <c r="M17" s="865" t="n"/>
    </row>
    <row r="18" ht="14.25" customHeight="1" s="866">
      <c r="B18" s="1338" t="inlineStr">
        <is>
          <t>Still to fund outside TDD</t>
        </is>
      </c>
      <c r="C18" s="1339">
        <f>$J21</f>
        <v>2.14</v>
      </c>
      <c r="D18" s="865" t="n"/>
      <c r="E18" s="865" t="n"/>
      <c r="F18" s="1314" t="n"/>
      <c r="G18" s="865" t="n"/>
      <c r="H18" s="1382" t="inlineStr">
        <is>
          <t>Depreciation</t>
        </is>
      </c>
      <c r="I18" s="1855">
        <f>N('0.1 Budget Table (Fin)'!M10)</f>
        <v>0</v>
      </c>
      <c r="J18" s="1856" t="n">
        <v>0</v>
      </c>
      <c r="K18" s="1385">
        <f>IFERROR(I18-J18,0)</f>
        <v>0</v>
      </c>
      <c r="L18" s="865" t="n"/>
      <c r="M18" s="865" t="n"/>
    </row>
    <row r="19" ht="14.25" customHeight="1" s="866">
      <c r="B19" s="1344" t="inlineStr">
        <is>
          <t>Total to fund</t>
        </is>
      </c>
      <c r="C19" s="1345">
        <f>$C17+$C18</f>
        <v>2.6925</v>
      </c>
      <c r="D19" s="865" t="n"/>
      <c r="E19" s="865" t="n"/>
      <c r="F19" s="1314" t="n"/>
      <c r="G19" s="865" t="n"/>
      <c r="H19" s="1387" t="inlineStr">
        <is>
          <t>Total applied</t>
        </is>
      </c>
      <c r="I19" s="1384" t="n"/>
      <c r="J19" s="1388">
        <f>SUM(J14:J18)</f>
        <v>4.5</v>
      </c>
      <c r="K19" s="1384" t="n"/>
      <c r="L19" s="865" t="n"/>
      <c r="M19" s="865" t="n"/>
    </row>
    <row r="20" ht="14.25" customHeight="1" s="866">
      <c r="B20" s="865" t="n"/>
      <c r="C20" s="865" t="n"/>
      <c r="D20" s="865" t="n"/>
      <c r="E20" s="865" t="n"/>
      <c r="F20" s="1314" t="n"/>
      <c r="G20" s="865" t="n"/>
      <c r="H20" s="1382" t="inlineStr">
        <is>
          <t>Other cost (this model)</t>
        </is>
      </c>
      <c r="I20" s="1384" t="n"/>
      <c r="J20" s="1385">
        <f>E9</f>
        <v>4.64</v>
      </c>
      <c r="K20" s="1384" t="n"/>
      <c r="L20" s="865" t="n"/>
      <c r="M20" s="865" t="n"/>
    </row>
    <row r="21" ht="14.25" customHeight="1" s="866">
      <c r="B21" s="865" t="n"/>
      <c r="C21" s="865" t="n"/>
      <c r="D21" s="865" t="n"/>
      <c r="E21" s="865" t="n"/>
      <c r="F21" s="1314" t="n"/>
      <c r="G21" s="865" t="n"/>
      <c r="H21" s="1389" t="inlineStr">
        <is>
          <t>Left to fund</t>
        </is>
      </c>
      <c r="I21" s="1384" t="n"/>
      <c r="J21" s="1390">
        <f>E9-(J19-J14)</f>
        <v>2.14</v>
      </c>
      <c r="K21" s="1384" t="n"/>
      <c r="L21" s="865" t="n"/>
      <c r="M21" s="865" t="n"/>
    </row>
    <row r="22" ht="14.25" customHeight="1" s="866">
      <c r="B22" s="865" t="n"/>
      <c r="C22" s="865" t="n"/>
      <c r="D22" s="865" t="n"/>
      <c r="E22" s="865" t="n"/>
      <c r="F22" s="1314" t="n"/>
      <c r="G22" s="865" t="n"/>
      <c r="H22" s="865" t="n"/>
      <c r="I22" s="865" t="n"/>
      <c r="J22" s="865" t="n"/>
      <c r="K22" s="865" t="n"/>
      <c r="L22" s="865" t="n"/>
      <c r="M22" s="865" t="n"/>
    </row>
    <row r="23" ht="14.25" customHeight="1" s="866">
      <c r="B23" s="865" t="n"/>
      <c r="C23" s="865" t="n"/>
      <c r="D23" s="865" t="n"/>
      <c r="E23" s="865" t="n"/>
      <c r="F23" s="1314" t="n"/>
      <c r="G23" s="865" t="n"/>
      <c r="H23" s="865" t="n"/>
      <c r="I23" s="865" t="n"/>
      <c r="J23" s="865" t="n"/>
      <c r="K23" s="865" t="n"/>
      <c r="L23" s="865" t="n"/>
      <c r="M23" s="865" t="n"/>
    </row>
    <row r="24" ht="19" customHeight="1" s="866">
      <c r="B24" s="1376" t="inlineStr">
        <is>
          <t>Platform: Distribution</t>
        </is>
      </c>
      <c r="C24" s="1352" t="n"/>
      <c r="D24" s="1352" t="n"/>
      <c r="E24" s="1352" t="n"/>
      <c r="F24" s="1352" t="n"/>
      <c r="G24" s="1352" t="n"/>
      <c r="H24" s="1352" t="n"/>
      <c r="I24" s="1352" t="n"/>
      <c r="J24" s="1353" t="n"/>
      <c r="K24" s="865" t="n"/>
      <c r="L24" s="865" t="n"/>
      <c r="M24" s="865" t="n"/>
    </row>
    <row r="25" ht="31.5" customHeight="1" s="866">
      <c r="B25" s="1380" t="inlineStr">
        <is>
          <t>Squad</t>
        </is>
      </c>
      <c r="C25" s="1380" t="inlineStr">
        <is>
          <t>Squad Type</t>
        </is>
      </c>
      <c r="D25" s="1380" t="inlineStr">
        <is>
          <t>Size</t>
        </is>
      </c>
      <c r="E25" s="1380" t="inlineStr">
        <is>
          <t>Onshore / Offshore</t>
        </is>
      </c>
      <c r="F25" s="1320" t="inlineStr">
        <is>
          <t>AU / NZ</t>
        </is>
      </c>
      <c r="G25" s="1380" t="inlineStr">
        <is>
          <t>% funded by TDD</t>
        </is>
      </c>
      <c r="H25" s="1380" t="inlineStr">
        <is>
          <t>Total Squad Cost ($m)</t>
        </is>
      </c>
      <c r="I25" s="1380" t="inlineStr">
        <is>
          <t>TDD Cost ($m)</t>
        </is>
      </c>
      <c r="J25" s="1380" t="inlineStr">
        <is>
          <t>Funded outside TDD ($m)</t>
        </is>
      </c>
      <c r="K25" s="865" t="n"/>
      <c r="L25" s="1356" t="n"/>
      <c r="M25" s="865" t="n"/>
    </row>
    <row r="26" ht="14.25" customHeight="1" s="866">
      <c r="B26" s="1382" t="inlineStr">
        <is>
          <t>Distribution, Sales &amp; Services</t>
        </is>
      </c>
      <c r="C26" s="1392" t="inlineStr">
        <is>
          <t>Configuration / Integration</t>
        </is>
      </c>
      <c r="D26" s="1392" t="inlineStr">
        <is>
          <t>M</t>
        </is>
      </c>
      <c r="E26" s="1392" t="inlineStr">
        <is>
          <t>Onshore</t>
        </is>
      </c>
      <c r="F26" s="1358" t="inlineStr">
        <is>
          <t>AU</t>
        </is>
      </c>
      <c r="G26" s="1393" t="n">
        <v>0.2</v>
      </c>
      <c r="H26" s="1855">
        <f>IFERROR(IF($E26="Onshore",INDEX('0.3 Squad Archetypes'!$G$5:$G$23,MATCH($C26&amp;"|"&amp;$D26,'0.3 Squad Archetypes'!$A$5:$A$23,0)),INDEX('0.3 Squad Archetypes'!$H$5:$H$23,MATCH($C26&amp;"|"&amp;$D26,'0.3 Squad Archetypes'!$A$5:$A$23,0))),"check size")</f>
        <v>2.1</v>
      </c>
      <c r="I26" s="1385">
        <f>IFERROR($H26*$G26,"")</f>
        <v>0.42</v>
      </c>
      <c r="J26" s="1385">
        <f>IFERROR($H26*(1-$G26),"")</f>
        <v>1.68</v>
      </c>
      <c r="K26" s="865" t="n"/>
      <c r="L26" s="1360" t="n"/>
      <c r="M26" s="865" t="n"/>
    </row>
    <row r="27" ht="14.25" customHeight="1" s="866">
      <c r="B27" s="1382" t="inlineStr">
        <is>
          <t>Platform Overhead</t>
        </is>
      </c>
      <c r="C27" s="1384" t="n"/>
      <c r="D27" s="1384" t="n"/>
      <c r="E27" s="1384" t="n"/>
      <c r="F27" s="1314" t="n"/>
      <c r="G27" s="1384" t="n"/>
      <c r="H27" s="1384" t="n"/>
      <c r="I27" s="1855">
        <f>'0.2 Data Config'!$L$16</f>
        <v>0.165</v>
      </c>
      <c r="J27" s="1384" t="n"/>
      <c r="K27" s="865" t="n"/>
      <c r="L27" s="865" t="n"/>
      <c r="M27" s="865" t="n"/>
    </row>
    <row r="28" ht="14.25" customHeight="1" s="866">
      <c r="B28" s="1389" t="inlineStr">
        <is>
          <t>Distribution Total</t>
        </is>
      </c>
      <c r="C28" s="1361" t="n"/>
      <c r="D28" s="1361" t="n"/>
      <c r="E28" s="1361" t="n"/>
      <c r="F28" s="1314" t="n"/>
      <c r="G28" s="1361" t="n"/>
      <c r="H28" s="1390">
        <f>SUM(H26:H26)</f>
        <v>2.1</v>
      </c>
      <c r="I28" s="1390">
        <f>SUM(I26:I27)</f>
        <v>0.585</v>
      </c>
      <c r="J28" s="1390">
        <f>SUM(J26:J26)</f>
        <v>1.68</v>
      </c>
      <c r="K28" s="865" t="n"/>
      <c r="L28" s="865" t="n"/>
      <c r="M28" s="865" t="n"/>
    </row>
    <row r="29" ht="14.25" customHeight="1" s="866">
      <c r="B29" s="865" t="n"/>
      <c r="C29" s="865" t="n"/>
      <c r="D29" s="865" t="n"/>
      <c r="E29" s="865" t="n"/>
      <c r="F29" s="1314" t="n"/>
      <c r="G29" s="865" t="n"/>
      <c r="H29" s="865" t="n"/>
      <c r="I29" s="865" t="n"/>
      <c r="J29" s="865" t="n"/>
      <c r="K29" s="865" t="n"/>
      <c r="L29" s="865" t="n"/>
      <c r="M29" s="865" t="n"/>
    </row>
    <row r="30" ht="19" customHeight="1" s="866">
      <c r="B30" s="1376" t="inlineStr">
        <is>
          <t>Platform: Manufacturing</t>
        </is>
      </c>
      <c r="C30" s="1352" t="n"/>
      <c r="D30" s="1352" t="n"/>
      <c r="E30" s="1352" t="n"/>
      <c r="F30" s="1352" t="n"/>
      <c r="G30" s="1352" t="n"/>
      <c r="H30" s="1352" t="n"/>
      <c r="I30" s="1352" t="n"/>
      <c r="J30" s="1353" t="n"/>
      <c r="K30" s="865" t="n"/>
      <c r="L30" s="865" t="n"/>
      <c r="M30" s="865" t="n"/>
    </row>
    <row r="31" ht="31.5" customHeight="1" s="866">
      <c r="B31" s="1380" t="inlineStr">
        <is>
          <t>Squad</t>
        </is>
      </c>
      <c r="C31" s="1380" t="inlineStr">
        <is>
          <t>Squad Type</t>
        </is>
      </c>
      <c r="D31" s="1380" t="inlineStr">
        <is>
          <t>Size</t>
        </is>
      </c>
      <c r="E31" s="1380" t="inlineStr">
        <is>
          <t>Onshore / Offshore</t>
        </is>
      </c>
      <c r="F31" s="1320" t="inlineStr">
        <is>
          <t>AU / NZ</t>
        </is>
      </c>
      <c r="G31" s="1380" t="inlineStr">
        <is>
          <t>% funded by TDD</t>
        </is>
      </c>
      <c r="H31" s="1380" t="inlineStr">
        <is>
          <t>Total Squad Cost ($m)</t>
        </is>
      </c>
      <c r="I31" s="1380" t="inlineStr">
        <is>
          <t>TDD Cost ($m)</t>
        </is>
      </c>
      <c r="J31" s="1380" t="inlineStr">
        <is>
          <t>Funded outside TDD ($m)</t>
        </is>
      </c>
      <c r="K31" s="865" t="n"/>
      <c r="L31" s="1356" t="n"/>
      <c r="M31" s="865" t="n"/>
    </row>
    <row r="32" ht="14.25" customHeight="1" s="866">
      <c r="B32" s="1382" t="inlineStr">
        <is>
          <t>Manufacturing Group Projects</t>
        </is>
      </c>
      <c r="C32" s="1392" t="inlineStr">
        <is>
          <t>Configuration / Integration</t>
        </is>
      </c>
      <c r="D32" s="1392" t="inlineStr">
        <is>
          <t>M</t>
        </is>
      </c>
      <c r="E32" s="1392" t="inlineStr">
        <is>
          <t>Onshore</t>
        </is>
      </c>
      <c r="F32" s="1358" t="inlineStr">
        <is>
          <t>AU</t>
        </is>
      </c>
      <c r="G32" s="1393" t="n">
        <v>0.2</v>
      </c>
      <c r="H32" s="1855">
        <f>IFERROR(IF($E32="Onshore",INDEX('0.3 Squad Archetypes'!$G$5:$G$23,MATCH($C32&amp;"|"&amp;$D32,'0.3 Squad Archetypes'!$A$5:$A$23,0)),INDEX('0.3 Squad Archetypes'!$H$5:$H$23,MATCH($C32&amp;"|"&amp;$D32,'0.3 Squad Archetypes'!$A$5:$A$23,0))),"check size")</f>
        <v>2.1</v>
      </c>
      <c r="I32" s="1385">
        <f>IFERROR($H32*$G32,"")</f>
        <v>0.42</v>
      </c>
      <c r="J32" s="1385">
        <f>IFERROR($H32*(1-$G32),"")</f>
        <v>1.68</v>
      </c>
      <c r="K32" s="865" t="n"/>
      <c r="L32" s="1360" t="n"/>
      <c r="M32" s="865" t="n"/>
    </row>
    <row r="33" ht="14.25" customHeight="1" s="866">
      <c r="B33" s="1382" t="inlineStr">
        <is>
          <t>Technology Support</t>
        </is>
      </c>
      <c r="C33" s="1392" t="inlineStr">
        <is>
          <t>Operations</t>
        </is>
      </c>
      <c r="D33" s="1392" t="inlineStr">
        <is>
          <t>S</t>
        </is>
      </c>
      <c r="E33" s="1392" t="inlineStr">
        <is>
          <t>Onshore</t>
        </is>
      </c>
      <c r="F33" s="1358" t="inlineStr">
        <is>
          <t>AU</t>
        </is>
      </c>
      <c r="G33" s="1393" t="n">
        <v>0.8</v>
      </c>
      <c r="H33" s="1855">
        <f>IFERROR(IF($E33="Onshore",INDEX('0.3 Squad Archetypes'!$G$5:$G$23,MATCH($C33&amp;"|"&amp;$D33,'0.3 Squad Archetypes'!$A$5:$A$23,0)),INDEX('0.3 Squad Archetypes'!$H$5:$H$23,MATCH($C33&amp;"|"&amp;$D33,'0.3 Squad Archetypes'!$A$5:$A$23,0))),"check size")</f>
        <v>0.8</v>
      </c>
      <c r="I33" s="1385">
        <f>IFERROR($H33*$G33,"")</f>
        <v>0.64</v>
      </c>
      <c r="J33" s="1385">
        <f>IFERROR($H33*(1-$G33),"")</f>
        <v>0.16</v>
      </c>
      <c r="K33" s="865" t="n"/>
      <c r="L33" s="1360" t="n"/>
      <c r="M33" s="865" t="n"/>
    </row>
    <row r="34" ht="14.25" customHeight="1" s="866">
      <c r="B34" s="1382" t="inlineStr">
        <is>
          <t>Platform Overhead</t>
        </is>
      </c>
      <c r="C34" s="1384" t="n"/>
      <c r="D34" s="1384" t="n"/>
      <c r="E34" s="1384" t="n"/>
      <c r="F34" s="1314" t="n"/>
      <c r="G34" s="1384" t="n"/>
      <c r="H34" s="1384" t="n"/>
      <c r="I34" s="1855">
        <f>'0.2 Data Config'!$L$16</f>
        <v>0.165</v>
      </c>
      <c r="J34" s="1384" t="n"/>
      <c r="K34" s="865" t="n"/>
      <c r="L34" s="865" t="n"/>
      <c r="M34" s="865" t="n"/>
    </row>
    <row r="35" ht="14.25" customHeight="1" s="866">
      <c r="B35" s="1389" t="inlineStr">
        <is>
          <t>Manufacturing Total</t>
        </is>
      </c>
      <c r="C35" s="1361" t="n"/>
      <c r="D35" s="1361" t="n"/>
      <c r="E35" s="1361" t="n"/>
      <c r="F35" s="1314" t="n"/>
      <c r="G35" s="1361" t="n"/>
      <c r="H35" s="1390">
        <f>SUM(H32:H33)</f>
        <v>2.9</v>
      </c>
      <c r="I35" s="1390">
        <f>SUM(I32:I34)</f>
        <v>1.225</v>
      </c>
      <c r="J35" s="1390">
        <f>SUM(J32:J33)</f>
        <v>1.84</v>
      </c>
      <c r="K35" s="865" t="n"/>
      <c r="L35" s="865" t="n"/>
      <c r="M35" s="865" t="n"/>
    </row>
    <row r="36" ht="14.25" customHeight="1" s="866">
      <c r="B36" s="865" t="n"/>
      <c r="C36" s="865" t="n"/>
      <c r="D36" s="865" t="n"/>
      <c r="E36" s="865" t="n"/>
      <c r="F36" s="1314" t="n"/>
      <c r="G36" s="865" t="n"/>
      <c r="H36" s="865" t="n"/>
      <c r="I36" s="865" t="n"/>
      <c r="J36" s="865" t="n"/>
      <c r="K36" s="865" t="n"/>
      <c r="L36" s="865" t="n"/>
      <c r="M36" s="865" t="n"/>
    </row>
    <row r="37" ht="19" customHeight="1" s="866">
      <c r="B37" s="1376" t="inlineStr">
        <is>
          <t>Platform: Data &amp; Insights</t>
        </is>
      </c>
      <c r="C37" s="1352" t="n"/>
      <c r="D37" s="1352" t="n"/>
      <c r="E37" s="1352" t="n"/>
      <c r="F37" s="1352" t="n"/>
      <c r="G37" s="1352" t="n"/>
      <c r="H37" s="1352" t="n"/>
      <c r="I37" s="1352" t="n"/>
      <c r="J37" s="1353" t="n"/>
      <c r="K37" s="865" t="n"/>
      <c r="L37" s="865" t="n"/>
      <c r="M37" s="865" t="n"/>
    </row>
    <row r="38" ht="31.5" customHeight="1" s="866">
      <c r="B38" s="1380" t="inlineStr">
        <is>
          <t>Squad</t>
        </is>
      </c>
      <c r="C38" s="1380" t="inlineStr">
        <is>
          <t>Squad Type</t>
        </is>
      </c>
      <c r="D38" s="1380" t="inlineStr">
        <is>
          <t>Size</t>
        </is>
      </c>
      <c r="E38" s="1380" t="inlineStr">
        <is>
          <t>Onshore / Offshore</t>
        </is>
      </c>
      <c r="F38" s="1320" t="inlineStr">
        <is>
          <t>AU / NZ</t>
        </is>
      </c>
      <c r="G38" s="1380" t="inlineStr">
        <is>
          <t>% funded by TDD</t>
        </is>
      </c>
      <c r="H38" s="1380" t="inlineStr">
        <is>
          <t>Total Squad Cost ($m)</t>
        </is>
      </c>
      <c r="I38" s="1380" t="inlineStr">
        <is>
          <t>TDD Cost ($m)</t>
        </is>
      </c>
      <c r="J38" s="1380" t="inlineStr">
        <is>
          <t>Funded outside TDD ($m)</t>
        </is>
      </c>
      <c r="K38" s="865" t="n"/>
      <c r="L38" s="1356" t="n"/>
      <c r="M38" s="865" t="n"/>
    </row>
    <row r="39" ht="14.25" customHeight="1" s="866">
      <c r="B39" s="1382" t="inlineStr">
        <is>
          <t>Data &amp; Insights</t>
        </is>
      </c>
      <c r="C39" s="1392" t="inlineStr">
        <is>
          <t>Configuration / Integration</t>
        </is>
      </c>
      <c r="D39" s="1392" t="inlineStr">
        <is>
          <t>S</t>
        </is>
      </c>
      <c r="E39" s="1392" t="inlineStr">
        <is>
          <t>Onshore</t>
        </is>
      </c>
      <c r="F39" s="1358" t="inlineStr">
        <is>
          <t>AU</t>
        </is>
      </c>
      <c r="G39" s="1393" t="n">
        <v>0.2</v>
      </c>
      <c r="H39" s="1855">
        <f>IFERROR(IF($E39="Onshore",INDEX('0.3 Squad Archetypes'!$G$5:$G$23,MATCH($C39&amp;"|"&amp;$D39,'0.3 Squad Archetypes'!$A$5:$A$23,0)),INDEX('0.3 Squad Archetypes'!$H$5:$H$23,MATCH($C39&amp;"|"&amp;$D39,'0.3 Squad Archetypes'!$A$5:$A$23,0))),"check size")</f>
        <v>1.4</v>
      </c>
      <c r="I39" s="1385">
        <f>IFERROR($H39*$G39,"")</f>
        <v>0.28</v>
      </c>
      <c r="J39" s="1385">
        <f>IFERROR($H39*(1-$G39),"")</f>
        <v>1.12</v>
      </c>
      <c r="K39" s="865" t="inlineStr">
        <is>
          <t>Data team to be worked out</t>
        </is>
      </c>
      <c r="L39" s="1360" t="n"/>
      <c r="M39" s="865" t="n"/>
    </row>
    <row r="40" ht="14.25" customHeight="1" s="866">
      <c r="B40" s="1382" t="inlineStr">
        <is>
          <t>Platform Overhead</t>
        </is>
      </c>
      <c r="C40" s="1384" t="n"/>
      <c r="D40" s="1384" t="n"/>
      <c r="E40" s="1384" t="n"/>
      <c r="F40" s="1314" t="n"/>
      <c r="G40" s="1384" t="n"/>
      <c r="H40" s="1384" t="n"/>
      <c r="I40" s="1855">
        <f>'0.2 Data Config'!$L$16</f>
        <v>0.165</v>
      </c>
      <c r="J40" s="1384" t="n"/>
      <c r="K40" s="865" t="n"/>
      <c r="L40" s="865" t="n"/>
      <c r="M40" s="865" t="n"/>
    </row>
    <row r="41" ht="14.25" customHeight="1" s="866">
      <c r="B41" s="1389" t="inlineStr">
        <is>
          <t>Data &amp; Insights Total</t>
        </is>
      </c>
      <c r="C41" s="1361" t="n"/>
      <c r="D41" s="1361" t="n"/>
      <c r="E41" s="1361" t="n"/>
      <c r="F41" s="1314" t="n"/>
      <c r="G41" s="1361" t="n"/>
      <c r="H41" s="1390">
        <f>SUM(H39:H39)</f>
        <v>1.4</v>
      </c>
      <c r="I41" s="1390">
        <f>SUM(I39:I40)</f>
        <v>0.445</v>
      </c>
      <c r="J41" s="1390">
        <f>SUM(J39:J39)</f>
        <v>1.12</v>
      </c>
      <c r="K41" s="865" t="n"/>
      <c r="L41" s="865" t="n"/>
      <c r="M41" s="865" t="n"/>
    </row>
    <row r="42" ht="14.25" customHeight="1" s="866">
      <c r="B42" s="865" t="n"/>
      <c r="C42" s="865" t="n"/>
      <c r="D42" s="865" t="n"/>
      <c r="E42" s="865" t="n"/>
      <c r="F42" s="1314" t="n"/>
      <c r="G42" s="865" t="n"/>
      <c r="H42" s="865" t="n"/>
      <c r="I42" s="865" t="n"/>
      <c r="J42" s="865" t="n"/>
      <c r="K42" s="865" t="n"/>
      <c r="L42" s="865" t="n"/>
      <c r="M42" s="865" t="n"/>
    </row>
    <row r="43" ht="14.25" customHeight="1" s="866">
      <c r="B43" s="1366" t="n"/>
      <c r="C43" s="1368" t="n"/>
      <c r="D43" s="1314" t="n"/>
      <c r="E43" s="865" t="n"/>
      <c r="F43" s="1314" t="n"/>
      <c r="G43" s="865" t="n"/>
      <c r="H43" s="865" t="n"/>
      <c r="I43" s="865" t="n"/>
      <c r="J43" s="865" t="n"/>
      <c r="K43" s="865" t="n"/>
      <c r="L43" s="865" t="n"/>
      <c r="M43" s="865" t="n"/>
    </row>
    <row r="44" ht="14.25" customHeight="1" s="866">
      <c r="B44" s="1366" t="n"/>
      <c r="C44" s="1368" t="n"/>
      <c r="D44" s="1314" t="n"/>
      <c r="E44" s="865" t="n"/>
      <c r="F44" s="1314" t="n"/>
      <c r="G44" s="865" t="n"/>
      <c r="H44" s="865" t="n"/>
      <c r="I44" s="865" t="n"/>
      <c r="J44" s="865" t="n"/>
      <c r="K44" s="865" t="n"/>
      <c r="L44" s="865" t="n"/>
      <c r="M44" s="865" t="n"/>
    </row>
    <row r="47" ht="19" customHeight="1" s="866">
      <c r="B47" s="1527" t="inlineStr">
        <is>
          <t>Archetype against actual - every squad on this tab</t>
        </is>
      </c>
      <c r="C47" s="1528" t="n"/>
      <c r="D47" s="1528" t="n"/>
      <c r="E47" s="1528" t="n"/>
      <c r="F47" s="1528" t="n"/>
      <c r="G47" s="1528" t="n"/>
      <c r="H47" s="1528" t="n"/>
      <c r="I47" s="1528" t="n"/>
      <c r="J47" s="1528" t="n"/>
      <c r="K47" s="1528" t="n"/>
      <c r="L47" s="1528" t="n"/>
    </row>
    <row r="48" ht="34" customHeight="1" s="866">
      <c r="B48" s="1529" t="inlineStr">
        <is>
          <t>Platform</t>
        </is>
      </c>
      <c r="C48" s="1945" t="n"/>
      <c r="D48" s="1529" t="inlineStr">
        <is>
          <t>Squad</t>
        </is>
      </c>
      <c r="E48" s="1945" t="n"/>
      <c r="F48" s="1945" t="n"/>
      <c r="G48" s="1945" t="n"/>
      <c r="H48" s="1529" t="inlineStr">
        <is>
          <t>Total Squad Cost ($m)</t>
        </is>
      </c>
      <c r="I48" s="1529" t="inlineStr">
        <is>
          <t>TDD Cost ($m)</t>
        </is>
      </c>
      <c r="J48" s="1529" t="inlineStr">
        <is>
          <t>Funded outside TDD ($m)</t>
        </is>
      </c>
      <c r="K48" s="1529" t="inlineStr">
        <is>
          <t>Actual cost after decisions ($m)</t>
        </is>
      </c>
      <c r="L48" s="1529" t="inlineStr">
        <is>
          <t>Variance to archetype ($m)</t>
        </is>
      </c>
    </row>
    <row r="49">
      <c r="B49" s="1788" t="inlineStr">
        <is>
          <t>Distribution</t>
        </is>
      </c>
      <c r="C49" s="1946" t="n"/>
      <c r="D49" s="1788" t="str">
        <f>$B26</f>
        <v>Distribution, Sales &amp; Services</v>
      </c>
      <c r="E49" s="1946" t="n"/>
      <c r="F49" s="1946" t="n"/>
      <c r="G49" s="1946" t="n"/>
      <c r="H49" s="1791">
        <f>IF(H26="","-",H26)</f>
        <v>2.1</v>
      </c>
      <c r="I49" s="1791">
        <f>IF(I26="","-",I26)</f>
        <v>0.42</v>
      </c>
      <c r="J49" s="1791">
        <f>IF(J26="","-",J26)</f>
        <v>1.68</v>
      </c>
      <c r="K49" s="1791">
        <f>IFERROR(INDEX('2.7 Infrastructure'!$P$8:$P$24,MATCH($D49,'2.7 Infrastructure'!$B$8:$B$24,0)),"-")</f>
        <v>2.12727365</v>
      </c>
      <c r="L49" s="1791">
        <f>IF(AND(ISNUMBER($H49),ISNUMBER($K49)),ROUND($K49-$H49,6),"-")</f>
        <v>0.027274</v>
      </c>
    </row>
    <row r="50">
      <c r="B50" s="1535" t="inlineStr">
        <is>
          <t>Distribution total</t>
        </is>
      </c>
      <c r="C50" s="1947" t="n"/>
      <c r="D50" s="1947" t="n"/>
      <c r="E50" s="1947" t="n"/>
      <c r="F50" s="1947" t="n"/>
      <c r="G50" s="1947" t="n"/>
      <c r="H50" s="1771">
        <f>IF(COUNT($H49)=1,SUM($H49),"-")</f>
        <v>2.1</v>
      </c>
      <c r="I50" s="1771">
        <f>IF(COUNT($I49)=1,SUM($I49),"-")</f>
        <v>0.42</v>
      </c>
      <c r="J50" s="1771">
        <f>IF(COUNT($J49)=1,SUM($J49),"-")</f>
        <v>1.68</v>
      </c>
      <c r="K50" s="1771">
        <f>SUM($K49:$K49)</f>
        <v>2.12727365</v>
      </c>
      <c r="L50" s="1771">
        <f>IF(AND(ISNUMBER($H50),ISNUMBER($K50)),ROUND($K50-$H50,6),"-")</f>
        <v>0.027274</v>
      </c>
    </row>
    <row r="51">
      <c r="B51" s="1788" t="inlineStr">
        <is>
          <t>Manufacturing</t>
        </is>
      </c>
      <c r="C51" s="1946" t="n"/>
      <c r="D51" s="1788" t="str">
        <f>$B32</f>
        <v>Manufacturing Group Projects</v>
      </c>
      <c r="E51" s="1946" t="n"/>
      <c r="F51" s="1946" t="n"/>
      <c r="G51" s="1946" t="n"/>
      <c r="H51" s="1791">
        <f>IF(H32="","-",H32)</f>
        <v>2.1</v>
      </c>
      <c r="I51" s="1791">
        <f>IF(I32="","-",I32)</f>
        <v>0.42</v>
      </c>
      <c r="J51" s="1791">
        <f>IF(J32="","-",J32)</f>
        <v>1.68</v>
      </c>
      <c r="K51" s="1791">
        <f>IFERROR(INDEX('2.7 Infrastructure'!$P$8:$P$24,MATCH($D51,'2.7 Infrastructure'!$B$8:$B$24,0)),"-")</f>
        <v>1.9147733</v>
      </c>
      <c r="L51" s="1791">
        <f>IF(AND(ISNUMBER($H51),ISNUMBER($K51)),ROUND($K51-$H51,6),"-")</f>
        <v>-0.185227</v>
      </c>
    </row>
    <row r="52">
      <c r="B52" s="1788" t="inlineStr">
        <is>
          <t>Manufacturing</t>
        </is>
      </c>
      <c r="C52" s="1946" t="n"/>
      <c r="D52" s="1788" t="str">
        <f>$B33</f>
        <v>Technology Support</v>
      </c>
      <c r="E52" s="1946" t="n"/>
      <c r="F52" s="1946" t="n"/>
      <c r="G52" s="1946" t="n"/>
      <c r="H52" s="1791">
        <f>IF(H33="","-",H33)</f>
        <v>0.8</v>
      </c>
      <c r="I52" s="1791">
        <f>IF(I33="","-",I33)</f>
        <v>0.64</v>
      </c>
      <c r="J52" s="1791">
        <f>IF(J33="","-",J33)</f>
        <v>0.16</v>
      </c>
      <c r="K52" s="1791">
        <f>IFERROR(INDEX('2.7 Infrastructure'!$P$8:$P$24,MATCH($D52,'2.7 Infrastructure'!$B$8:$B$24,0)),"-")</f>
        <v>0.74133529</v>
      </c>
      <c r="L52" s="1791">
        <f>IF(AND(ISNUMBER($H52),ISNUMBER($K52)),ROUND($K52-$H52,6),"-")</f>
        <v>-0.058665</v>
      </c>
    </row>
    <row r="53">
      <c r="B53" s="1535" t="inlineStr">
        <is>
          <t>Manufacturing total</t>
        </is>
      </c>
      <c r="C53" s="1947" t="n"/>
      <c r="D53" s="1947" t="n"/>
      <c r="E53" s="1947" t="n"/>
      <c r="F53" s="1947" t="n"/>
      <c r="G53" s="1947" t="n"/>
      <c r="H53" s="1771">
        <f>IF(COUNT($H51,$H52)=2,SUM($H51,$H52),"-")</f>
        <v>2.9</v>
      </c>
      <c r="I53" s="1771">
        <f>IF(COUNT($I51,$I52)=2,SUM($I51,$I52),"-")</f>
        <v>1.06</v>
      </c>
      <c r="J53" s="1771">
        <f>IF(COUNT($J51,$J52)=2,SUM($J51,$J52),"-")</f>
        <v>1.84</v>
      </c>
      <c r="K53" s="1771">
        <f>SUM($K51:$K52)</f>
        <v>2.65610859</v>
      </c>
      <c r="L53" s="1771">
        <f>IF(AND(ISNUMBER($H53),ISNUMBER($K53)),ROUND($K53-$H53,6),"-")</f>
        <v>-0.243891</v>
      </c>
    </row>
    <row r="54">
      <c r="B54" s="1788" t="inlineStr">
        <is>
          <t>Data &amp; Insights</t>
        </is>
      </c>
      <c r="C54" s="1946" t="n"/>
      <c r="D54" s="1788" t="str">
        <f>$B39</f>
        <v>Data &amp; Insights</v>
      </c>
      <c r="E54" s="1946" t="n"/>
      <c r="F54" s="1946" t="n"/>
      <c r="G54" s="1946" t="n"/>
      <c r="H54" s="1791">
        <f>IF(H39="","-",H39)</f>
        <v>1.4</v>
      </c>
      <c r="I54" s="1791">
        <f>IF(I39="","-",I39)</f>
        <v>0.28</v>
      </c>
      <c r="J54" s="1791">
        <f>IF(J39="","-",J39)</f>
        <v>1.12</v>
      </c>
      <c r="K54" s="1791">
        <f>IFERROR(INDEX('2.7 Infrastructure'!$P$8:$P$24,MATCH($D54,'2.7 Infrastructure'!$B$8:$B$24,0)),"-")</f>
        <v>1.51725675</v>
      </c>
      <c r="L54" s="1791">
        <f>IF(AND(ISNUMBER($H54),ISNUMBER($K54)),ROUND($K54-$H54,6),"-")</f>
        <v>0.117257</v>
      </c>
    </row>
    <row r="55">
      <c r="B55" s="1535" t="inlineStr">
        <is>
          <t>Data &amp; Insights total</t>
        </is>
      </c>
      <c r="C55" s="1947" t="n"/>
      <c r="D55" s="1947" t="n"/>
      <c r="E55" s="1947" t="n"/>
      <c r="F55" s="1947" t="n"/>
      <c r="G55" s="1947" t="n"/>
      <c r="H55" s="1771">
        <f>IF(COUNT($H54)=1,SUM($H54),"-")</f>
        <v>1.4</v>
      </c>
      <c r="I55" s="1771">
        <f>IF(COUNT($I54)=1,SUM($I54),"-")</f>
        <v>0.28</v>
      </c>
      <c r="J55" s="1771">
        <f>IF(COUNT($J54)=1,SUM($J54),"-")</f>
        <v>1.12</v>
      </c>
      <c r="K55" s="1771">
        <f>SUM($K54:$K54)</f>
        <v>1.51725675</v>
      </c>
      <c r="L55" s="1771">
        <f>IF(AND(ISNUMBER($H55),ISNUMBER($K55)),ROUND($K55-$H55,6),"-")</f>
        <v>0.117257</v>
      </c>
    </row>
    <row r="56">
      <c r="B56" s="1541" t="inlineStr">
        <is>
          <t>Squads priced by an archetype</t>
        </is>
      </c>
      <c r="C56" s="1948" t="n"/>
      <c r="D56" s="1948" t="n"/>
      <c r="E56" s="1948" t="n"/>
      <c r="F56" s="1948" t="n"/>
      <c r="G56" s="1948" t="n"/>
      <c r="H56" s="1949">
        <f>N($H50)+N($H53)+N($H55)</f>
        <v>6.4</v>
      </c>
      <c r="I56" s="1541" t="n"/>
      <c r="J56" s="1541" t="n"/>
      <c r="K56" s="1949">
        <f>N($K50)+N($K53)+N($K55)</f>
        <v>6.30063899</v>
      </c>
      <c r="L56" s="1949">
        <f>IF(AND(ISNUMBER($H56),ISNUMBER($K56)),ROUND($K56-$H56,6),"-")</f>
        <v>-0.099361</v>
      </c>
    </row>
    <row r="57">
      <c r="B57" s="1788" t="inlineStr">
        <is>
          <t>Overhead roles in this portfolio - no archetype prices them</t>
        </is>
      </c>
      <c r="C57" s="1946" t="n"/>
      <c r="D57" s="1946" t="n"/>
      <c r="E57" s="1946" t="n"/>
      <c r="F57" s="1946" t="n"/>
      <c r="G57" s="1946" t="n"/>
      <c r="H57" s="1791" t="str">
        <f>"-"</f>
        <v>-</v>
      </c>
      <c r="I57" s="1788" t="n"/>
      <c r="J57" s="1788" t="n"/>
      <c r="K57" s="1791">
        <f>N('2.7 Infrastructure'!$P$23)</f>
        <v>1.19105745</v>
      </c>
      <c r="L57" s="1791" t="str">
        <f>"-"</f>
        <v>-</v>
      </c>
    </row>
    <row r="58">
      <c r="B58" s="1788" t="inlineStr">
        <is>
          <t>On the working tab with no row on this tab</t>
        </is>
      </c>
      <c r="C58" s="1946" t="n"/>
      <c r="D58" s="1946" t="n"/>
      <c r="E58" s="1946" t="n"/>
      <c r="F58" s="1946" t="n"/>
      <c r="G58" s="1946" t="n"/>
      <c r="H58" s="1791" t="str">
        <f>"-"</f>
        <v>-</v>
      </c>
      <c r="I58" s="1788" t="n"/>
      <c r="J58" s="1788" t="n"/>
      <c r="K58" s="1791">
        <f>ROUND(N('2.7 Infrastructure'!$P$24)-$K56-$K57,6)</f>
        <v>0.256667</v>
      </c>
      <c r="L58" s="1791" t="str">
        <f>"-"</f>
        <v>-</v>
      </c>
    </row>
    <row r="59">
      <c r="B59" s="1541" t="inlineStr">
        <is>
          <t>Total actual cost after decisions - ties to the working tab</t>
        </is>
      </c>
      <c r="C59" s="1948" t="n"/>
      <c r="D59" s="1948" t="n"/>
      <c r="E59" s="1948" t="n"/>
      <c r="F59" s="1948" t="n"/>
      <c r="G59" s="1948" t="n"/>
      <c r="H59" s="1949" t="str">
        <f>"-"</f>
        <v>-</v>
      </c>
      <c r="I59" s="1541" t="n"/>
      <c r="J59" s="1541" t="n"/>
      <c r="K59" s="1949">
        <f>'2.7 Infrastructure'!$P$24</f>
        <v>7.74836354</v>
      </c>
      <c r="L59" s="1949" t="str">
        <f>"-"</f>
        <v>-</v>
      </c>
    </row>
    <row r="60">
      <c r="B60" s="1788" t="inlineStr">
        <is>
          <t>Control - every line above against the working tab, must be 0</t>
        </is>
      </c>
      <c r="C60" s="1946" t="n"/>
      <c r="D60" s="1946" t="n"/>
      <c r="E60" s="1946" t="n"/>
      <c r="F60" s="1946" t="n"/>
      <c r="G60" s="1946" t="n"/>
      <c r="K60" s="1806">
        <f>ROUND($K56+$K57+$K58-$K59,6)</f>
        <v>0</v>
      </c>
    </row>
  </sheetData>
  <mergeCells count="25">
    <mergeCell ref="B54:C54"/>
    <mergeCell ref="B14:D14"/>
    <mergeCell ref="B60:G60"/>
    <mergeCell ref="H12:K12"/>
    <mergeCell ref="B57:G57"/>
    <mergeCell ref="B13:D13"/>
    <mergeCell ref="D51:G51"/>
    <mergeCell ref="B53:G53"/>
    <mergeCell ref="D54:G54"/>
    <mergeCell ref="B52:C52"/>
    <mergeCell ref="B48:C48"/>
    <mergeCell ref="B37:J37"/>
    <mergeCell ref="B4:E4"/>
    <mergeCell ref="B24:J24"/>
    <mergeCell ref="B30:J30"/>
    <mergeCell ref="B55:G55"/>
    <mergeCell ref="D52:G52"/>
    <mergeCell ref="B50:G50"/>
    <mergeCell ref="D49:G49"/>
    <mergeCell ref="B49:C49"/>
    <mergeCell ref="D48:G48"/>
    <mergeCell ref="B59:G59"/>
    <mergeCell ref="B51:C51"/>
    <mergeCell ref="B56:G56"/>
    <mergeCell ref="B58:G58"/>
  </mergeCells>
  <dataValidations count="5">
    <dataValidation sqref="C26 C32:C33 C39" showDropDown="0" showInputMessage="0" showErrorMessage="1" allowBlank="1" errorTitle="Invalid entry" error="Pick a value from the list" type="list" errorStyle="stop" operator="between">
      <formula1>SquadTypes</formula1>
      <formula2>0</formula2>
    </dataValidation>
    <dataValidation sqref="D26 D32:D33 D39" showDropDown="0" showInputMessage="0" showErrorMessage="1" allowBlank="1" errorTitle="Invalid entry" error="Pick a value from the list" type="list" errorStyle="stop" operator="between">
      <formula1>SquadSizes</formula1>
      <formula2>0</formula2>
    </dataValidation>
    <dataValidation sqref="E26 E32:E33 E39" showDropDown="0" showInputMessage="0" showErrorMessage="1" allowBlank="1" errorTitle="Invalid entry" error="Pick a value from the list" type="list" errorStyle="stop" operator="between">
      <formula1>OnOff</formula1>
      <formula2>0</formula2>
    </dataValidation>
    <dataValidation sqref="G26 G32:G33 G39" showDropDown="0" showInputMessage="0" showErrorMessage="1" allowBlank="1" errorTitle="Invalid entry" error="Pick a value from the list" type="list" errorStyle="stop" operator="between">
      <formula1>SupportPct</formula1>
      <formula2>0</formula2>
    </dataValidation>
    <dataValidation sqref="F26 F32:F33 F39" showDropDown="0" showInputMessage="0" showErrorMessage="1" allowBlank="0" type="list" errorStyle="stop" operator="between">
      <formula1>"AU,NZ"</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6.xml><?xml version="1.0" encoding="utf-8"?>
<worksheet xmlns="http://schemas.openxmlformats.org/spreadsheetml/2006/main">
  <sheetPr filterMode="0">
    <tabColor rgb="FF1F4E79"/>
    <outlinePr summaryBelow="1" summaryRight="1"/>
    <pageSetUpPr fitToPage="1"/>
  </sheetPr>
  <dimension ref="B1:M54"/>
  <sheetViews>
    <sheetView showFormulas="0" showGridLines="0" showRowColHeaders="1" showZeros="1" rightToLeft="0" tabSelected="0" showOutlineSymbols="1" defaultGridColor="1" view="normal" topLeftCell="A1" colorId="64" zoomScale="110" zoomScaleNormal="110" zoomScalePageLayoutView="100" workbookViewId="0">
      <selection pane="topLeft" activeCell="J13" activeCellId="0" sqref="J13"/>
    </sheetView>
  </sheetViews>
  <sheetFormatPr baseColWidth="8" defaultColWidth="8.54296875" defaultRowHeight="14.25" zeroHeight="0" outlineLevelRow="0"/>
  <cols>
    <col width="2" customWidth="1" style="865" min="1" max="1"/>
    <col width="40" customWidth="1" style="865" min="2" max="2"/>
    <col width="26" customWidth="1" style="865" min="3" max="3"/>
    <col width="11" customWidth="1" style="865" min="4" max="4"/>
    <col width="18" customWidth="1" style="865" min="5" max="5"/>
    <col width="10" customWidth="1" style="865" min="6" max="6"/>
    <col width="15" customWidth="1" style="865" min="7" max="7"/>
    <col width="34" customWidth="1" style="865" min="8" max="8"/>
    <col width="14" customWidth="1" style="865" min="9" max="9"/>
    <col width="24" customWidth="1" style="865" min="10" max="10"/>
    <col width="22" customWidth="1" style="865" min="11" max="11"/>
    <col width="30" customWidth="1" style="865" min="12" max="12"/>
  </cols>
  <sheetData>
    <row r="1" ht="14.25" customHeight="1" s="866">
      <c r="B1" s="865" t="n"/>
      <c r="C1" s="865" t="n"/>
      <c r="D1" s="865" t="n"/>
      <c r="E1" s="865" t="n"/>
      <c r="F1" s="1314" t="n"/>
      <c r="G1" s="865" t="n"/>
      <c r="H1" s="865" t="n"/>
      <c r="I1" s="865" t="n"/>
      <c r="J1" s="865" t="n"/>
      <c r="K1" s="865" t="n"/>
      <c r="L1" s="865" t="n"/>
      <c r="M1" s="865" t="n"/>
    </row>
    <row r="2" ht="21" customHeight="1" s="866">
      <c r="B2" s="1315" t="inlineStr">
        <is>
          <t>Energy Solutions &amp; B2B</t>
        </is>
      </c>
      <c r="C2" s="865" t="n"/>
      <c r="D2" s="865" t="n"/>
      <c r="E2" s="865" t="n"/>
      <c r="F2" s="1314" t="n"/>
      <c r="G2" s="865" t="n"/>
      <c r="H2" s="865" t="n"/>
      <c r="I2" s="865" t="n"/>
      <c r="J2" s="865" t="n"/>
      <c r="K2" s="865" t="n"/>
      <c r="L2" s="865" t="n"/>
      <c r="M2" s="865" t="n"/>
    </row>
    <row r="3" ht="14.25" customHeight="1" s="866">
      <c r="B3" s="865" t="n"/>
      <c r="C3" s="865" t="n"/>
      <c r="D3" s="865" t="n"/>
      <c r="E3" s="865" t="n"/>
      <c r="F3" s="1314" t="n"/>
      <c r="G3" s="865" t="n"/>
      <c r="H3" s="865" t="n"/>
      <c r="I3" s="865" t="n"/>
      <c r="J3" s="865" t="n"/>
      <c r="K3" s="865" t="n"/>
      <c r="L3" s="865" t="n"/>
      <c r="M3" s="865" t="n"/>
    </row>
    <row r="4" ht="19" customHeight="1" s="866">
      <c r="B4" s="1316" t="inlineStr">
        <is>
          <t>Portfolio Summary</t>
        </is>
      </c>
      <c r="C4" s="1003" t="n"/>
      <c r="D4" s="1003" t="n"/>
      <c r="E4" s="1004" t="n"/>
      <c r="F4" s="1849" t="n"/>
      <c r="G4" s="865" t="n"/>
      <c r="H4" s="1317" t="inlineStr">
        <is>
          <t>Budget vs TDD Cost</t>
        </is>
      </c>
      <c r="I4" s="1318" t="n"/>
      <c r="J4" s="865" t="n"/>
      <c r="K4" s="865" t="n"/>
      <c r="L4" s="865" t="n"/>
      <c r="M4" s="865" t="n"/>
    </row>
    <row r="5" ht="31.5" customHeight="1" s="866">
      <c r="B5" s="1319" t="inlineStr">
        <is>
          <t>Cost</t>
        </is>
      </c>
      <c r="C5" s="1320" t="inlineStr">
        <is>
          <t>TDD AU ($m)</t>
        </is>
      </c>
      <c r="D5" s="1320" t="inlineStr">
        <is>
          <t>TDD NZ ($m)</t>
        </is>
      </c>
      <c r="E5" s="1320" t="inlineStr">
        <is>
          <t>Other ($m)</t>
        </is>
      </c>
      <c r="F5" s="1320" t="inlineStr">
        <is>
          <t>Total ($m)</t>
        </is>
      </c>
      <c r="G5" s="1420" t="n"/>
      <c r="H5" s="1321" t="inlineStr">
        <is>
          <t>TDD Budget Allocation (people - 0.2 Data Config)</t>
        </is>
      </c>
      <c r="I5" s="1850">
        <f>'0.2 Data Config'!$E$16</f>
        <v>2.5</v>
      </c>
      <c r="J5" s="865" t="n"/>
      <c r="K5" s="865" t="n"/>
      <c r="L5" s="865" t="n"/>
      <c r="M5" s="865" t="n"/>
    </row>
    <row r="6" ht="14.25" customHeight="1" s="866">
      <c r="B6" s="1012" t="inlineStr">
        <is>
          <t>Portfolio Overhead (see 0.2 Data Config)</t>
        </is>
      </c>
      <c r="C6" s="1323">
        <f>IF('0.2 Data Config'!$D$16&gt;'0.2 Data Config'!$C$16,0,'0.2 Data Config'!$L$10)</f>
        <v>0.7975</v>
      </c>
      <c r="D6" s="1323">
        <f>IF('0.2 Data Config'!$D$16&gt;'0.2 Data Config'!$C$16,'0.2 Data Config'!$L$10,0)</f>
        <v>0</v>
      </c>
      <c r="E6" s="1323">
        <f>0</f>
        <v>0</v>
      </c>
      <c r="F6" s="1323">
        <f>C6+D6+E6</f>
        <v>0.7975</v>
      </c>
      <c r="G6" s="1368" t="n"/>
      <c r="H6" s="1369" t="inlineStr">
        <is>
          <t>AU Budget ($m)</t>
        </is>
      </c>
      <c r="I6" s="1323">
        <f>'0.2 Data Config'!$C$16</f>
        <v>2.5</v>
      </c>
      <c r="J6" s="865" t="n"/>
      <c r="K6" s="865" t="n"/>
      <c r="L6" s="865" t="n"/>
      <c r="M6" s="865" t="n"/>
    </row>
    <row r="7" ht="14.25" customHeight="1" s="866">
      <c r="B7" s="1012" t="inlineStr">
        <is>
          <t>Platform Overheads</t>
        </is>
      </c>
      <c r="C7" s="1323">
        <f>IF('0.2 Data Config'!$D$16&gt;'0.2 Data Config'!$C$16,0,SUM(I30,I36))</f>
        <v>0.33</v>
      </c>
      <c r="D7" s="1323">
        <f>IF('0.2 Data Config'!$D$16&gt;'0.2 Data Config'!$C$16,SUM(I30,I36),0)</f>
        <v>0</v>
      </c>
      <c r="E7" s="1323">
        <f>0</f>
        <v>0</v>
      </c>
      <c r="F7" s="1323">
        <f>C7+D7+E7</f>
        <v>0.33</v>
      </c>
      <c r="G7" s="1368" t="n"/>
      <c r="H7" s="1370" t="inlineStr">
        <is>
          <t>NZ Budget ($m)</t>
        </is>
      </c>
      <c r="I7" s="1371">
        <f>'0.2 Data Config'!$D$16</f>
        <v>0</v>
      </c>
      <c r="J7" s="865" t="n"/>
      <c r="K7" s="865" t="n"/>
      <c r="L7" s="865" t="n"/>
      <c r="M7" s="865" t="n"/>
    </row>
    <row r="8" ht="14.25" customHeight="1" s="866">
      <c r="B8" s="1012" t="inlineStr">
        <is>
          <t>Squad Support Costs</t>
        </is>
      </c>
      <c r="C8" s="1323">
        <f>SUMIF($F$28:$F$29,"AU",$I$28:$I$29)+SUMIF($F$35:$F$35,"AU",$I$35:$I$35)</f>
        <v>1.9</v>
      </c>
      <c r="D8" s="1323">
        <f>SUMIF($F$28:$F$29,"NZ",$I$28:$I$29)+SUMIF($F$35:$F$35,"NZ",$I$35:$I$35)</f>
        <v>0</v>
      </c>
      <c r="E8" s="1323">
        <f>SUM($J$28:$J$29)+SUM($J$35:$J$35)</f>
        <v>6</v>
      </c>
      <c r="F8" s="1323">
        <f>C8+D8+E8</f>
        <v>7.9</v>
      </c>
      <c r="G8" s="1368" t="n"/>
      <c r="H8" s="1372" t="inlineStr">
        <is>
          <t>AU over/(under) budget ($m)</t>
        </is>
      </c>
      <c r="I8" s="1373">
        <f>C9-I6</f>
        <v>0.5275</v>
      </c>
      <c r="J8" s="865" t="n"/>
      <c r="K8" s="865" t="n"/>
      <c r="L8" s="865" t="n"/>
      <c r="M8" s="865" t="n"/>
    </row>
    <row r="9" ht="15" customHeight="1" s="866">
      <c r="B9" s="1330" t="inlineStr">
        <is>
          <t>Total Cost</t>
        </is>
      </c>
      <c r="C9" s="1331">
        <f>SUM(C6:C8)</f>
        <v>3.0275</v>
      </c>
      <c r="D9" s="1331">
        <f>SUM(D6:D8)</f>
        <v>0</v>
      </c>
      <c r="E9" s="1331">
        <f>SUM(E6:E8)</f>
        <v>6</v>
      </c>
      <c r="F9" s="1331">
        <f>SUM(F6:F8)</f>
        <v>9.0275</v>
      </c>
      <c r="G9" s="1375" t="n"/>
      <c r="H9" s="1372" t="inlineStr">
        <is>
          <t>NZ over/(under) budget ($m)</t>
        </is>
      </c>
      <c r="I9" s="1373">
        <f>D9-I7</f>
        <v>0</v>
      </c>
      <c r="J9" s="865" t="n"/>
      <c r="K9" s="865" t="n"/>
      <c r="L9" s="865" t="n"/>
      <c r="M9" s="865" t="n"/>
    </row>
    <row r="10" ht="14.25" customHeight="1" s="866">
      <c r="B10" s="865" t="n"/>
      <c r="C10" s="865" t="n"/>
      <c r="D10" s="865" t="n"/>
      <c r="E10" s="865" t="n"/>
      <c r="F10" s="1314" t="n"/>
      <c r="G10" s="865" t="n"/>
      <c r="H10" s="865" t="inlineStr">
        <is>
          <t>TDD over/(under) budget ($m)</t>
        </is>
      </c>
      <c r="I10" s="1421">
        <f>I8+I9</f>
        <v>0.5275</v>
      </c>
      <c r="J10" s="865" t="n"/>
      <c r="K10" s="865" t="n"/>
      <c r="L10" s="865" t="n"/>
      <c r="M10" s="865" t="n"/>
    </row>
    <row r="11" ht="14.25" customFormat="1" customHeight="1" s="865">
      <c r="F11" s="1314" t="n"/>
      <c r="H11" s="1421" t="n"/>
      <c r="I11" s="1421" t="n"/>
    </row>
    <row r="12" ht="31.5" customHeight="1" s="866">
      <c r="B12" s="1377" t="inlineStr">
        <is>
          <t xml:space="preserve">Total Energy Solutions budget </t>
        </is>
      </c>
      <c r="D12" s="1378" t="n"/>
      <c r="E12" s="1379">
        <f>SUM(I13:I20)</f>
        <v>8.9</v>
      </c>
      <c r="F12" s="1314" t="n"/>
      <c r="G12" s="865" t="n"/>
      <c r="H12" s="1380" t="inlineStr">
        <is>
          <t>Budget line</t>
        </is>
      </c>
      <c r="I12" s="1380" t="inlineStr">
        <is>
          <t>Budget ($m)</t>
        </is>
      </c>
      <c r="J12" s="1380" t="inlineStr">
        <is>
          <t>Amount that can be allocated to people</t>
        </is>
      </c>
      <c r="K12" s="1380" t="inlineStr">
        <is>
          <t>Remaining for non-people ($m)</t>
        </is>
      </c>
      <c r="L12" s="865" t="n"/>
      <c r="M12" s="865" t="n"/>
    </row>
    <row r="13" ht="14.25" customHeight="1" s="866">
      <c r="B13" s="1401" t="inlineStr">
        <is>
          <t xml:space="preserve">Reconciled to Finance </t>
        </is>
      </c>
      <c r="D13" s="1378" t="n"/>
      <c r="E13" s="1354">
        <f>N('0.1 Budget Table (Fin)'!Q7)</f>
        <v>7.2</v>
      </c>
      <c r="F13" s="1314" t="n"/>
      <c r="G13" s="865" t="n"/>
      <c r="H13" s="1382" t="inlineStr">
        <is>
          <t>Energy Solutions Lights On</t>
        </is>
      </c>
      <c r="I13" s="1855">
        <f>N('0.1 Budget Table (Fin)'!L7)</f>
        <v>3.9</v>
      </c>
      <c r="J13" s="1432" t="n"/>
      <c r="K13" s="1385">
        <f>IFERROR(I13-J13,0)</f>
        <v>3.9</v>
      </c>
      <c r="L13" s="1402" t="inlineStr">
        <is>
          <t>Notes</t>
        </is>
      </c>
      <c r="M13" s="865" t="n"/>
    </row>
    <row r="14" ht="14.25" customHeight="1" s="866">
      <c r="B14" s="865" t="n"/>
      <c r="C14" s="865" t="n"/>
      <c r="D14" s="865" t="n"/>
      <c r="E14" s="865" t="n"/>
      <c r="F14" s="1314" t="n"/>
      <c r="G14" s="865" t="n"/>
      <c r="H14" s="1382" t="inlineStr">
        <is>
          <t xml:space="preserve">ES OpEx Initiatives </t>
        </is>
      </c>
      <c r="I14" s="1856" t="n">
        <v>2.5</v>
      </c>
      <c r="J14" s="1856" t="n">
        <v>2.5</v>
      </c>
      <c r="K14" s="1385">
        <f>IFERROR(I14-J14,0)</f>
        <v>0</v>
      </c>
      <c r="L14" s="1403" t="n"/>
      <c r="M14" s="865" t="n"/>
    </row>
    <row r="15" ht="14.25" customHeight="1" s="866">
      <c r="B15" s="1336" t="inlineStr">
        <is>
          <t>Funding position ($m)</t>
        </is>
      </c>
      <c r="C15" s="1337" t="n"/>
      <c r="D15" s="865" t="n"/>
      <c r="E15" s="865" t="n"/>
      <c r="F15" s="1314" t="n"/>
      <c r="G15" s="865" t="n"/>
      <c r="H15" s="1382" t="inlineStr">
        <is>
          <t>ES CapEx</t>
        </is>
      </c>
      <c r="I15" s="1856" t="n">
        <v>2.5</v>
      </c>
      <c r="J15" s="1856" t="n">
        <v>2.5</v>
      </c>
      <c r="K15" s="1385">
        <f>IFERROR(I15-J15,0)</f>
        <v>0</v>
      </c>
      <c r="L15" s="1403" t="n"/>
      <c r="M15" s="865" t="n"/>
    </row>
    <row r="16" ht="14.25" customHeight="1" s="866">
      <c r="B16" s="1338" t="inlineStr">
        <is>
          <t>Over/(under) TDD budget</t>
        </is>
      </c>
      <c r="C16" s="1339">
        <f>$I$8+$I$9</f>
        <v>0.5275</v>
      </c>
      <c r="D16" s="865" t="n"/>
      <c r="E16" s="865" t="n"/>
      <c r="F16" s="1314" t="n"/>
      <c r="G16" s="865" t="n"/>
      <c r="H16" s="1449" t="inlineStr">
        <is>
          <t>B2B Lights On</t>
        </is>
      </c>
      <c r="I16" s="1857" t="n"/>
      <c r="J16" s="1857" t="n"/>
      <c r="K16" s="1385" t="n"/>
      <c r="L16" s="1403" t="n"/>
      <c r="M16" s="865" t="n"/>
    </row>
    <row r="17" ht="14.25" customHeight="1" s="866">
      <c r="B17" s="1338" t="inlineStr">
        <is>
          <t>Still to fund outside TDD</t>
        </is>
      </c>
      <c r="C17" s="1339">
        <f>$J23</f>
        <v>-0.5</v>
      </c>
      <c r="D17" s="865" t="n"/>
      <c r="E17" s="1861" t="n"/>
      <c r="F17" s="1314" t="n"/>
      <c r="G17" s="865" t="n"/>
      <c r="H17" s="1449" t="inlineStr">
        <is>
          <t xml:space="preserve">B2B OpEx Initiatives </t>
        </is>
      </c>
      <c r="I17" s="1857" t="n"/>
      <c r="J17" s="1857" t="n"/>
      <c r="K17" s="1385" t="n"/>
      <c r="L17" s="1403" t="n"/>
      <c r="M17" s="865" t="n"/>
    </row>
    <row r="18" ht="14.25" customHeight="1" s="866">
      <c r="B18" s="1344" t="inlineStr">
        <is>
          <t>Total to fund</t>
        </is>
      </c>
      <c r="C18" s="1345">
        <f>$C16+$C17</f>
        <v>0.0274999999999999</v>
      </c>
      <c r="D18" s="865" t="n"/>
      <c r="E18" s="1861" t="n"/>
      <c r="F18" s="1314" t="n"/>
      <c r="G18" s="865" t="n"/>
      <c r="H18" s="1449" t="inlineStr">
        <is>
          <t>B2B CapEx (not yet in the Finance table)</t>
        </is>
      </c>
      <c r="I18" s="1857" t="n"/>
      <c r="J18" s="1856" t="n">
        <v>1.5</v>
      </c>
      <c r="K18" s="1385" t="n"/>
      <c r="L18" s="1403" t="n"/>
      <c r="M18" s="865" t="n"/>
    </row>
    <row r="19" ht="14.25" customHeight="1" s="866">
      <c r="B19" s="865" t="n"/>
      <c r="C19" s="865" t="n"/>
      <c r="D19" s="865" t="n"/>
      <c r="E19" s="865" t="n"/>
      <c r="F19" s="1314" t="n"/>
      <c r="G19" s="865" t="n"/>
      <c r="H19" s="1382" t="inlineStr">
        <is>
          <t>Significant Items</t>
        </is>
      </c>
      <c r="I19" s="1855">
        <f>N('0.1 Budget Table (Fin)'!O7)</f>
        <v>0</v>
      </c>
      <c r="J19" s="1856" t="n">
        <v>0</v>
      </c>
      <c r="K19" s="1385">
        <f>IFERROR(I19-J19,0)</f>
        <v>0</v>
      </c>
      <c r="L19" s="1403" t="n"/>
      <c r="M19" s="865" t="n"/>
    </row>
    <row r="20" ht="14.25" customHeight="1" s="866">
      <c r="B20" s="865" t="n"/>
      <c r="C20" s="865" t="n"/>
      <c r="D20" s="865" t="n"/>
      <c r="E20" s="865" t="n"/>
      <c r="F20" s="1314" t="n"/>
      <c r="G20" s="865" t="n"/>
      <c r="H20" s="1382" t="inlineStr">
        <is>
          <t>Depreciation</t>
        </is>
      </c>
      <c r="I20" s="1855">
        <f>N('0.1 Budget Table (Fin)'!M7)</f>
        <v>0</v>
      </c>
      <c r="J20" s="1856" t="n">
        <v>0</v>
      </c>
      <c r="K20" s="1385">
        <f>IFERROR(I20-J20,0)</f>
        <v>0</v>
      </c>
      <c r="L20" s="1403" t="n"/>
      <c r="M20" s="865" t="n"/>
    </row>
    <row r="21" ht="14.25" customHeight="1" s="866">
      <c r="B21" s="1861" t="n"/>
      <c r="C21" s="865" t="n"/>
      <c r="D21" s="865" t="n"/>
      <c r="E21" s="865" t="n"/>
      <c r="F21" s="1314" t="n"/>
      <c r="G21" s="865" t="n"/>
      <c r="H21" s="1387" t="inlineStr">
        <is>
          <t>Total applied</t>
        </is>
      </c>
      <c r="I21" s="1384" t="n"/>
      <c r="J21" s="1388">
        <f>SUM(J13:J20)</f>
        <v>6.5</v>
      </c>
      <c r="K21" s="1384" t="n"/>
      <c r="L21" s="865" t="n"/>
      <c r="M21" s="865" t="n"/>
    </row>
    <row r="22" ht="14.25" customHeight="1" s="866">
      <c r="B22" s="865" t="n"/>
      <c r="C22" s="865" t="n"/>
      <c r="D22" s="865" t="n"/>
      <c r="E22" s="865" t="n"/>
      <c r="F22" s="1314" t="n"/>
      <c r="G22" s="865" t="n"/>
      <c r="H22" s="1382" t="inlineStr">
        <is>
          <t>Other cost (this model)</t>
        </is>
      </c>
      <c r="I22" s="1384" t="n"/>
      <c r="J22" s="1385">
        <f>E9</f>
        <v>6</v>
      </c>
      <c r="K22" s="1384" t="n"/>
      <c r="L22" s="865" t="n"/>
      <c r="M22" s="865" t="n"/>
    </row>
    <row r="23" ht="14.25" customHeight="1" s="866">
      <c r="B23" s="865" t="n"/>
      <c r="C23" s="865" t="n"/>
      <c r="D23" s="865" t="n"/>
      <c r="E23" s="865" t="n"/>
      <c r="F23" s="1314" t="n"/>
      <c r="G23" s="865" t="n"/>
      <c r="H23" s="1389" t="inlineStr">
        <is>
          <t>Left to fund</t>
        </is>
      </c>
      <c r="I23" s="1384" t="n"/>
      <c r="J23" s="1390">
        <f>E9-(J21-J13-J16)</f>
        <v>-0.5</v>
      </c>
      <c r="K23" s="1384" t="n"/>
      <c r="L23" s="865" t="n"/>
      <c r="M23" s="865" t="n"/>
    </row>
    <row r="24" ht="14.25" customHeight="1" s="866">
      <c r="B24" s="865" t="n"/>
      <c r="C24" s="865" t="n"/>
      <c r="D24" s="865" t="n"/>
      <c r="E24" s="865" t="n"/>
      <c r="F24" s="1314" t="n"/>
      <c r="G24" s="865" t="n"/>
      <c r="H24" s="865" t="n"/>
      <c r="I24" s="865" t="n"/>
      <c r="J24" s="865" t="n"/>
      <c r="K24" s="865" t="n"/>
      <c r="L24" s="865" t="n"/>
      <c r="M24" s="865" t="n"/>
    </row>
    <row r="25" ht="14.25" customHeight="1" s="866">
      <c r="B25" s="865" t="n"/>
      <c r="C25" s="865" t="n"/>
      <c r="D25" s="865" t="n"/>
      <c r="E25" s="865" t="n"/>
      <c r="F25" s="1314" t="n"/>
      <c r="G25" s="865" t="n"/>
      <c r="H25" s="865" t="n"/>
      <c r="I25" s="865" t="n"/>
      <c r="J25" s="865" t="n"/>
      <c r="K25" s="865" t="n"/>
      <c r="L25" s="865" t="n"/>
      <c r="M25" s="865" t="n"/>
    </row>
    <row r="26" ht="19" customHeight="1" s="866">
      <c r="B26" s="1376" t="inlineStr">
        <is>
          <t>Platform: Energy Solutions</t>
        </is>
      </c>
      <c r="C26" s="1352" t="n"/>
      <c r="D26" s="1352" t="n"/>
      <c r="E26" s="1352" t="n"/>
      <c r="F26" s="1352" t="n"/>
      <c r="G26" s="1352" t="n"/>
      <c r="H26" s="1352" t="n"/>
      <c r="I26" s="1352" t="n"/>
      <c r="J26" s="1353" t="n"/>
      <c r="K26" s="865" t="n"/>
      <c r="L26" s="865" t="n"/>
      <c r="M26" s="865" t="n"/>
    </row>
    <row r="27" ht="31.5" customHeight="1" s="866">
      <c r="B27" s="1380" t="inlineStr">
        <is>
          <t>Squad</t>
        </is>
      </c>
      <c r="C27" s="1380" t="inlineStr">
        <is>
          <t>Squad Type</t>
        </is>
      </c>
      <c r="D27" s="1380" t="inlineStr">
        <is>
          <t>Size</t>
        </is>
      </c>
      <c r="E27" s="1380" t="inlineStr">
        <is>
          <t>Onshore / Offshore</t>
        </is>
      </c>
      <c r="F27" s="1320" t="inlineStr">
        <is>
          <t>AU / NZ</t>
        </is>
      </c>
      <c r="G27" s="1380" t="inlineStr">
        <is>
          <t>% funded by TDD</t>
        </is>
      </c>
      <c r="H27" s="1380" t="inlineStr">
        <is>
          <t>Total Squad Cost ($m)</t>
        </is>
      </c>
      <c r="I27" s="1380" t="inlineStr">
        <is>
          <t>TDD Cost ($m)</t>
        </is>
      </c>
      <c r="J27" s="1380" t="inlineStr">
        <is>
          <t>Funded outside TDD ($m)</t>
        </is>
      </c>
      <c r="K27" s="865" t="n"/>
      <c r="L27" s="1356" t="n"/>
      <c r="M27" s="865" t="n"/>
    </row>
    <row r="28" ht="14.25" customHeight="1" s="866">
      <c r="B28" s="1382" t="inlineStr">
        <is>
          <t>Energy</t>
        </is>
      </c>
      <c r="C28" s="1392" t="inlineStr">
        <is>
          <t>Engineering</t>
        </is>
      </c>
      <c r="D28" s="1392" t="inlineStr">
        <is>
          <t>L</t>
        </is>
      </c>
      <c r="E28" s="1392" t="inlineStr">
        <is>
          <t>Onshore</t>
        </is>
      </c>
      <c r="F28" s="1358" t="inlineStr">
        <is>
          <t>AU</t>
        </is>
      </c>
      <c r="G28" s="1393" t="n">
        <v>0.2</v>
      </c>
      <c r="H28" s="1855">
        <f>IFERROR(IF($E28="Onshore",INDEX('0.3 Squad Archetypes'!$G$5:$G$23,MATCH($C28&amp;"|"&amp;$D28,'0.3 Squad Archetypes'!$A$5:$A$23,0)),INDEX('0.3 Squad Archetypes'!$H$5:$H$23,MATCH($C28&amp;"|"&amp;$D28,'0.3 Squad Archetypes'!$A$5:$A$23,0))),"check size")</f>
        <v>2.7</v>
      </c>
      <c r="I28" s="1385">
        <f>IFERROR($H28*$G28,"")</f>
        <v>0.54</v>
      </c>
      <c r="J28" s="1385">
        <f>IFERROR($H28*(1-$G28),"")</f>
        <v>2.16</v>
      </c>
      <c r="K28" s="865" t="n"/>
      <c r="L28" s="1360" t="n"/>
      <c r="M28" s="865" t="n"/>
    </row>
    <row r="29" ht="14.25" customHeight="1" s="866">
      <c r="B29" s="1382" t="inlineStr">
        <is>
          <t>EVCI</t>
        </is>
      </c>
      <c r="C29" s="1392" t="inlineStr">
        <is>
          <t>Engineering</t>
        </is>
      </c>
      <c r="D29" s="1392" t="inlineStr">
        <is>
          <t>M</t>
        </is>
      </c>
      <c r="E29" s="1392" t="inlineStr">
        <is>
          <t>Onshore</t>
        </is>
      </c>
      <c r="F29" s="1358" t="inlineStr">
        <is>
          <t>AU</t>
        </is>
      </c>
      <c r="G29" s="1393" t="n">
        <v>0.2</v>
      </c>
      <c r="H29" s="1855">
        <f>IFERROR(IF($E29="Onshore",INDEX('0.3 Squad Archetypes'!$G$5:$G$23,MATCH($C29&amp;"|"&amp;$D29,'0.3 Squad Archetypes'!$A$5:$A$23,0)),INDEX('0.3 Squad Archetypes'!$H$5:$H$23,MATCH($C29&amp;"|"&amp;$D29,'0.3 Squad Archetypes'!$A$5:$A$23,0))),"check size")</f>
        <v>2</v>
      </c>
      <c r="I29" s="1385">
        <f>IFERROR($H29*$G29,"")</f>
        <v>0.4</v>
      </c>
      <c r="J29" s="1385">
        <f>IFERROR($H29*(1-$G29),"")</f>
        <v>1.6</v>
      </c>
      <c r="K29" s="865" t="n"/>
      <c r="L29" s="1360" t="n"/>
      <c r="M29" s="865" t="n"/>
    </row>
    <row r="30" ht="14.25" customHeight="1" s="866">
      <c r="B30" s="1382" t="inlineStr">
        <is>
          <t>Platform Overhead</t>
        </is>
      </c>
      <c r="C30" s="1384" t="n"/>
      <c r="D30" s="1384" t="n"/>
      <c r="E30" s="1384" t="n"/>
      <c r="F30" s="1314" t="n"/>
      <c r="G30" s="1384" t="n"/>
      <c r="H30" s="1384" t="n"/>
      <c r="I30" s="1855">
        <f>'0.2 Data Config'!$L$16</f>
        <v>0.165</v>
      </c>
      <c r="J30" s="1384" t="n"/>
      <c r="K30" s="865" t="n"/>
      <c r="L30" s="865" t="n"/>
      <c r="M30" s="865" t="n"/>
    </row>
    <row r="31" ht="14.25" customHeight="1" s="866">
      <c r="B31" s="1389" t="inlineStr">
        <is>
          <t>Energy Solutions Total</t>
        </is>
      </c>
      <c r="C31" s="1361" t="n"/>
      <c r="D31" s="1361" t="n"/>
      <c r="E31" s="1361" t="n"/>
      <c r="F31" s="1314" t="n"/>
      <c r="G31" s="1361" t="n"/>
      <c r="H31" s="1390">
        <f>SUM(H28:H29)</f>
        <v>4.7</v>
      </c>
      <c r="I31" s="1390">
        <f>SUM(I28:I30)</f>
        <v>1.105</v>
      </c>
      <c r="J31" s="1390">
        <f>SUM(J28:J29)</f>
        <v>3.76</v>
      </c>
      <c r="K31" s="865" t="n"/>
      <c r="L31" s="865" t="n"/>
      <c r="M31" s="865" t="n"/>
    </row>
    <row r="32" ht="14.25" customHeight="1" s="866">
      <c r="B32" s="865" t="n"/>
      <c r="C32" s="865" t="n"/>
      <c r="D32" s="865" t="n"/>
      <c r="E32" s="865" t="n"/>
      <c r="F32" s="1314" t="n"/>
      <c r="G32" s="865" t="n"/>
      <c r="H32" s="865" t="n"/>
      <c r="I32" s="865" t="n"/>
      <c r="J32" s="865" t="n"/>
      <c r="K32" s="865" t="n"/>
      <c r="L32" s="865" t="n"/>
      <c r="M32" s="865" t="n"/>
    </row>
    <row r="33" ht="19" customHeight="1" s="866">
      <c r="B33" s="1376" t="inlineStr">
        <is>
          <t>Platform: B2B</t>
        </is>
      </c>
      <c r="C33" s="1352" t="n"/>
      <c r="D33" s="1352" t="n"/>
      <c r="E33" s="1352" t="n"/>
      <c r="F33" s="1352" t="n"/>
      <c r="G33" s="1352" t="n"/>
      <c r="H33" s="1352" t="n"/>
      <c r="I33" s="1352" t="n"/>
      <c r="J33" s="1353" t="n"/>
      <c r="K33" s="865" t="n"/>
      <c r="L33" s="865" t="n"/>
      <c r="M33" s="865" t="n"/>
    </row>
    <row r="34" ht="31.5" customHeight="1" s="866">
      <c r="B34" s="1380" t="inlineStr">
        <is>
          <t>Squad</t>
        </is>
      </c>
      <c r="C34" s="1380" t="inlineStr">
        <is>
          <t>Squad Type</t>
        </is>
      </c>
      <c r="D34" s="1380" t="inlineStr">
        <is>
          <t>Size</t>
        </is>
      </c>
      <c r="E34" s="1380" t="inlineStr">
        <is>
          <t>Onshore / Offshore</t>
        </is>
      </c>
      <c r="F34" s="1320" t="inlineStr">
        <is>
          <t>AU / NZ</t>
        </is>
      </c>
      <c r="G34" s="1380" t="inlineStr">
        <is>
          <t>% funded by TDD</t>
        </is>
      </c>
      <c r="H34" s="1380" t="inlineStr">
        <is>
          <t>Total Squad Cost ($m)</t>
        </is>
      </c>
      <c r="I34" s="1380" t="inlineStr">
        <is>
          <t>TDD Cost ($m)</t>
        </is>
      </c>
      <c r="J34" s="1380" t="inlineStr">
        <is>
          <t>Funded outside TDD ($m)</t>
        </is>
      </c>
      <c r="K34" s="865" t="n"/>
      <c r="L34" s="1356" t="n"/>
      <c r="M34" s="865" t="n"/>
    </row>
    <row r="35" ht="14.25" customHeight="1" s="866">
      <c r="B35" s="1382" t="inlineStr">
        <is>
          <t>B2B</t>
        </is>
      </c>
      <c r="C35" s="1392" t="inlineStr">
        <is>
          <t>Configuration / Integration</t>
        </is>
      </c>
      <c r="D35" s="1392" t="inlineStr">
        <is>
          <t>L</t>
        </is>
      </c>
      <c r="E35" s="1392" t="inlineStr">
        <is>
          <t>Onshore</t>
        </is>
      </c>
      <c r="F35" s="1358" t="inlineStr">
        <is>
          <t>AU</t>
        </is>
      </c>
      <c r="G35" s="1393" t="n">
        <v>0.3</v>
      </c>
      <c r="H35" s="1855">
        <f>IFERROR(IF($E35="Onshore",INDEX('0.3 Squad Archetypes'!$G$5:$G$23,MATCH($C35&amp;"|"&amp;$D35,'0.3 Squad Archetypes'!$A$5:$A$23,0)),INDEX('0.3 Squad Archetypes'!$H$5:$H$23,MATCH($C35&amp;"|"&amp;$D35,'0.3 Squad Archetypes'!$A$5:$A$23,0))),"check size")</f>
        <v>3.2</v>
      </c>
      <c r="I35" s="1385">
        <f>IFERROR($H35*$G35,"")</f>
        <v>0.96</v>
      </c>
      <c r="J35" s="1385">
        <f>IFERROR($H35*(1-$G35),"")</f>
        <v>2.24</v>
      </c>
      <c r="K35" s="865" t="n"/>
      <c r="L35" s="1360" t="n"/>
      <c r="M35" s="865" t="n"/>
    </row>
    <row r="36" ht="14.25" customHeight="1" s="866">
      <c r="B36" s="1382" t="inlineStr">
        <is>
          <t>Platform Overhead</t>
        </is>
      </c>
      <c r="C36" s="1384" t="n"/>
      <c r="D36" s="1384" t="n"/>
      <c r="E36" s="1384" t="n"/>
      <c r="F36" s="1314" t="n"/>
      <c r="G36" s="1384" t="n"/>
      <c r="H36" s="1384" t="n"/>
      <c r="I36" s="1855">
        <f>'0.2 Data Config'!$L$16</f>
        <v>0.165</v>
      </c>
      <c r="J36" s="1384" t="n"/>
      <c r="K36" s="865" t="n"/>
      <c r="L36" s="865" t="n"/>
      <c r="M36" s="865" t="n"/>
    </row>
    <row r="37" ht="14.25" customHeight="1" s="866">
      <c r="B37" s="1389" t="inlineStr">
        <is>
          <t>B2B Total</t>
        </is>
      </c>
      <c r="C37" s="1361" t="n"/>
      <c r="D37" s="1361" t="n"/>
      <c r="E37" s="1361" t="n"/>
      <c r="F37" s="1314" t="n"/>
      <c r="G37" s="1361" t="n"/>
      <c r="H37" s="1390">
        <f>SUM(H35:H35)</f>
        <v>3.2</v>
      </c>
      <c r="I37" s="1390">
        <f>SUM(I35:I36)</f>
        <v>1.125</v>
      </c>
      <c r="J37" s="1390">
        <f>SUM(J35:J35)</f>
        <v>2.24</v>
      </c>
      <c r="K37" s="865" t="n"/>
      <c r="L37" s="865" t="n"/>
      <c r="M37" s="865" t="n"/>
    </row>
    <row r="38" ht="14.25" customHeight="1" s="866">
      <c r="B38" s="865" t="n"/>
      <c r="C38" s="865" t="n"/>
      <c r="D38" s="865" t="n"/>
      <c r="E38" s="865" t="n"/>
      <c r="F38" s="1314" t="n"/>
      <c r="G38" s="865" t="n"/>
      <c r="H38" s="865" t="n"/>
      <c r="I38" s="865" t="n"/>
      <c r="J38" s="865" t="n"/>
      <c r="K38" s="865" t="n"/>
      <c r="L38" s="865" t="n"/>
      <c r="M38" s="865" t="n"/>
    </row>
    <row r="39" ht="14.25" customHeight="1" s="866">
      <c r="B39" s="1366" t="n"/>
      <c r="C39" s="1368" t="n"/>
      <c r="D39" s="1314" t="n"/>
      <c r="E39" s="865" t="n"/>
      <c r="F39" s="1314" t="n"/>
      <c r="G39" s="865" t="n"/>
      <c r="H39" s="865" t="n"/>
      <c r="I39" s="865" t="n"/>
      <c r="J39" s="865" t="n"/>
      <c r="K39" s="865" t="n"/>
      <c r="L39" s="865" t="n"/>
      <c r="M39" s="865" t="n"/>
    </row>
    <row r="40" ht="14.25" customHeight="1" s="866">
      <c r="B40" s="1366" t="n"/>
      <c r="C40" s="1368" t="n"/>
      <c r="D40" s="1314" t="n"/>
      <c r="E40" s="865" t="n"/>
      <c r="F40" s="1314" t="n"/>
      <c r="G40" s="865" t="n"/>
      <c r="H40" s="865" t="n"/>
      <c r="I40" s="865" t="n"/>
      <c r="J40" s="865" t="n"/>
      <c r="K40" s="865" t="n"/>
      <c r="L40" s="865" t="n"/>
      <c r="M40" s="865" t="n"/>
    </row>
    <row r="43" ht="19" customHeight="1" s="866">
      <c r="B43" s="1527" t="inlineStr">
        <is>
          <t>Archetype against actual - every squad on this tab</t>
        </is>
      </c>
      <c r="C43" s="1528" t="n"/>
      <c r="D43" s="1528" t="n"/>
      <c r="E43" s="1528" t="n"/>
      <c r="F43" s="1528" t="n"/>
      <c r="G43" s="1528" t="n"/>
      <c r="H43" s="1528" t="n"/>
      <c r="I43" s="1528" t="n"/>
      <c r="J43" s="1528" t="n"/>
      <c r="K43" s="1528" t="n"/>
      <c r="L43" s="1528" t="n"/>
    </row>
    <row r="44" ht="34" customHeight="1" s="866">
      <c r="B44" s="1529" t="inlineStr">
        <is>
          <t>Platform</t>
        </is>
      </c>
      <c r="C44" s="1945" t="n"/>
      <c r="D44" s="1529" t="inlineStr">
        <is>
          <t>Squad</t>
        </is>
      </c>
      <c r="E44" s="1945" t="n"/>
      <c r="F44" s="1945" t="n"/>
      <c r="G44" s="1945" t="n"/>
      <c r="H44" s="1529" t="inlineStr">
        <is>
          <t>Total Squad Cost ($m)</t>
        </is>
      </c>
      <c r="I44" s="1529" t="inlineStr">
        <is>
          <t>TDD Cost ($m)</t>
        </is>
      </c>
      <c r="J44" s="1529" t="inlineStr">
        <is>
          <t>Funded outside TDD ($m)</t>
        </is>
      </c>
      <c r="K44" s="1529" t="inlineStr">
        <is>
          <t>Actual cost after decisions ($m)</t>
        </is>
      </c>
      <c r="L44" s="1529" t="inlineStr">
        <is>
          <t>Variance to archetype ($m)</t>
        </is>
      </c>
    </row>
    <row r="45">
      <c r="B45" s="1788" t="inlineStr">
        <is>
          <t>Energy Solutions</t>
        </is>
      </c>
      <c r="C45" s="1946" t="n"/>
      <c r="D45" s="1788" t="str">
        <f>$B28</f>
        <v>Energy</v>
      </c>
      <c r="E45" s="1946" t="n"/>
      <c r="F45" s="1946" t="n"/>
      <c r="G45" s="1946" t="n"/>
      <c r="H45" s="1791">
        <f>IF(H28="","-",H28)</f>
        <v>2.7</v>
      </c>
      <c r="I45" s="1791">
        <f>IF(I28="","-",I28)</f>
        <v>0.54</v>
      </c>
      <c r="J45" s="1791">
        <f>IF(J28="","-",J28)</f>
        <v>2.16</v>
      </c>
      <c r="K45" s="1791">
        <f>IFERROR(INDEX('2.8 Energy Solutions &amp; B2B'!$P$8:$P$23,MATCH($D45,'2.8 Energy Solutions &amp; B2B'!$B$8:$B$23,0)),"-")</f>
        <v>1.803563966</v>
      </c>
      <c r="L45" s="1791">
        <f>IF(AND(ISNUMBER($H45),ISNUMBER($K45)),ROUND($K45-$H45,6),"-")</f>
        <v>-0.896436</v>
      </c>
    </row>
    <row r="46">
      <c r="B46" s="1788" t="inlineStr">
        <is>
          <t>Energy Solutions</t>
        </is>
      </c>
      <c r="C46" s="1946" t="n"/>
      <c r="D46" s="1788" t="str">
        <f>$B29</f>
        <v>EVCI</v>
      </c>
      <c r="E46" s="1946" t="n"/>
      <c r="F46" s="1946" t="n"/>
      <c r="G46" s="1946" t="n"/>
      <c r="H46" s="1791">
        <f>IF(H29="","-",H29)</f>
        <v>2</v>
      </c>
      <c r="I46" s="1791">
        <f>IF(I29="","-",I29)</f>
        <v>0.4</v>
      </c>
      <c r="J46" s="1791">
        <f>IF(J29="","-",J29)</f>
        <v>1.6</v>
      </c>
      <c r="K46" s="1791">
        <f>IFERROR(INDEX('2.8 Energy Solutions &amp; B2B'!$P$8:$P$23,MATCH($D46,'2.8 Energy Solutions &amp; B2B'!$B$8:$B$23,0)),"-")</f>
        <v>0.930799292</v>
      </c>
      <c r="L46" s="1791">
        <f>IF(AND(ISNUMBER($H46),ISNUMBER($K46)),ROUND($K46-$H46,6),"-")</f>
        <v>-1.069201</v>
      </c>
    </row>
    <row r="47">
      <c r="B47" s="1535" t="inlineStr">
        <is>
          <t>Energy Solutions total</t>
        </is>
      </c>
      <c r="C47" s="1947" t="n"/>
      <c r="D47" s="1947" t="n"/>
      <c r="E47" s="1947" t="n"/>
      <c r="F47" s="1947" t="n"/>
      <c r="G47" s="1947" t="n"/>
      <c r="H47" s="1771">
        <f>IF(COUNT($H45,$H46)=2,SUM($H45,$H46),"-")</f>
        <v>4.7</v>
      </c>
      <c r="I47" s="1771">
        <f>IF(COUNT($I45,$I46)=2,SUM($I45,$I46),"-")</f>
        <v>0.94</v>
      </c>
      <c r="J47" s="1771">
        <f>IF(COUNT($J45,$J46)=2,SUM($J45,$J46),"-")</f>
        <v>3.76</v>
      </c>
      <c r="K47" s="1771">
        <f>SUM($K45:$K46)</f>
        <v>2.734363258</v>
      </c>
      <c r="L47" s="1771">
        <f>IF(AND(ISNUMBER($H47),ISNUMBER($K47)),ROUND($K47-$H47,6),"-")</f>
        <v>-1.965637</v>
      </c>
    </row>
    <row r="48">
      <c r="B48" s="1788" t="inlineStr">
        <is>
          <t>B2B</t>
        </is>
      </c>
      <c r="C48" s="1946" t="n"/>
      <c r="D48" s="1788" t="str">
        <f>$B35</f>
        <v>B2B</v>
      </c>
      <c r="E48" s="1946" t="n"/>
      <c r="F48" s="1946" t="n"/>
      <c r="G48" s="1946" t="n"/>
      <c r="H48" s="1791">
        <f>IF(H35="","-",H35)</f>
        <v>3.2</v>
      </c>
      <c r="I48" s="1791">
        <f>IF(I35="","-",I35)</f>
        <v>0.96</v>
      </c>
      <c r="J48" s="1791">
        <f>IF(J35="","-",J35)</f>
        <v>2.24</v>
      </c>
      <c r="K48" s="1791">
        <f>IFERROR(INDEX('2.8 Energy Solutions &amp; B2B'!$P$8:$P$23,MATCH($D48,'2.8 Energy Solutions &amp; B2B'!$B$8:$B$23,0)),"-")</f>
        <v>2.59351107</v>
      </c>
      <c r="L48" s="1791">
        <f>IF(AND(ISNUMBER($H48),ISNUMBER($K48)),ROUND($K48-$H48,6),"-")</f>
        <v>-0.606489</v>
      </c>
    </row>
    <row r="49">
      <c r="B49" s="1535" t="inlineStr">
        <is>
          <t>B2B total</t>
        </is>
      </c>
      <c r="C49" s="1947" t="n"/>
      <c r="D49" s="1947" t="n"/>
      <c r="E49" s="1947" t="n"/>
      <c r="F49" s="1947" t="n"/>
      <c r="G49" s="1947" t="n"/>
      <c r="H49" s="1771">
        <f>IF(COUNT($H48)=1,SUM($H48),"-")</f>
        <v>3.2</v>
      </c>
      <c r="I49" s="1771">
        <f>IF(COUNT($I48)=1,SUM($I48),"-")</f>
        <v>0.96</v>
      </c>
      <c r="J49" s="1771">
        <f>IF(COUNT($J48)=1,SUM($J48),"-")</f>
        <v>2.24</v>
      </c>
      <c r="K49" s="1771">
        <f>SUM($K48:$K48)</f>
        <v>2.59351107</v>
      </c>
      <c r="L49" s="1771">
        <f>IF(AND(ISNUMBER($H49),ISNUMBER($K49)),ROUND($K49-$H49,6),"-")</f>
        <v>-0.606489</v>
      </c>
    </row>
    <row r="50">
      <c r="B50" s="1541" t="inlineStr">
        <is>
          <t>Squads priced by an archetype</t>
        </is>
      </c>
      <c r="C50" s="1948" t="n"/>
      <c r="D50" s="1948" t="n"/>
      <c r="E50" s="1948" t="n"/>
      <c r="F50" s="1948" t="n"/>
      <c r="G50" s="1948" t="n"/>
      <c r="H50" s="1949">
        <f>N($H47)+N($H49)</f>
        <v>7.9</v>
      </c>
      <c r="I50" s="1541" t="n"/>
      <c r="J50" s="1541" t="n"/>
      <c r="K50" s="1949">
        <f>N($K47)+N($K49)</f>
        <v>5.327874328</v>
      </c>
      <c r="L50" s="1949">
        <f>IF(AND(ISNUMBER($H50),ISNUMBER($K50)),ROUND($K50-$H50,6),"-")</f>
        <v>-2.572126</v>
      </c>
    </row>
    <row r="51">
      <c r="B51" s="1788" t="inlineStr">
        <is>
          <t>Overhead roles in this portfolio - no archetype prices them</t>
        </is>
      </c>
      <c r="C51" s="1946" t="n"/>
      <c r="D51" s="1946" t="n"/>
      <c r="E51" s="1946" t="n"/>
      <c r="F51" s="1946" t="n"/>
      <c r="G51" s="1946" t="n"/>
      <c r="H51" s="1791" t="str">
        <f>"-"</f>
        <v>-</v>
      </c>
      <c r="I51" s="1788" t="n"/>
      <c r="J51" s="1788" t="n"/>
      <c r="K51" s="1791">
        <f>N('2.8 Energy Solutions &amp; B2B'!$P$22)</f>
        <v>1.11994195</v>
      </c>
      <c r="L51" s="1791" t="str">
        <f>"-"</f>
        <v>-</v>
      </c>
    </row>
    <row r="52">
      <c r="B52" s="1788" t="inlineStr">
        <is>
          <t>On the working tab with no row on this tab</t>
        </is>
      </c>
      <c r="C52" s="1946" t="n"/>
      <c r="D52" s="1946" t="n"/>
      <c r="E52" s="1946" t="n"/>
      <c r="F52" s="1946" t="n"/>
      <c r="G52" s="1946" t="n"/>
      <c r="H52" s="1791" t="str">
        <f>"-"</f>
        <v>-</v>
      </c>
      <c r="I52" s="1788" t="n"/>
      <c r="J52" s="1788" t="n"/>
      <c r="K52" s="1791">
        <f>ROUND(N('2.8 Energy Solutions &amp; B2B'!$P$23)-$K50-$K51,6)</f>
        <v>0</v>
      </c>
      <c r="L52" s="1791" t="str">
        <f>"-"</f>
        <v>-</v>
      </c>
    </row>
    <row r="53">
      <c r="B53" s="1541" t="inlineStr">
        <is>
          <t>Total actual cost after decisions - ties to the working tab</t>
        </is>
      </c>
      <c r="C53" s="1948" t="n"/>
      <c r="D53" s="1948" t="n"/>
      <c r="E53" s="1948" t="n"/>
      <c r="F53" s="1948" t="n"/>
      <c r="G53" s="1948" t="n"/>
      <c r="H53" s="1949" t="str">
        <f>"-"</f>
        <v>-</v>
      </c>
      <c r="I53" s="1541" t="n"/>
      <c r="J53" s="1541" t="n"/>
      <c r="K53" s="1949">
        <f>'2.8 Energy Solutions &amp; B2B'!$P$23</f>
        <v>6.447816278</v>
      </c>
      <c r="L53" s="1949" t="str">
        <f>"-"</f>
        <v>-</v>
      </c>
    </row>
    <row r="54">
      <c r="B54" s="1788" t="inlineStr">
        <is>
          <t>Control - every line above against the working tab, must be 0</t>
        </is>
      </c>
      <c r="C54" s="1946" t="n"/>
      <c r="D54" s="1946" t="n"/>
      <c r="E54" s="1946" t="n"/>
      <c r="F54" s="1946" t="n"/>
      <c r="G54" s="1946" t="n"/>
      <c r="K54" s="1806">
        <f>ROUND($K50+$K51+$K52-$K53,6)</f>
        <v>0</v>
      </c>
    </row>
  </sheetData>
  <mergeCells count="20">
    <mergeCell ref="B46:C46"/>
    <mergeCell ref="B13:D13"/>
    <mergeCell ref="B53:G53"/>
    <mergeCell ref="B48:C48"/>
    <mergeCell ref="B4:E4"/>
    <mergeCell ref="D44:G44"/>
    <mergeCell ref="B49:G49"/>
    <mergeCell ref="D46:G46"/>
    <mergeCell ref="B33:J33"/>
    <mergeCell ref="B51:G51"/>
    <mergeCell ref="B44:C44"/>
    <mergeCell ref="D45:G45"/>
    <mergeCell ref="B26:J26"/>
    <mergeCell ref="B50:G50"/>
    <mergeCell ref="B12:D12"/>
    <mergeCell ref="B47:G47"/>
    <mergeCell ref="B54:G54"/>
    <mergeCell ref="D48:G48"/>
    <mergeCell ref="B45:C45"/>
    <mergeCell ref="B52:G52"/>
  </mergeCells>
  <dataValidations count="5">
    <dataValidation sqref="C28:C29 C35" showDropDown="0" showInputMessage="0" showErrorMessage="1" allowBlank="1" errorTitle="Invalid entry" error="Pick a value from the list" type="list" errorStyle="stop" operator="between">
      <formula1>SquadTypes</formula1>
      <formula2>0</formula2>
    </dataValidation>
    <dataValidation sqref="D28:D29 D35" showDropDown="0" showInputMessage="0" showErrorMessage="1" allowBlank="1" errorTitle="Invalid entry" error="Pick a value from the list" type="list" errorStyle="stop" operator="between">
      <formula1>SquadSizes</formula1>
      <formula2>0</formula2>
    </dataValidation>
    <dataValidation sqref="E28:E29 E35" showDropDown="0" showInputMessage="0" showErrorMessage="1" allowBlank="1" errorTitle="Invalid entry" error="Pick a value from the list" type="list" errorStyle="stop" operator="between">
      <formula1>OnOff</formula1>
      <formula2>0</formula2>
    </dataValidation>
    <dataValidation sqref="G28:G29 G35" showDropDown="0" showInputMessage="0" showErrorMessage="1" allowBlank="1" errorTitle="Invalid entry" error="Pick a value from the list" type="list" errorStyle="stop" operator="between">
      <formula1>SupportPct</formula1>
      <formula2>0</formula2>
    </dataValidation>
    <dataValidation sqref="F28:F29 F35" showDropDown="0" showInputMessage="0" showErrorMessage="1" allowBlank="0" type="list" errorStyle="stop" operator="between">
      <formula1>"AU,NZ"</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7.xml><?xml version="1.0" encoding="utf-8"?>
<worksheet xmlns="http://schemas.openxmlformats.org/spreadsheetml/2006/main">
  <sheetPr filterMode="0">
    <tabColor rgb="FF1F4E79"/>
    <outlinePr summaryBelow="1" summaryRight="1"/>
    <pageSetUpPr fitToPage="1"/>
  </sheetPr>
  <dimension ref="B1:S60"/>
  <sheetViews>
    <sheetView showFormulas="0" showGridLines="0" showRowColHeaders="1" showZeros="1" rightToLeft="0" tabSelected="0" showOutlineSymbols="1" defaultGridColor="1" view="normal" topLeftCell="A1" colorId="64" zoomScale="110" zoomScaleNormal="110" zoomScalePageLayoutView="100" workbookViewId="0">
      <selection pane="topLeft" activeCell="H4" activeCellId="0" sqref="H4"/>
    </sheetView>
  </sheetViews>
  <sheetFormatPr baseColWidth="8" defaultColWidth="8.54296875" defaultRowHeight="14.25" zeroHeight="0" outlineLevelRow="0"/>
  <cols>
    <col width="2" customWidth="1" style="865" min="1" max="1"/>
    <col width="40" customWidth="1" style="865" min="2" max="2"/>
    <col width="26" customWidth="1" style="865" min="3" max="3"/>
    <col width="11" customWidth="1" style="865" min="4" max="4"/>
    <col width="18" customWidth="1" style="865" min="5" max="5"/>
    <col width="10" customWidth="1" style="865" min="6" max="6"/>
    <col width="15" customWidth="1" style="865" min="7" max="7"/>
    <col width="34" customWidth="1" style="865" min="8" max="8"/>
    <col width="14" customWidth="1" style="865" min="9" max="9"/>
    <col width="24" customWidth="1" style="865" min="10" max="10"/>
    <col width="22" customWidth="1" style="865" min="11" max="11"/>
    <col width="30" customWidth="1" style="865" min="12" max="12"/>
  </cols>
  <sheetData>
    <row r="1" ht="14.25" customHeight="1" s="866">
      <c r="B1" s="865" t="n"/>
      <c r="C1" s="865" t="n"/>
      <c r="D1" s="865" t="n"/>
      <c r="E1" s="865" t="n"/>
      <c r="F1" s="1314" t="n"/>
      <c r="G1" s="865" t="n"/>
      <c r="H1" s="865" t="n"/>
      <c r="I1" s="865" t="n"/>
      <c r="J1" s="865" t="n"/>
      <c r="K1" s="865" t="n"/>
      <c r="L1" s="865" t="n"/>
      <c r="M1" s="865" t="n"/>
      <c r="N1" s="865" t="n"/>
    </row>
    <row r="2" ht="21" customHeight="1" s="866">
      <c r="B2" s="1315" t="inlineStr">
        <is>
          <t>Commercial Fuels</t>
        </is>
      </c>
      <c r="C2" s="865" t="n"/>
      <c r="D2" s="865" t="n"/>
      <c r="E2" s="865" t="n"/>
      <c r="F2" s="1314" t="n"/>
      <c r="G2" s="865" t="n"/>
      <c r="H2" s="865" t="n"/>
      <c r="I2" s="865" t="n"/>
      <c r="J2" s="865" t="n"/>
      <c r="K2" s="865" t="n"/>
      <c r="L2" s="865" t="n"/>
      <c r="M2" s="865" t="n"/>
      <c r="N2" s="865" t="n"/>
    </row>
    <row r="3" ht="14.25" customHeight="1" s="866">
      <c r="B3" s="865" t="n"/>
      <c r="C3" s="865" t="n"/>
      <c r="D3" s="865" t="n"/>
      <c r="E3" s="865" t="n"/>
      <c r="F3" s="1314" t="n"/>
      <c r="G3" s="865" t="n"/>
      <c r="H3" s="865" t="n"/>
      <c r="I3" s="865" t="n"/>
      <c r="J3" s="865" t="n"/>
      <c r="K3" s="865" t="n"/>
      <c r="L3" s="865" t="n"/>
      <c r="M3" s="865" t="n"/>
      <c r="N3" s="865" t="n"/>
    </row>
    <row r="4" ht="19" customHeight="1" s="866">
      <c r="B4" s="1316" t="inlineStr">
        <is>
          <t>Portfolio Summary</t>
        </is>
      </c>
      <c r="C4" s="1003" t="n"/>
      <c r="D4" s="1003" t="n"/>
      <c r="E4" s="1004" t="n"/>
      <c r="F4" s="1849" t="n"/>
      <c r="G4" s="865" t="n"/>
      <c r="H4" s="1417" t="inlineStr">
        <is>
          <t>Budget vs TDD Cost</t>
        </is>
      </c>
      <c r="I4" s="1004" t="n"/>
      <c r="J4" s="865" t="n"/>
      <c r="K4" s="865" t="n"/>
      <c r="L4" s="865" t="n"/>
      <c r="M4" s="865" t="n"/>
      <c r="N4" s="865" t="n"/>
    </row>
    <row r="5" ht="31.5" customHeight="1" s="866">
      <c r="B5" s="1319" t="inlineStr">
        <is>
          <t>Cost</t>
        </is>
      </c>
      <c r="C5" s="1320" t="inlineStr">
        <is>
          <t>TDD AU ($m)</t>
        </is>
      </c>
      <c r="D5" s="1320" t="inlineStr">
        <is>
          <t>TDD NZ ($m)</t>
        </is>
      </c>
      <c r="E5" s="1320" t="inlineStr">
        <is>
          <t>Other ($m)</t>
        </is>
      </c>
      <c r="F5" s="1320" t="inlineStr">
        <is>
          <t>Total ($m)</t>
        </is>
      </c>
      <c r="G5" s="1420" t="n"/>
      <c r="H5" s="1321" t="inlineStr">
        <is>
          <t>TDD Budget Allocation (people - 0.2 Data Config)</t>
        </is>
      </c>
      <c r="I5" s="1850">
        <f>'0.2 Data Config'!$E$15</f>
        <v>2.5</v>
      </c>
      <c r="J5" s="865" t="n"/>
      <c r="K5" s="865" t="n"/>
      <c r="L5" s="865" t="n"/>
      <c r="M5" s="865" t="n"/>
      <c r="N5" s="865" t="n"/>
    </row>
    <row r="6" ht="14.25" customHeight="1" s="866">
      <c r="B6" s="1012" t="inlineStr">
        <is>
          <t>Portfolio Overhead (see 0.2 Data Config)</t>
        </is>
      </c>
      <c r="C6" s="1323">
        <f>IF('0.2 Data Config'!$D$15&gt;'0.2 Data Config'!$C$15,0,'0.2 Data Config'!$L$10)</f>
        <v>0.7975</v>
      </c>
      <c r="D6" s="1323">
        <f>IF('0.2 Data Config'!$D$15&gt;'0.2 Data Config'!$C$15,'0.2 Data Config'!$L$10,0)</f>
        <v>0</v>
      </c>
      <c r="E6" s="1323">
        <f>0</f>
        <v>0</v>
      </c>
      <c r="F6" s="1323">
        <f>C6+D6+E6</f>
        <v>0.7975</v>
      </c>
      <c r="G6" s="1368" t="n"/>
      <c r="H6" s="1369" t="inlineStr">
        <is>
          <t>AU Budget ($m)</t>
        </is>
      </c>
      <c r="I6" s="1323">
        <f>'0.2 Data Config'!$C$15</f>
        <v>2.5</v>
      </c>
      <c r="J6" s="865" t="n"/>
      <c r="K6" s="865" t="n"/>
      <c r="L6" s="865" t="n"/>
      <c r="M6" s="865" t="n"/>
      <c r="N6" s="865" t="n"/>
    </row>
    <row r="7" ht="14.25" customHeight="1" s="866">
      <c r="B7" s="1012" t="inlineStr">
        <is>
          <t>Platform Overheads</t>
        </is>
      </c>
      <c r="C7" s="1323">
        <f>IF('0.2 Data Config'!$D$15&gt;'0.2 Data Config'!$C$15,0,SUM(I28,I34,I40))</f>
        <v>0.495</v>
      </c>
      <c r="D7" s="1323">
        <f>IF('0.2 Data Config'!$D$15&gt;'0.2 Data Config'!$C$15,SUM(I28,I34,I40),0)</f>
        <v>0</v>
      </c>
      <c r="E7" s="1323">
        <f>0</f>
        <v>0</v>
      </c>
      <c r="F7" s="1323">
        <f>C7+D7+E7</f>
        <v>0.495</v>
      </c>
      <c r="G7" s="1368" t="n"/>
      <c r="H7" s="1370" t="inlineStr">
        <is>
          <t>NZ Budget ($m)</t>
        </is>
      </c>
      <c r="I7" s="1371">
        <f>'0.2 Data Config'!$D$15</f>
        <v>0</v>
      </c>
      <c r="J7" s="865" t="n"/>
      <c r="K7" s="865" t="n"/>
      <c r="L7" s="865" t="n"/>
      <c r="M7" s="865" t="n"/>
      <c r="N7" s="865" t="n"/>
    </row>
    <row r="8" ht="14.25" customHeight="1" s="866">
      <c r="B8" s="1012" t="inlineStr">
        <is>
          <t>Squad Support Costs</t>
        </is>
      </c>
      <c r="C8" s="1323">
        <f>SUMIF($F$26:$F$27,"AU",$I$26:$I$27)+SUMIF($F$33:$F$33,"AU",$I$33:$I$33)+SUMIF($F$39:$F$39,"AU",$I$39:$I$39)</f>
        <v>1.26</v>
      </c>
      <c r="D8" s="1323">
        <f>SUMIF($F$26:$F$27,"NZ",$I$26:$I$27)+SUMIF($F$33:$F$33,"NZ",$I$33:$I$33)+SUMIF($F$39:$F$39,"NZ",$I$39:$I$39)</f>
        <v>0</v>
      </c>
      <c r="E8" s="1323">
        <f>SUM($J$26:$J$27)+SUM($J$33:$J$33)+SUM($J$39:$J$39)</f>
        <v>7.42</v>
      </c>
      <c r="F8" s="1323">
        <f>C8+D8+E8</f>
        <v>8.68</v>
      </c>
      <c r="G8" s="1368" t="n"/>
      <c r="H8" s="1372" t="inlineStr">
        <is>
          <t>AU over/(under) budget ($m)</t>
        </is>
      </c>
      <c r="I8" s="1373">
        <f>C9-I6</f>
        <v>0.0525000000000002</v>
      </c>
      <c r="J8" s="865" t="n"/>
      <c r="K8" s="865" t="n"/>
      <c r="L8" s="865" t="n"/>
      <c r="M8" s="865" t="n"/>
      <c r="N8" s="865" t="n"/>
    </row>
    <row r="9" ht="14.25" customHeight="1" s="866">
      <c r="B9" s="1330" t="inlineStr">
        <is>
          <t>Total Cost</t>
        </is>
      </c>
      <c r="C9" s="1331">
        <f>SUM(C6:C8)</f>
        <v>2.5525</v>
      </c>
      <c r="D9" s="1331">
        <f>SUM(D6:D8)</f>
        <v>0</v>
      </c>
      <c r="E9" s="1331">
        <f>SUM(E6:E8)</f>
        <v>7.42</v>
      </c>
      <c r="F9" s="1331">
        <f>SUM(F6:F8)</f>
        <v>9.9725</v>
      </c>
      <c r="G9" s="1375" t="n"/>
      <c r="H9" s="1372" t="inlineStr">
        <is>
          <t>NZ over/(under) budget ($m)</t>
        </is>
      </c>
      <c r="I9" s="1373">
        <f>D9-I7</f>
        <v>0</v>
      </c>
      <c r="J9" s="865" t="n"/>
      <c r="K9" s="865" t="n"/>
      <c r="L9" s="865" t="n"/>
      <c r="M9" s="865" t="n"/>
      <c r="N9" s="865" t="n"/>
    </row>
    <row r="10" ht="14.25" customHeight="1" s="866">
      <c r="B10" s="865" t="n"/>
      <c r="C10" s="865" t="n"/>
      <c r="D10" s="865" t="n"/>
      <c r="E10" s="865" t="n"/>
      <c r="F10" s="1314" t="n"/>
      <c r="G10" s="865" t="n"/>
      <c r="H10" s="865" t="inlineStr">
        <is>
          <t>TDD over/(under) budget ($m)</t>
        </is>
      </c>
      <c r="I10" s="1421">
        <f>I8+I9</f>
        <v>0.0525000000000002</v>
      </c>
      <c r="J10" s="865" t="n"/>
      <c r="K10" s="865" t="n"/>
      <c r="L10" s="865" t="n"/>
      <c r="M10" s="865" t="n"/>
      <c r="N10" s="865" t="n"/>
    </row>
    <row r="11" ht="14.25" customFormat="1" customHeight="1" s="865">
      <c r="F11" s="1314" t="n"/>
      <c r="I11" s="1421" t="n"/>
    </row>
    <row r="12" ht="31.5" customHeight="1" s="866">
      <c r="B12" s="1377" t="inlineStr">
        <is>
          <t xml:space="preserve">Total Commercial Fuels budget </t>
        </is>
      </c>
      <c r="D12" s="1378" t="n"/>
      <c r="E12" s="1379">
        <f>SUM(I13:I15)+SUM(I17:I18)</f>
        <v>40.5</v>
      </c>
      <c r="F12" s="1314" t="n"/>
      <c r="G12" s="865" t="n"/>
      <c r="H12" s="1319" t="inlineStr">
        <is>
          <t>Budget line</t>
        </is>
      </c>
      <c r="I12" s="1319" t="inlineStr">
        <is>
          <t>Budget ($m)</t>
        </is>
      </c>
      <c r="J12" s="1319" t="inlineStr">
        <is>
          <t>Amount that can be allocated to people</t>
        </is>
      </c>
      <c r="K12" s="1319" t="inlineStr">
        <is>
          <t>Remaining for non-people ($m)</t>
        </is>
      </c>
      <c r="L12" s="865" t="n"/>
      <c r="M12" s="865" t="n"/>
      <c r="N12" s="865" t="n"/>
    </row>
    <row r="13" ht="28.5" customHeight="1" s="866">
      <c r="B13" s="1381" t="inlineStr">
        <is>
          <t xml:space="preserve">Reconciled to Finance </t>
        </is>
      </c>
      <c r="D13" s="1378" t="n"/>
      <c r="E13" s="1354">
        <f>N('0.1 Budget Table (Fin)'!Q8)</f>
        <v>40.5</v>
      </c>
      <c r="F13" s="1314" t="n"/>
      <c r="G13" s="865" t="n"/>
      <c r="H13" s="1012" t="inlineStr">
        <is>
          <t>Commercial Fuels Lights On</t>
        </is>
      </c>
      <c r="I13" s="1830">
        <f>N('0.1 Budget Table (Fin)'!L8)</f>
        <v>13.4</v>
      </c>
      <c r="J13" s="1026">
        <f>N('0.1 Budget Table (Fin)'!$I$19)</f>
        <v>1.2</v>
      </c>
      <c r="K13" s="1014">
        <f>IFERROR(I13-J13,0)</f>
        <v>12.2</v>
      </c>
      <c r="L13" s="1402" t="inlineStr">
        <is>
          <t>Notes</t>
        </is>
      </c>
      <c r="M13" s="865" t="n"/>
      <c r="N13" s="865" t="n"/>
      <c r="S13" s="865" t="n"/>
    </row>
    <row r="14" ht="14.25" customHeight="1" s="866">
      <c r="B14" s="865" t="n"/>
      <c r="C14" s="865" t="n"/>
      <c r="D14" s="865" t="n"/>
      <c r="E14" s="865" t="n"/>
      <c r="F14" s="1314" t="n"/>
      <c r="G14" s="865" t="n"/>
      <c r="H14" s="1012" t="inlineStr">
        <is>
          <t>OpEx Initiatives</t>
        </is>
      </c>
      <c r="I14" s="1830">
        <f>N('0.1 Budget Table (Fin)'!N8)</f>
        <v>6.1</v>
      </c>
      <c r="J14" s="1852" t="n">
        <v>1.7</v>
      </c>
      <c r="K14" s="1014">
        <f>IFERROR(I14-J14,0)</f>
        <v>4.4</v>
      </c>
      <c r="L14" s="1403" t="n"/>
      <c r="M14" s="865" t="n"/>
      <c r="N14" s="865" t="n"/>
    </row>
    <row r="15" ht="14.25" customHeight="1" s="866">
      <c r="B15" s="1336" t="inlineStr">
        <is>
          <t>Funding position ($m)</t>
        </is>
      </c>
      <c r="C15" s="1337" t="n"/>
      <c r="D15" s="865" t="n"/>
      <c r="E15" s="865" t="n"/>
      <c r="F15" s="1314" t="n"/>
      <c r="G15" s="865" t="n"/>
      <c r="H15" s="1012" t="inlineStr">
        <is>
          <t>CapEx</t>
        </is>
      </c>
      <c r="I15" s="1830">
        <f>N('0.1 Budget Table (Fin)'!P8)</f>
        <v>6.8</v>
      </c>
      <c r="J15" s="1852" t="n">
        <v>1.68</v>
      </c>
      <c r="K15" s="1014">
        <f>IFERROR(I15-J15,0)</f>
        <v>5.12</v>
      </c>
      <c r="L15" s="1403" t="inlineStr">
        <is>
          <t>Covers the supply squad</t>
        </is>
      </c>
      <c r="M15" s="865" t="n"/>
      <c r="N15" s="865" t="n"/>
    </row>
    <row r="16" ht="14.25" customHeight="1" s="866">
      <c r="B16" s="1338" t="inlineStr">
        <is>
          <t>Over/(under) TDD budget</t>
        </is>
      </c>
      <c r="C16" s="1339">
        <f>$I$8+$I$9</f>
        <v>0.0525000000000002</v>
      </c>
      <c r="D16" s="865" t="n"/>
      <c r="E16" s="865" t="n"/>
      <c r="F16" s="1314" t="n"/>
      <c r="G16" s="865" t="n"/>
      <c r="H16" s="1012" t="inlineStr">
        <is>
          <t>TDD CapEx (central pool, reference only)</t>
        </is>
      </c>
      <c r="I16" s="1830">
        <f>N('0.1 Budget Table (Fin)'!P5)</f>
        <v>4.9</v>
      </c>
      <c r="J16" s="1854" t="n"/>
      <c r="K16" s="1014">
        <f>IFERROR(I16-J16,0)</f>
        <v>4.9</v>
      </c>
      <c r="L16" s="1403" t="n"/>
      <c r="M16" s="865" t="n"/>
      <c r="N16" s="865" t="n"/>
    </row>
    <row r="17" ht="14.25" customHeight="1" s="866">
      <c r="B17" s="1338" t="inlineStr">
        <is>
          <t>Still to fund outside TDD</t>
        </is>
      </c>
      <c r="C17" s="1339">
        <f>$J21</f>
        <v>0.240000000000001</v>
      </c>
      <c r="D17" s="865" t="n"/>
      <c r="E17" s="865" t="n"/>
      <c r="F17" s="1314" t="n"/>
      <c r="G17" s="865" t="n"/>
      <c r="H17" s="1012" t="inlineStr">
        <is>
          <t>Significant Items</t>
        </is>
      </c>
      <c r="I17" s="1830">
        <f>N('0.1 Budget Table (Fin)'!O8)</f>
        <v>14.2</v>
      </c>
      <c r="J17" s="1830">
        <f>J39</f>
        <v>3.8</v>
      </c>
      <c r="K17" s="1014">
        <f>IFERROR(I17-J17,0)</f>
        <v>10.4</v>
      </c>
      <c r="L17" s="1403" t="n"/>
      <c r="M17" s="865" t="n"/>
      <c r="N17" s="865" t="n"/>
    </row>
    <row r="18" ht="14.25" customHeight="1" s="866">
      <c r="B18" s="1344" t="inlineStr">
        <is>
          <t>Total to fund</t>
        </is>
      </c>
      <c r="C18" s="1345">
        <f>$C16+$C17</f>
        <v>0.292500000000001</v>
      </c>
      <c r="D18" s="865" t="n"/>
      <c r="E18" s="865" t="n"/>
      <c r="F18" s="1314" t="n"/>
      <c r="G18" s="865" t="n"/>
      <c r="H18" s="1012" t="inlineStr">
        <is>
          <t>Depreciation</t>
        </is>
      </c>
      <c r="I18" s="1830">
        <f>N('0.1 Budget Table (Fin)'!M8)</f>
        <v>0</v>
      </c>
      <c r="J18" s="1852" t="n">
        <v>0</v>
      </c>
      <c r="K18" s="1014">
        <f>IFERROR(I18-J18,0)</f>
        <v>0</v>
      </c>
      <c r="L18" s="1403" t="n"/>
      <c r="M18" s="865" t="n"/>
      <c r="N18" s="865" t="n"/>
    </row>
    <row r="19" ht="14.25" customHeight="1" s="866">
      <c r="B19" s="865" t="n"/>
      <c r="C19" s="865" t="n"/>
      <c r="D19" s="865" t="n"/>
      <c r="E19" s="865" t="n"/>
      <c r="F19" s="1314" t="n"/>
      <c r="G19" s="865" t="n"/>
      <c r="H19" s="1405" t="inlineStr">
        <is>
          <t>Total applied</t>
        </is>
      </c>
      <c r="I19" s="865" t="n"/>
      <c r="J19" s="1406">
        <f>SUM(J13:J18)</f>
        <v>8.38</v>
      </c>
      <c r="K19" s="865" t="n"/>
      <c r="L19" s="865" t="n"/>
      <c r="M19" s="865" t="n"/>
      <c r="N19" s="865" t="n"/>
    </row>
    <row r="20" ht="14.25" customHeight="1" s="866">
      <c r="B20" s="865" t="n"/>
      <c r="C20" s="865" t="n"/>
      <c r="D20" s="865" t="n"/>
      <c r="E20" s="865" t="n"/>
      <c r="F20" s="1314" t="n"/>
      <c r="G20" s="865" t="n"/>
      <c r="H20" s="1012" t="inlineStr">
        <is>
          <t>Other cost (this model)</t>
        </is>
      </c>
      <c r="I20" s="865" t="n"/>
      <c r="J20" s="1014">
        <f>E9</f>
        <v>7.42</v>
      </c>
      <c r="K20" s="865" t="n"/>
      <c r="L20" s="865" t="n"/>
      <c r="M20" s="865" t="n"/>
      <c r="N20" s="865" t="n"/>
    </row>
    <row r="21" ht="14.25" customHeight="1" s="866">
      <c r="B21" s="865" t="n"/>
      <c r="C21" s="865" t="n"/>
      <c r="D21" s="865" t="n"/>
      <c r="E21" s="865" t="n"/>
      <c r="F21" s="1314" t="n"/>
      <c r="G21" s="865" t="n"/>
      <c r="H21" s="1363" t="inlineStr">
        <is>
          <t>Left to fund</t>
        </is>
      </c>
      <c r="I21" s="865" t="n"/>
      <c r="J21" s="1364">
        <f>E9-(J19-J13)</f>
        <v>0.240000000000001</v>
      </c>
      <c r="K21" s="865" t="n"/>
      <c r="L21" s="865" t="n"/>
      <c r="M21" s="865" t="n"/>
      <c r="N21" s="865" t="n"/>
    </row>
    <row r="22" ht="14.25" customHeight="1" s="866">
      <c r="B22" s="865" t="n"/>
      <c r="C22" s="865" t="n"/>
      <c r="D22" s="865" t="n"/>
      <c r="E22" s="865" t="n"/>
      <c r="F22" s="1314" t="n"/>
      <c r="G22" s="865" t="n"/>
      <c r="H22" s="865" t="n"/>
      <c r="I22" s="865" t="n"/>
      <c r="J22" s="865" t="n"/>
      <c r="K22" s="865" t="n"/>
      <c r="L22" s="865" t="n"/>
      <c r="M22" s="865" t="n"/>
      <c r="N22" s="865" t="n"/>
    </row>
    <row r="23" ht="14.25" customHeight="1" s="866">
      <c r="B23" s="865" t="n"/>
      <c r="C23" s="865" t="n"/>
      <c r="D23" s="865" t="n"/>
      <c r="E23" s="865" t="n"/>
      <c r="F23" s="1314" t="n"/>
      <c r="G23" s="865" t="n"/>
      <c r="H23" s="865" t="n"/>
      <c r="I23" s="865" t="n"/>
      <c r="J23" s="865" t="n"/>
      <c r="K23" s="865" t="n"/>
      <c r="L23" s="865" t="n"/>
      <c r="M23" s="865" t="n"/>
      <c r="N23" s="865" t="n"/>
    </row>
    <row r="24" ht="19" customHeight="1" s="866">
      <c r="B24" s="1399" t="inlineStr">
        <is>
          <t>Platform: Trading &amp; Shipping</t>
        </is>
      </c>
      <c r="C24" s="1400" t="n"/>
      <c r="D24" s="1400" t="n"/>
      <c r="E24" s="1400" t="n"/>
      <c r="F24" s="1400" t="n"/>
      <c r="G24" s="1400" t="n"/>
      <c r="H24" s="1400" t="n"/>
      <c r="I24" s="1400" t="n"/>
      <c r="J24" s="1400" t="n"/>
      <c r="K24" s="865" t="n"/>
      <c r="L24" s="865" t="n"/>
      <c r="M24" s="865" t="n"/>
      <c r="N24" s="865" t="n"/>
    </row>
    <row r="25" ht="31.5" customHeight="1" s="866">
      <c r="B25" s="1319" t="inlineStr">
        <is>
          <t>Squad</t>
        </is>
      </c>
      <c r="C25" s="1319" t="inlineStr">
        <is>
          <t>Squad Type</t>
        </is>
      </c>
      <c r="D25" s="1319" t="inlineStr">
        <is>
          <t>Size</t>
        </is>
      </c>
      <c r="E25" s="1319" t="inlineStr">
        <is>
          <t>Onshore / Offshore</t>
        </is>
      </c>
      <c r="F25" s="1320" t="inlineStr">
        <is>
          <t>AU / NZ</t>
        </is>
      </c>
      <c r="G25" s="1319" t="inlineStr">
        <is>
          <t>% funded by TDD</t>
        </is>
      </c>
      <c r="H25" s="1319" t="inlineStr">
        <is>
          <t>Total Squad Cost ($m)</t>
        </is>
      </c>
      <c r="I25" s="1319" t="inlineStr">
        <is>
          <t>TDD Cost ($m)</t>
        </is>
      </c>
      <c r="J25" s="1319" t="inlineStr">
        <is>
          <t>Funded outside TDD ($m)</t>
        </is>
      </c>
      <c r="K25" s="865" t="n"/>
      <c r="L25" s="1356" t="n"/>
      <c r="M25" s="865" t="n"/>
      <c r="N25" s="865" t="n"/>
    </row>
    <row r="26" ht="14.25" customHeight="1" s="866">
      <c r="B26" s="1012" t="inlineStr">
        <is>
          <t>Trading &amp; Shipping</t>
        </is>
      </c>
      <c r="C26" s="1357" t="inlineStr">
        <is>
          <t>Configuration / Integration</t>
        </is>
      </c>
      <c r="D26" s="1357" t="inlineStr">
        <is>
          <t>M</t>
        </is>
      </c>
      <c r="E26" s="1357" t="inlineStr">
        <is>
          <t>Onshore</t>
        </is>
      </c>
      <c r="F26" s="1358" t="inlineStr">
        <is>
          <t>AU</t>
        </is>
      </c>
      <c r="G26" s="1359" t="n">
        <v>0.4</v>
      </c>
      <c r="H26" s="1830">
        <f>IFERROR(IF($E26="Onshore",INDEX('0.3 Squad Archetypes'!$G$5:$G$23,MATCH($C26&amp;"|"&amp;$D26,'0.3 Squad Archetypes'!$A$5:$A$23,0)),INDEX('0.3 Squad Archetypes'!$H$5:$H$23,MATCH($C26&amp;"|"&amp;$D26,'0.3 Squad Archetypes'!$A$5:$A$23,0))),"check size")</f>
        <v>2.1</v>
      </c>
      <c r="I26" s="1014">
        <f>IFERROR($H26*$G26,"")</f>
        <v>0.84</v>
      </c>
      <c r="J26" s="1014">
        <f>IFERROR($H26*(1-$G26),"")</f>
        <v>1.26</v>
      </c>
      <c r="K26" s="865" t="n"/>
      <c r="L26" s="1360" t="n"/>
      <c r="M26" s="865" t="n"/>
      <c r="N26" s="865" t="n"/>
    </row>
    <row r="27" ht="14.25" customHeight="1" s="866">
      <c r="B27" s="1012" t="inlineStr">
        <is>
          <t>Trading &amp; Shipping Data</t>
        </is>
      </c>
      <c r="C27" s="1357" t="inlineStr">
        <is>
          <t>Enterprise Data and Insights</t>
        </is>
      </c>
      <c r="D27" s="1357" t="inlineStr">
        <is>
          <t>M</t>
        </is>
      </c>
      <c r="E27" s="1357" t="inlineStr">
        <is>
          <t>Offshore</t>
        </is>
      </c>
      <c r="F27" s="1358" t="inlineStr">
        <is>
          <t>AU</t>
        </is>
      </c>
      <c r="G27" s="1359" t="n">
        <v>0</v>
      </c>
      <c r="H27" s="1830">
        <f>IFERROR(IF($E27="Onshore",INDEX('0.3 Squad Archetypes'!$G$5:$G$23,MATCH($C27&amp;"|"&amp;$D27,'0.3 Squad Archetypes'!$A$5:$A$23,0)),INDEX('0.3 Squad Archetypes'!$H$5:$H$23,MATCH($C27&amp;"|"&amp;$D27,'0.3 Squad Archetypes'!$A$5:$A$23,0))),"check size")</f>
        <v>0.68</v>
      </c>
      <c r="I27" s="1014">
        <f>IFERROR($H27*$G27,"")</f>
        <v>0</v>
      </c>
      <c r="J27" s="1014">
        <f>IFERROR($H27*(1-$G27),"")</f>
        <v>0.68</v>
      </c>
      <c r="K27" s="876" t="inlineStr">
        <is>
          <t>Fully funded by CF</t>
        </is>
      </c>
      <c r="L27" s="1360" t="n"/>
      <c r="M27" s="865" t="n"/>
      <c r="N27" s="865" t="n"/>
    </row>
    <row r="28" ht="14.25" customHeight="1" s="866">
      <c r="B28" s="1012" t="inlineStr">
        <is>
          <t>Platform Overhead</t>
        </is>
      </c>
      <c r="C28" s="865" t="n"/>
      <c r="D28" s="865" t="n"/>
      <c r="E28" s="865" t="n"/>
      <c r="F28" s="1314" t="n"/>
      <c r="G28" s="865" t="n"/>
      <c r="H28" s="865" t="n"/>
      <c r="I28" s="1830">
        <f>'0.2 Data Config'!$L$16</f>
        <v>0.165</v>
      </c>
      <c r="J28" s="865" t="n"/>
      <c r="K28" s="865" t="n"/>
      <c r="L28" s="865" t="n"/>
      <c r="M28" s="865" t="n"/>
      <c r="N28" s="865" t="n"/>
    </row>
    <row r="29" ht="14.25" customHeight="1" s="866">
      <c r="B29" s="1363" t="inlineStr">
        <is>
          <t>Trading &amp; Shipping Total</t>
        </is>
      </c>
      <c r="C29" s="1361" t="n"/>
      <c r="D29" s="1361" t="n"/>
      <c r="E29" s="1361" t="n"/>
      <c r="F29" s="1314" t="n"/>
      <c r="G29" s="1361" t="n"/>
      <c r="H29" s="1364">
        <f>SUM(H26:H27)</f>
        <v>2.78</v>
      </c>
      <c r="I29" s="1364">
        <f>SUM(I26:I28)</f>
        <v>1.005</v>
      </c>
      <c r="J29" s="1364">
        <f>SUM(J26:J27)</f>
        <v>1.94</v>
      </c>
      <c r="K29" s="865" t="n"/>
      <c r="L29" s="865" t="n"/>
      <c r="M29" s="876" t="n"/>
      <c r="N29" s="865" t="n"/>
    </row>
    <row r="30" ht="14.25" customHeight="1" s="866">
      <c r="B30" s="865" t="n"/>
      <c r="C30" s="865" t="n"/>
      <c r="D30" s="865" t="n"/>
      <c r="E30" s="865" t="n"/>
      <c r="F30" s="1314" t="n"/>
      <c r="G30" s="865" t="n"/>
      <c r="H30" s="865" t="n"/>
      <c r="I30" s="865" t="n"/>
      <c r="J30" s="865" t="n"/>
      <c r="K30" s="865" t="n"/>
      <c r="L30" s="865" t="n"/>
      <c r="M30" s="865" t="n"/>
      <c r="N30" s="865" t="n"/>
    </row>
    <row r="31" ht="19" customHeight="1" s="866">
      <c r="B31" s="1399" t="inlineStr">
        <is>
          <t>Platform: Supply</t>
        </is>
      </c>
      <c r="C31" s="1400" t="n"/>
      <c r="D31" s="1400" t="n"/>
      <c r="E31" s="1400" t="n"/>
      <c r="F31" s="1400" t="n"/>
      <c r="G31" s="1400" t="n"/>
      <c r="H31" s="1400" t="n"/>
      <c r="I31" s="1400" t="n"/>
      <c r="J31" s="1400" t="n"/>
      <c r="K31" s="865" t="n"/>
      <c r="L31" s="865" t="n"/>
      <c r="M31" s="865" t="n"/>
      <c r="N31" s="865" t="n"/>
    </row>
    <row r="32" ht="31.5" customHeight="1" s="866">
      <c r="B32" s="1319" t="inlineStr">
        <is>
          <t>Squad</t>
        </is>
      </c>
      <c r="C32" s="1319" t="inlineStr">
        <is>
          <t>Squad Type</t>
        </is>
      </c>
      <c r="D32" s="1319" t="inlineStr">
        <is>
          <t>Size</t>
        </is>
      </c>
      <c r="E32" s="1319" t="inlineStr">
        <is>
          <t>Onshore / Offshore</t>
        </is>
      </c>
      <c r="F32" s="1320" t="inlineStr">
        <is>
          <t>AU / NZ</t>
        </is>
      </c>
      <c r="G32" s="1319" t="inlineStr">
        <is>
          <t>% funded by TDD</t>
        </is>
      </c>
      <c r="H32" s="1319" t="inlineStr">
        <is>
          <t>Total Squad Cost ($m)</t>
        </is>
      </c>
      <c r="I32" s="1319" t="inlineStr">
        <is>
          <t>TDD Cost ($m)</t>
        </is>
      </c>
      <c r="J32" s="1319" t="inlineStr">
        <is>
          <t>Funded outside TDD ($m)</t>
        </is>
      </c>
      <c r="K32" s="865" t="n"/>
      <c r="L32" s="1356" t="n"/>
      <c r="M32" s="865" t="n"/>
      <c r="N32" s="865" t="n"/>
    </row>
    <row r="33" ht="14.25" customHeight="1" s="866">
      <c r="B33" s="1012" t="inlineStr">
        <is>
          <t>Supply</t>
        </is>
      </c>
      <c r="C33" s="1357" t="inlineStr">
        <is>
          <t>Configuration / Integration</t>
        </is>
      </c>
      <c r="D33" s="1357" t="inlineStr">
        <is>
          <t>M</t>
        </is>
      </c>
      <c r="E33" s="1357" t="inlineStr">
        <is>
          <t>Onshore</t>
        </is>
      </c>
      <c r="F33" s="1358" t="inlineStr">
        <is>
          <t>AU</t>
        </is>
      </c>
      <c r="G33" s="1359" t="n">
        <v>0.2</v>
      </c>
      <c r="H33" s="1830">
        <f>IFERROR(IF($E33="Onshore",INDEX('0.3 Squad Archetypes'!$G$5:$G$23,MATCH($C33&amp;"|"&amp;$D33,'0.3 Squad Archetypes'!$A$5:$A$23,0)),INDEX('0.3 Squad Archetypes'!$H$5:$H$23,MATCH($C33&amp;"|"&amp;$D33,'0.3 Squad Archetypes'!$A$5:$A$23,0))),"check size")</f>
        <v>2.1</v>
      </c>
      <c r="I33" s="1014">
        <f>IFERROR($H33*$G33,"")</f>
        <v>0.42</v>
      </c>
      <c r="J33" s="1014">
        <f>IFERROR($H33*(1-$G33),"")</f>
        <v>1.68</v>
      </c>
      <c r="K33" s="865" t="n"/>
      <c r="L33" s="1360" t="n"/>
      <c r="M33" s="865" t="n"/>
      <c r="N33" s="865" t="n"/>
    </row>
    <row r="34" ht="14.25" customHeight="1" s="866">
      <c r="B34" s="1012" t="inlineStr">
        <is>
          <t>Platform Overhead</t>
        </is>
      </c>
      <c r="C34" s="865" t="n"/>
      <c r="D34" s="865" t="n"/>
      <c r="E34" s="865" t="n"/>
      <c r="F34" s="1314" t="n"/>
      <c r="G34" s="865" t="n"/>
      <c r="H34" s="865" t="n"/>
      <c r="I34" s="1830">
        <f>'0.2 Data Config'!$L$16</f>
        <v>0.165</v>
      </c>
      <c r="J34" s="865" t="n"/>
      <c r="K34" s="865" t="n"/>
      <c r="L34" s="865" t="n"/>
      <c r="M34" s="865" t="n"/>
      <c r="N34" s="865" t="n"/>
    </row>
    <row r="35" ht="14.25" customHeight="1" s="866">
      <c r="B35" s="1363" t="inlineStr">
        <is>
          <t>Supply Total</t>
        </is>
      </c>
      <c r="C35" s="1361" t="n"/>
      <c r="D35" s="1361" t="n"/>
      <c r="E35" s="1361" t="n"/>
      <c r="F35" s="1314" t="n"/>
      <c r="G35" s="1361" t="n"/>
      <c r="H35" s="1364">
        <f>SUM(H33:H33)</f>
        <v>2.1</v>
      </c>
      <c r="I35" s="1364">
        <f>SUM(I33:I34)</f>
        <v>0.585</v>
      </c>
      <c r="J35" s="1364">
        <f>SUM(J33:J33)</f>
        <v>1.68</v>
      </c>
      <c r="K35" s="865" t="n"/>
      <c r="L35" s="865" t="n"/>
      <c r="M35" s="865" t="n"/>
      <c r="N35" s="865" t="n"/>
    </row>
    <row r="36" ht="14.25" customHeight="1" s="866">
      <c r="B36" s="865" t="n"/>
      <c r="C36" s="865" t="n"/>
      <c r="D36" s="865" t="n"/>
      <c r="E36" s="865" t="n"/>
      <c r="F36" s="1314" t="n"/>
      <c r="G36" s="865" t="n"/>
      <c r="H36" s="865" t="n"/>
      <c r="I36" s="865" t="n"/>
      <c r="J36" s="865" t="n"/>
      <c r="K36" s="865" t="n"/>
      <c r="L36" s="865" t="n"/>
      <c r="M36" s="865" t="n"/>
      <c r="N36" s="865" t="n"/>
    </row>
    <row r="37" ht="19" customHeight="1" s="866">
      <c r="B37" s="1399" t="inlineStr">
        <is>
          <t>Platform: CTRM</t>
        </is>
      </c>
      <c r="C37" s="1400" t="n"/>
      <c r="D37" s="1400" t="n"/>
      <c r="E37" s="1400" t="n"/>
      <c r="F37" s="1400" t="n"/>
      <c r="G37" s="1400" t="n"/>
      <c r="H37" s="1400" t="n"/>
      <c r="I37" s="1400" t="n"/>
      <c r="J37" s="1400" t="n"/>
      <c r="K37" s="865" t="n"/>
      <c r="L37" s="865" t="n"/>
      <c r="M37" s="865" t="n"/>
      <c r="N37" s="865" t="n"/>
    </row>
    <row r="38" ht="31.5" customHeight="1" s="866">
      <c r="B38" s="1319" t="inlineStr">
        <is>
          <t>Squad</t>
        </is>
      </c>
      <c r="C38" s="1319" t="inlineStr">
        <is>
          <t>Squad Type</t>
        </is>
      </c>
      <c r="D38" s="1319" t="inlineStr">
        <is>
          <t>Size</t>
        </is>
      </c>
      <c r="E38" s="1319" t="inlineStr">
        <is>
          <t>Onshore / Offshore</t>
        </is>
      </c>
      <c r="F38" s="1320" t="inlineStr">
        <is>
          <t>AU / NZ</t>
        </is>
      </c>
      <c r="G38" s="1319" t="inlineStr">
        <is>
          <t>% funded by TDD</t>
        </is>
      </c>
      <c r="H38" s="1319" t="inlineStr">
        <is>
          <t>Total Squad Cost ($m)</t>
        </is>
      </c>
      <c r="I38" s="1319" t="inlineStr">
        <is>
          <t>TDD Cost ($m)</t>
        </is>
      </c>
      <c r="J38" s="1319" t="inlineStr">
        <is>
          <t>Funded outside TDD ($m)</t>
        </is>
      </c>
      <c r="K38" s="865" t="n"/>
      <c r="L38" s="1356" t="n"/>
      <c r="M38" s="865" t="n"/>
      <c r="N38" s="865" t="n"/>
    </row>
    <row r="39" ht="14.25" customHeight="1" s="866">
      <c r="B39" s="1012" t="inlineStr">
        <is>
          <t>CTRM</t>
        </is>
      </c>
      <c r="C39" s="1357" t="inlineStr">
        <is>
          <t>Strategic Programs</t>
        </is>
      </c>
      <c r="D39" s="1357" t="n"/>
      <c r="E39" s="1357" t="inlineStr">
        <is>
          <t>Onshore</t>
        </is>
      </c>
      <c r="F39" s="1358" t="inlineStr">
        <is>
          <t>AU</t>
        </is>
      </c>
      <c r="G39" s="1359" t="n">
        <v>0</v>
      </c>
      <c r="H39" s="1852" t="n">
        <v>3.8</v>
      </c>
      <c r="I39" s="1014">
        <f>IFERROR($H39*$G39,"")</f>
        <v>0</v>
      </c>
      <c r="J39" s="1014">
        <f>IFERROR($H39*(1-$G39),"")</f>
        <v>3.8</v>
      </c>
      <c r="K39" s="876" t="inlineStr">
        <is>
          <t>Fully funded by CTRM</t>
        </is>
      </c>
      <c r="L39" s="1360" t="n"/>
      <c r="M39" s="865" t="n"/>
      <c r="N39" s="865" t="n"/>
    </row>
    <row r="40" ht="14.25" customHeight="1" s="866">
      <c r="B40" s="1012" t="inlineStr">
        <is>
          <t>Platform Overhead</t>
        </is>
      </c>
      <c r="C40" s="865" t="n"/>
      <c r="D40" s="865" t="n"/>
      <c r="E40" s="865" t="n"/>
      <c r="F40" s="1314" t="n"/>
      <c r="G40" s="865" t="n"/>
      <c r="H40" s="865" t="n"/>
      <c r="I40" s="1830">
        <f>'0.2 Data Config'!$L$16</f>
        <v>0.165</v>
      </c>
      <c r="J40" s="865" t="n"/>
      <c r="K40" s="865" t="inlineStr">
        <is>
          <t xml:space="preserve">Trading &amp; Shipping reduced from Large to Medium </t>
        </is>
      </c>
      <c r="L40" s="865" t="n"/>
      <c r="M40" s="865" t="n"/>
      <c r="N40" s="865" t="n"/>
    </row>
    <row r="41" ht="14.25" customHeight="1" s="866">
      <c r="B41" s="1363" t="inlineStr">
        <is>
          <t>CTRM Total</t>
        </is>
      </c>
      <c r="C41" s="1361" t="n"/>
      <c r="D41" s="1361" t="n"/>
      <c r="E41" s="1361" t="n"/>
      <c r="F41" s="1314" t="n"/>
      <c r="G41" s="1361" t="n"/>
      <c r="H41" s="1364">
        <f>SUM(H39:H39)</f>
        <v>3.8</v>
      </c>
      <c r="I41" s="1364">
        <f>SUM(I39:I40)</f>
        <v>0.165</v>
      </c>
      <c r="J41" s="1364">
        <f>SUM(J39:J39)</f>
        <v>3.8</v>
      </c>
      <c r="K41" s="865" t="inlineStr">
        <is>
          <t xml:space="preserve">Hybrid Trading &amp; Shipping </t>
        </is>
      </c>
      <c r="L41" s="865" t="n"/>
      <c r="M41" s="865" t="n"/>
      <c r="N41" s="865" t="n"/>
    </row>
    <row r="42" ht="14.25" customHeight="1" s="866">
      <c r="B42" s="865" t="n"/>
      <c r="C42" s="865" t="n"/>
      <c r="D42" s="865" t="n"/>
      <c r="E42" s="865" t="n"/>
      <c r="F42" s="1314" t="n"/>
      <c r="G42" s="865" t="n"/>
      <c r="H42" s="865" t="n"/>
      <c r="I42" s="865" t="n"/>
      <c r="J42" s="865" t="n"/>
      <c r="K42" s="865" t="n"/>
      <c r="L42" s="865" t="n"/>
      <c r="M42" s="865" t="n"/>
      <c r="N42" s="865" t="n"/>
    </row>
    <row r="43" ht="14.25" customHeight="1" s="866">
      <c r="B43" s="1366" t="n"/>
      <c r="C43" s="1368" t="n"/>
      <c r="D43" s="1314" t="n"/>
      <c r="E43" s="865" t="n"/>
      <c r="F43" s="1314" t="n"/>
      <c r="G43" s="865" t="n"/>
      <c r="H43" s="865" t="n"/>
      <c r="I43" s="865" t="n"/>
      <c r="J43" s="865" t="n"/>
      <c r="K43" s="865" t="n"/>
      <c r="L43" s="865" t="n"/>
      <c r="M43" s="865" t="n"/>
      <c r="N43" s="865" t="n"/>
    </row>
    <row r="44" ht="14.25" customHeight="1" s="866">
      <c r="B44" s="1366" t="n"/>
      <c r="C44" s="1368" t="n"/>
      <c r="D44" s="1314" t="n"/>
      <c r="E44" s="865" t="n"/>
      <c r="F44" s="1314" t="n"/>
      <c r="G44" s="865" t="n"/>
      <c r="H44" s="865" t="n"/>
      <c r="I44" s="865" t="n"/>
      <c r="J44" s="865" t="n"/>
      <c r="K44" s="865" t="n"/>
      <c r="L44" s="865" t="n"/>
      <c r="M44" s="865" t="n"/>
      <c r="N44" s="865" t="n"/>
    </row>
    <row r="47" ht="19" customHeight="1" s="866">
      <c r="B47" s="1527" t="inlineStr">
        <is>
          <t>Archetype against actual - every squad on this tab</t>
        </is>
      </c>
      <c r="C47" s="1528" t="n"/>
      <c r="D47" s="1528" t="n"/>
      <c r="E47" s="1528" t="n"/>
      <c r="F47" s="1528" t="n"/>
      <c r="G47" s="1528" t="n"/>
      <c r="H47" s="1528" t="n"/>
      <c r="I47" s="1528" t="n"/>
      <c r="J47" s="1528" t="n"/>
      <c r="K47" s="1528" t="n"/>
      <c r="L47" s="1528" t="n"/>
    </row>
    <row r="48" ht="34" customHeight="1" s="866">
      <c r="B48" s="1529" t="inlineStr">
        <is>
          <t>Platform</t>
        </is>
      </c>
      <c r="C48" s="1945" t="n"/>
      <c r="D48" s="1529" t="inlineStr">
        <is>
          <t>Squad</t>
        </is>
      </c>
      <c r="E48" s="1945" t="n"/>
      <c r="F48" s="1945" t="n"/>
      <c r="G48" s="1945" t="n"/>
      <c r="H48" s="1529" t="inlineStr">
        <is>
          <t>Total Squad Cost ($m)</t>
        </is>
      </c>
      <c r="I48" s="1529" t="inlineStr">
        <is>
          <t>TDD Cost ($m)</t>
        </is>
      </c>
      <c r="J48" s="1529" t="inlineStr">
        <is>
          <t>Funded outside TDD ($m)</t>
        </is>
      </c>
      <c r="K48" s="1529" t="inlineStr">
        <is>
          <t>Actual cost after decisions ($m)</t>
        </is>
      </c>
      <c r="L48" s="1529" t="inlineStr">
        <is>
          <t>Variance to archetype ($m)</t>
        </is>
      </c>
    </row>
    <row r="49">
      <c r="B49" s="1788" t="inlineStr">
        <is>
          <t>Trading &amp; Shipping</t>
        </is>
      </c>
      <c r="C49" s="1946" t="n"/>
      <c r="D49" s="1788" t="str">
        <f>$B26</f>
        <v>Trading &amp; Shipping</v>
      </c>
      <c r="E49" s="1946" t="n"/>
      <c r="F49" s="1946" t="n"/>
      <c r="G49" s="1946" t="n"/>
      <c r="H49" s="1791">
        <f>IF(H26="","-",H26)</f>
        <v>2.1</v>
      </c>
      <c r="I49" s="1791">
        <f>IF(I26="","-",I26)</f>
        <v>0.84</v>
      </c>
      <c r="J49" s="1791">
        <f>IF(J26="","-",J26)</f>
        <v>1.26</v>
      </c>
      <c r="K49" s="1791">
        <f>IFERROR(INDEX('2.9 Commercial Fuels'!$P$8:$P$23,MATCH($D49,'2.9 Commercial Fuels'!$B$8:$B$23,0)),"-")</f>
        <v>2.6791435617</v>
      </c>
      <c r="L49" s="1791">
        <f>IF(AND(ISNUMBER($H49),ISNUMBER($K49)),ROUND($K49-$H49,6),"-")</f>
        <v>0.579144</v>
      </c>
    </row>
    <row r="50">
      <c r="B50" s="1788" t="inlineStr">
        <is>
          <t>Trading &amp; Shipping</t>
        </is>
      </c>
      <c r="C50" s="1946" t="n"/>
      <c r="D50" s="1788" t="str">
        <f>$B27</f>
        <v>Trading &amp; Shipping Data</v>
      </c>
      <c r="E50" s="1946" t="n"/>
      <c r="F50" s="1946" t="n"/>
      <c r="G50" s="1946" t="n"/>
      <c r="H50" s="1791">
        <f>IF(H27="","-",H27)</f>
        <v>0.68</v>
      </c>
      <c r="I50" s="1791">
        <f>IF(I27="","-",I27)</f>
        <v>0</v>
      </c>
      <c r="J50" s="1791">
        <f>IF(J27="","-",J27)</f>
        <v>0.68</v>
      </c>
      <c r="K50" s="1791">
        <f>IFERROR(INDEX('2.9 Commercial Fuels'!$P$8:$P$23,MATCH($D50,'2.9 Commercial Fuels'!$B$8:$B$23,0)),"-")</f>
        <v>2.106168849</v>
      </c>
      <c r="L50" s="1791">
        <f>IF(AND(ISNUMBER($H50),ISNUMBER($K50)),ROUND($K50-$H50,6),"-")</f>
        <v>1.426169</v>
      </c>
    </row>
    <row r="51">
      <c r="B51" s="1535" t="inlineStr">
        <is>
          <t>Trading &amp; Shipping total</t>
        </is>
      </c>
      <c r="C51" s="1947" t="n"/>
      <c r="D51" s="1947" t="n"/>
      <c r="E51" s="1947" t="n"/>
      <c r="F51" s="1947" t="n"/>
      <c r="G51" s="1947" t="n"/>
      <c r="H51" s="1771">
        <f>IF(COUNT($H49,$H50)=2,SUM($H49,$H50),"-")</f>
        <v>2.78</v>
      </c>
      <c r="I51" s="1771">
        <f>IF(COUNT($I49,$I50)=2,SUM($I49,$I50),"-")</f>
        <v>0.84</v>
      </c>
      <c r="J51" s="1771">
        <f>IF(COUNT($J49,$J50)=2,SUM($J49,$J50),"-")</f>
        <v>1.94</v>
      </c>
      <c r="K51" s="1771">
        <f>SUM($K49:$K50)</f>
        <v>4.7853124107</v>
      </c>
      <c r="L51" s="1771">
        <f>IF(AND(ISNUMBER($H51),ISNUMBER($K51)),ROUND($K51-$H51,6),"-")</f>
        <v>2.005312</v>
      </c>
    </row>
    <row r="52">
      <c r="B52" s="1788" t="inlineStr">
        <is>
          <t>Supply</t>
        </is>
      </c>
      <c r="C52" s="1946" t="n"/>
      <c r="D52" s="1788" t="str">
        <f>$B33</f>
        <v>Supply</v>
      </c>
      <c r="E52" s="1946" t="n"/>
      <c r="F52" s="1946" t="n"/>
      <c r="G52" s="1946" t="n"/>
      <c r="H52" s="1791">
        <f>IF(H33="","-",H33)</f>
        <v>2.1</v>
      </c>
      <c r="I52" s="1791">
        <f>IF(I33="","-",I33)</f>
        <v>0.42</v>
      </c>
      <c r="J52" s="1791">
        <f>IF(J33="","-",J33)</f>
        <v>1.68</v>
      </c>
      <c r="K52" s="1791">
        <f>IFERROR(INDEX('2.9 Commercial Fuels'!$P$8:$P$23,MATCH($D52,'2.9 Commercial Fuels'!$B$8:$B$23,0)),"-")</f>
        <v>1.05925575</v>
      </c>
      <c r="L52" s="1791">
        <f>IF(AND(ISNUMBER($H52),ISNUMBER($K52)),ROUND($K52-$H52,6),"-")</f>
        <v>-1.040744</v>
      </c>
    </row>
    <row r="53">
      <c r="B53" s="1535" t="inlineStr">
        <is>
          <t>Supply total</t>
        </is>
      </c>
      <c r="C53" s="1947" t="n"/>
      <c r="D53" s="1947" t="n"/>
      <c r="E53" s="1947" t="n"/>
      <c r="F53" s="1947" t="n"/>
      <c r="G53" s="1947" t="n"/>
      <c r="H53" s="1771">
        <f>IF(COUNT($H52)=1,SUM($H52),"-")</f>
        <v>2.1</v>
      </c>
      <c r="I53" s="1771">
        <f>IF(COUNT($I52)=1,SUM($I52),"-")</f>
        <v>0.42</v>
      </c>
      <c r="J53" s="1771">
        <f>IF(COUNT($J52)=1,SUM($J52),"-")</f>
        <v>1.68</v>
      </c>
      <c r="K53" s="1771">
        <f>SUM($K52:$K52)</f>
        <v>1.05925575</v>
      </c>
      <c r="L53" s="1771">
        <f>IF(AND(ISNUMBER($H53),ISNUMBER($K53)),ROUND($K53-$H53,6),"-")</f>
        <v>-1.040744</v>
      </c>
    </row>
    <row r="54">
      <c r="B54" s="1788" t="inlineStr">
        <is>
          <t>CTRM</t>
        </is>
      </c>
      <c r="C54" s="1946" t="n"/>
      <c r="D54" s="1788" t="str">
        <f>$B39</f>
        <v>CTRM</v>
      </c>
      <c r="E54" s="1946" t="n"/>
      <c r="F54" s="1946" t="n"/>
      <c r="G54" s="1946" t="n"/>
      <c r="H54" s="1791">
        <f>IF(H39="","-",H39)</f>
        <v>3.8</v>
      </c>
      <c r="I54" s="1791">
        <f>IF(I39="","-",I39)</f>
        <v>0</v>
      </c>
      <c r="J54" s="1791">
        <f>IF(J39="","-",J39)</f>
        <v>3.8</v>
      </c>
      <c r="K54" s="1791">
        <f>IFERROR(INDEX('2.9 Commercial Fuels'!$P$8:$P$23,MATCH($D54,'2.9 Commercial Fuels'!$B$8:$B$23,0)),"-")</f>
        <v>3.221759232</v>
      </c>
      <c r="L54" s="1791">
        <f>IF(AND(ISNUMBER($H54),ISNUMBER($K54)),ROUND($K54-$H54,6),"-")</f>
        <v>-0.578241</v>
      </c>
    </row>
    <row r="55">
      <c r="B55" s="1535" t="inlineStr">
        <is>
          <t>CTRM total</t>
        </is>
      </c>
      <c r="C55" s="1947" t="n"/>
      <c r="D55" s="1947" t="n"/>
      <c r="E55" s="1947" t="n"/>
      <c r="F55" s="1947" t="n"/>
      <c r="G55" s="1947" t="n"/>
      <c r="H55" s="1771">
        <f>IF(COUNT($H54)=1,SUM($H54),"-")</f>
        <v>3.8</v>
      </c>
      <c r="I55" s="1771">
        <f>IF(COUNT($I54)=1,SUM($I54),"-")</f>
        <v>0</v>
      </c>
      <c r="J55" s="1771">
        <f>IF(COUNT($J54)=1,SUM($J54),"-")</f>
        <v>3.8</v>
      </c>
      <c r="K55" s="1771">
        <f>SUM($K54:$K54)</f>
        <v>3.221759232</v>
      </c>
      <c r="L55" s="1771">
        <f>IF(AND(ISNUMBER($H55),ISNUMBER($K55)),ROUND($K55-$H55,6),"-")</f>
        <v>-0.578241</v>
      </c>
    </row>
    <row r="56">
      <c r="B56" s="1541" t="inlineStr">
        <is>
          <t>Squads priced by an archetype</t>
        </is>
      </c>
      <c r="C56" s="1948" t="n"/>
      <c r="D56" s="1948" t="n"/>
      <c r="E56" s="1948" t="n"/>
      <c r="F56" s="1948" t="n"/>
      <c r="G56" s="1948" t="n"/>
      <c r="H56" s="1949">
        <f>N($H51)+N($H53)+N($H55)</f>
        <v>8.68</v>
      </c>
      <c r="I56" s="1541" t="n"/>
      <c r="J56" s="1541" t="n"/>
      <c r="K56" s="1949">
        <f>N($K51)+N($K53)+N($K55)</f>
        <v>9.0663273927</v>
      </c>
      <c r="L56" s="1949">
        <f>IF(AND(ISNUMBER($H56),ISNUMBER($K56)),ROUND($K56-$H56,6),"-")</f>
        <v>0.386327</v>
      </c>
    </row>
    <row r="57">
      <c r="B57" s="1788" t="inlineStr">
        <is>
          <t>Overhead roles in this portfolio - no archetype prices them</t>
        </is>
      </c>
      <c r="C57" s="1946" t="n"/>
      <c r="D57" s="1946" t="n"/>
      <c r="E57" s="1946" t="n"/>
      <c r="F57" s="1946" t="n"/>
      <c r="G57" s="1946" t="n"/>
      <c r="H57" s="1791" t="str">
        <f>"-"</f>
        <v>-</v>
      </c>
      <c r="I57" s="1788" t="n"/>
      <c r="J57" s="1788" t="n"/>
      <c r="K57" s="1791">
        <f>N('2.9 Commercial Fuels'!$P$22)</f>
        <v>1.131342336</v>
      </c>
      <c r="L57" s="1791" t="str">
        <f>"-"</f>
        <v>-</v>
      </c>
    </row>
    <row r="58">
      <c r="B58" s="1788" t="inlineStr">
        <is>
          <t>On the working tab with no row on this tab</t>
        </is>
      </c>
      <c r="C58" s="1946" t="n"/>
      <c r="D58" s="1946" t="n"/>
      <c r="E58" s="1946" t="n"/>
      <c r="F58" s="1946" t="n"/>
      <c r="G58" s="1946" t="n"/>
      <c r="H58" s="1791" t="str">
        <f>"-"</f>
        <v>-</v>
      </c>
      <c r="I58" s="1788" t="n"/>
      <c r="J58" s="1788" t="n"/>
      <c r="K58" s="1791">
        <f>ROUND(N('2.9 Commercial Fuels'!$P$23)-$K56-$K57,6)</f>
        <v>0</v>
      </c>
      <c r="L58" s="1791" t="str">
        <f>"-"</f>
        <v>-</v>
      </c>
    </row>
    <row r="59">
      <c r="B59" s="1541" t="inlineStr">
        <is>
          <t>Total actual cost after decisions - ties to the working tab</t>
        </is>
      </c>
      <c r="C59" s="1948" t="n"/>
      <c r="D59" s="1948" t="n"/>
      <c r="E59" s="1948" t="n"/>
      <c r="F59" s="1948" t="n"/>
      <c r="G59" s="1948" t="n"/>
      <c r="H59" s="1949" t="str">
        <f>"-"</f>
        <v>-</v>
      </c>
      <c r="I59" s="1541" t="n"/>
      <c r="J59" s="1541" t="n"/>
      <c r="K59" s="1949">
        <f>'2.9 Commercial Fuels'!$P$23</f>
        <v>10.1976697287</v>
      </c>
      <c r="L59" s="1949" t="str">
        <f>"-"</f>
        <v>-</v>
      </c>
    </row>
    <row r="60">
      <c r="B60" s="1788" t="inlineStr">
        <is>
          <t>Control - every line above against the working tab, must be 0</t>
        </is>
      </c>
      <c r="C60" s="1946" t="n"/>
      <c r="D60" s="1946" t="n"/>
      <c r="E60" s="1946" t="n"/>
      <c r="F60" s="1946" t="n"/>
      <c r="G60" s="1946" t="n"/>
      <c r="K60" s="1806">
        <f>ROUND($K56+$K57+$K58-$K59,6)</f>
        <v>0</v>
      </c>
    </row>
  </sheetData>
  <mergeCells count="25">
    <mergeCell ref="B54:C54"/>
    <mergeCell ref="B60:G60"/>
    <mergeCell ref="B57:G57"/>
    <mergeCell ref="B13:D13"/>
    <mergeCell ref="H4:I4"/>
    <mergeCell ref="B53:G53"/>
    <mergeCell ref="D54:G54"/>
    <mergeCell ref="B52:C52"/>
    <mergeCell ref="B48:C48"/>
    <mergeCell ref="B37:J37"/>
    <mergeCell ref="B4:E4"/>
    <mergeCell ref="D50:G50"/>
    <mergeCell ref="B24:J24"/>
    <mergeCell ref="B55:G55"/>
    <mergeCell ref="B51:G51"/>
    <mergeCell ref="D52:G52"/>
    <mergeCell ref="D49:G49"/>
    <mergeCell ref="B49:C49"/>
    <mergeCell ref="D48:G48"/>
    <mergeCell ref="B59:G59"/>
    <mergeCell ref="B31:J31"/>
    <mergeCell ref="B50:C50"/>
    <mergeCell ref="B56:G56"/>
    <mergeCell ref="B58:G58"/>
    <mergeCell ref="B12:D12"/>
  </mergeCells>
  <dataValidations count="5">
    <dataValidation sqref="C26:C27 C33 C39" showDropDown="0" showInputMessage="0" showErrorMessage="1" allowBlank="1" errorTitle="Invalid entry" error="Pick a value from the list" type="list" errorStyle="stop" operator="between">
      <formula1>SquadTypes</formula1>
      <formula2>0</formula2>
    </dataValidation>
    <dataValidation sqref="D26:D27 D33 D39" showDropDown="0" showInputMessage="0" showErrorMessage="1" allowBlank="1" errorTitle="Invalid entry" error="Pick a value from the list" type="list" errorStyle="stop" operator="between">
      <formula1>SquadSizes</formula1>
      <formula2>0</formula2>
    </dataValidation>
    <dataValidation sqref="E26:E27 E33 E39" showDropDown="0" showInputMessage="0" showErrorMessage="1" allowBlank="1" errorTitle="Invalid entry" error="Pick a value from the list" type="list" errorStyle="stop" operator="between">
      <formula1>OnOff</formula1>
      <formula2>0</formula2>
    </dataValidation>
    <dataValidation sqref="G26:G27 G33 G39" showDropDown="0" showInputMessage="0" showErrorMessage="1" allowBlank="1" errorTitle="Invalid entry" error="Pick a value from the list" type="list" errorStyle="stop" operator="between">
      <formula1>SupportPct</formula1>
      <formula2>0</formula2>
    </dataValidation>
    <dataValidation sqref="F26:F27 F33 F39" showDropDown="0" showInputMessage="0" showErrorMessage="1" allowBlank="0" type="list" errorStyle="stop" operator="between">
      <formula1>"AU,NZ"</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8.xml><?xml version="1.0" encoding="utf-8"?>
<worksheet xmlns="http://schemas.openxmlformats.org/spreadsheetml/2006/main">
  <sheetPr filterMode="0">
    <tabColor rgb="FF1F4E79"/>
    <outlinePr summaryBelow="1" summaryRight="1"/>
    <pageSetUpPr fitToPage="1"/>
  </sheetPr>
  <dimension ref="B1:M5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G33" activeCellId="0" sqref="G33"/>
    </sheetView>
  </sheetViews>
  <sheetFormatPr baseColWidth="8" defaultColWidth="8.54296875" defaultRowHeight="14.25" zeroHeight="0" outlineLevelRow="0"/>
  <cols>
    <col width="2" customWidth="1" style="865" min="1" max="1"/>
    <col width="40" customWidth="1" style="865" min="2" max="2"/>
    <col width="26" customWidth="1" style="865" min="3" max="3"/>
    <col width="11" customWidth="1" style="865" min="4" max="4"/>
    <col width="18" customWidth="1" style="865" min="5" max="5"/>
    <col width="10" customWidth="1" style="865" min="6" max="6"/>
    <col width="15" customWidth="1" style="865" min="7" max="7"/>
    <col width="34" customWidth="1" style="865" min="8" max="8"/>
    <col width="14" customWidth="1" style="865" min="9" max="9"/>
    <col width="24" customWidth="1" style="865" min="10" max="10"/>
    <col width="22" customWidth="1" style="865" min="11" max="11"/>
    <col width="30" customWidth="1" style="865" min="12" max="12"/>
    <col width="9.449999999999999" customWidth="1" style="865" min="13" max="13"/>
    <col width="9" customWidth="1" style="865" min="14" max="14"/>
    <col width="15.45" customWidth="1" style="865" min="15" max="15"/>
    <col width="8.82" customWidth="1" style="865" min="16" max="16"/>
    <col width="18.54" customWidth="1" style="865" min="17" max="17"/>
  </cols>
  <sheetData>
    <row r="1" ht="14.25" customHeight="1" s="866">
      <c r="B1" s="865" t="n"/>
      <c r="C1" s="865" t="n"/>
      <c r="D1" s="865" t="n"/>
      <c r="E1" s="865" t="n"/>
      <c r="F1" s="1314" t="n"/>
      <c r="G1" s="865" t="n"/>
      <c r="H1" s="865" t="n"/>
      <c r="I1" s="865" t="n"/>
      <c r="J1" s="865" t="n"/>
      <c r="K1" s="865" t="n"/>
      <c r="L1" s="865" t="n"/>
      <c r="M1" s="865" t="n"/>
    </row>
    <row r="2" ht="21" customHeight="1" s="866">
      <c r="B2" s="1315" t="inlineStr">
        <is>
          <t>Z Retail</t>
        </is>
      </c>
      <c r="C2" s="865" t="n"/>
      <c r="D2" s="865" t="n"/>
      <c r="E2" s="865" t="n"/>
      <c r="F2" s="1314" t="n"/>
      <c r="G2" s="865" t="n"/>
      <c r="H2" s="865" t="n"/>
      <c r="I2" s="865" t="n"/>
      <c r="J2" s="865" t="n"/>
      <c r="K2" s="865" t="n"/>
      <c r="L2" s="865" t="n"/>
      <c r="M2" s="865" t="n"/>
    </row>
    <row r="3" ht="14.25" customHeight="1" s="866">
      <c r="B3" s="865" t="n"/>
      <c r="C3" s="865" t="n"/>
      <c r="D3" s="865" t="n"/>
      <c r="E3" s="865" t="n"/>
      <c r="F3" s="1314" t="n"/>
      <c r="G3" s="865" t="n"/>
      <c r="H3" s="865" t="n"/>
      <c r="I3" s="865" t="n"/>
      <c r="J3" s="865" t="n"/>
      <c r="K3" s="865" t="n"/>
      <c r="L3" s="865" t="n"/>
      <c r="M3" s="865" t="n"/>
    </row>
    <row r="4" ht="19" customHeight="1" s="866">
      <c r="B4" s="1316" t="inlineStr">
        <is>
          <t>Portfolio Summary</t>
        </is>
      </c>
      <c r="C4" s="1003" t="n"/>
      <c r="D4" s="1003" t="n"/>
      <c r="E4" s="1004" t="n"/>
      <c r="F4" s="1849" t="n"/>
      <c r="G4" s="865" t="n"/>
      <c r="H4" s="1317" t="inlineStr">
        <is>
          <t>Budget vs TDD Cost</t>
        </is>
      </c>
      <c r="I4" s="1318" t="n"/>
      <c r="J4" s="865" t="n"/>
      <c r="K4" s="865" t="n"/>
      <c r="L4" s="865" t="n"/>
      <c r="M4" s="865" t="n"/>
    </row>
    <row r="5" ht="31.5" customHeight="1" s="866">
      <c r="B5" s="1319" t="inlineStr">
        <is>
          <t>Cost</t>
        </is>
      </c>
      <c r="C5" s="1320" t="inlineStr">
        <is>
          <t>TDD AU ($m)</t>
        </is>
      </c>
      <c r="D5" s="1320" t="inlineStr">
        <is>
          <t>TDD NZ ($m)</t>
        </is>
      </c>
      <c r="E5" s="1320" t="inlineStr">
        <is>
          <t>Other ($m)</t>
        </is>
      </c>
      <c r="F5" s="1320" t="inlineStr">
        <is>
          <t>Total ($m)</t>
        </is>
      </c>
      <c r="G5" s="865" t="n"/>
      <c r="H5" s="1321" t="inlineStr">
        <is>
          <t>TDD Budget Allocation (people - 0.2 Data Config)</t>
        </is>
      </c>
      <c r="I5" s="1850">
        <f>'0.2 Data Config'!$E$12</f>
        <v>6.5</v>
      </c>
      <c r="J5" s="865" t="n"/>
      <c r="K5" s="865" t="n"/>
      <c r="L5" s="865" t="n"/>
      <c r="M5" s="865" t="n"/>
    </row>
    <row r="6" ht="14.25" customHeight="1" s="866">
      <c r="B6" s="1012" t="inlineStr">
        <is>
          <t>Portfolio Overhead (see 0.2 Data Config)</t>
        </is>
      </c>
      <c r="C6" s="1323">
        <f>IF('0.2 Data Config'!$D$12&gt;'0.2 Data Config'!$C$12,0,'0.2 Data Config'!$L$10)</f>
        <v>0</v>
      </c>
      <c r="D6" s="1323">
        <f>IF('0.2 Data Config'!$D$12&gt;'0.2 Data Config'!$C$12,'0.2 Data Config'!$L$10,0)</f>
        <v>0.7975</v>
      </c>
      <c r="E6" s="1323">
        <f>0</f>
        <v>0</v>
      </c>
      <c r="F6" s="1323">
        <f>C6+D6+E6</f>
        <v>0.7975</v>
      </c>
      <c r="G6" s="865" t="n"/>
      <c r="H6" s="1369" t="inlineStr">
        <is>
          <t>AU Budget ($m)</t>
        </is>
      </c>
      <c r="I6" s="1323">
        <f>'0.2 Data Config'!$C$12</f>
        <v>0</v>
      </c>
      <c r="J6" s="865" t="n"/>
      <c r="K6" s="865" t="n"/>
      <c r="L6" s="865" t="n"/>
      <c r="M6" s="865" t="n"/>
    </row>
    <row r="7" ht="14.25" customHeight="1" s="866">
      <c r="B7" s="1012" t="inlineStr">
        <is>
          <t>Platform Overheads</t>
        </is>
      </c>
      <c r="C7" s="1323">
        <f>IF('0.2 Data Config'!$D$12&gt;'0.2 Data Config'!$C$12,0,SUM(I27,I34,I40))</f>
        <v>0</v>
      </c>
      <c r="D7" s="1323">
        <f>IF('0.2 Data Config'!$D$12&gt;'0.2 Data Config'!$C$12,SUM(I27,I34,I40),0)</f>
        <v>0.33</v>
      </c>
      <c r="E7" s="1323">
        <f>0</f>
        <v>0</v>
      </c>
      <c r="F7" s="1323">
        <f>C7+D7+E7</f>
        <v>0.33</v>
      </c>
      <c r="G7" s="865" t="n"/>
      <c r="H7" s="1370" t="inlineStr">
        <is>
          <t>NZ Budget ($m)</t>
        </is>
      </c>
      <c r="I7" s="1371">
        <f>'0.2 Data Config'!$D$12</f>
        <v>6.5</v>
      </c>
      <c r="J7" s="865" t="inlineStr">
        <is>
          <t>Z funded - out of Z OpEx</t>
        </is>
      </c>
      <c r="K7" s="865" t="n"/>
      <c r="L7" s="865" t="n"/>
      <c r="M7" s="865" t="n"/>
    </row>
    <row r="8" ht="14.25" customHeight="1" s="866">
      <c r="B8" s="1012" t="inlineStr">
        <is>
          <t>Squad Support Costs</t>
        </is>
      </c>
      <c r="C8" s="1323">
        <f>SUMIF($F$26:$F$26,"AU",$I$26:$I$26)+SUMIF($F$32:$F$33,"AU",$I$32:$I$33)+SUMIF($F$39:$F$39,"AU",$I$39:$I$39)</f>
        <v>0</v>
      </c>
      <c r="D8" s="1323">
        <f>SUMIF($F$26:$F$26,"NZ",$I$26:$I$26)+SUMIF($F$32:$F$33,"NZ",$I$32:$I$33)+SUMIF($F$39:$F$39,"NZ",$I$39:$I$39)</f>
        <v>5.492</v>
      </c>
      <c r="E8" s="1323">
        <f>SUM($J$26:$J$26)+SUM($J$32:$J$33)+SUM($J$39:$J$39)</f>
        <v>1.288</v>
      </c>
      <c r="F8" s="1323">
        <f>C8+D8+E8</f>
        <v>6.78</v>
      </c>
      <c r="G8" s="865" t="n"/>
      <c r="H8" s="1372" t="inlineStr">
        <is>
          <t>AU over/(under) budget ($m)</t>
        </is>
      </c>
      <c r="I8" s="1373">
        <f>C9-I6</f>
        <v>0</v>
      </c>
      <c r="J8" s="865" t="n"/>
      <c r="K8" s="865" t="n"/>
      <c r="L8" s="865" t="n"/>
      <c r="M8" s="865" t="n"/>
    </row>
    <row r="9" ht="14.25" customHeight="1" s="866">
      <c r="B9" s="1330" t="inlineStr">
        <is>
          <t>Total Cost</t>
        </is>
      </c>
      <c r="C9" s="1331">
        <f>SUM(C6:C8)</f>
        <v>0</v>
      </c>
      <c r="D9" s="1331">
        <f>SUM(D6:D8)</f>
        <v>6.6195</v>
      </c>
      <c r="E9" s="1331">
        <f>SUM(E6:E8)</f>
        <v>1.288</v>
      </c>
      <c r="F9" s="1331">
        <f>SUM(F6:F8)</f>
        <v>7.9075</v>
      </c>
      <c r="G9" s="865" t="n"/>
      <c r="H9" s="1372" t="inlineStr">
        <is>
          <t>NZ over/(under) budget ($m)</t>
        </is>
      </c>
      <c r="I9" s="1373">
        <f>D9-I7</f>
        <v>0.119500000000001</v>
      </c>
      <c r="J9" s="865" t="n"/>
      <c r="K9" s="865" t="n"/>
      <c r="L9" s="865" t="n"/>
      <c r="M9" s="865" t="n"/>
    </row>
    <row r="10" ht="14.25" customHeight="1" s="866">
      <c r="B10" s="865" t="n"/>
      <c r="C10" s="865" t="n"/>
      <c r="D10" s="865" t="n"/>
      <c r="E10" s="865" t="n"/>
      <c r="F10" s="865" t="n"/>
      <c r="G10" s="865" t="n"/>
      <c r="H10" s="1372" t="inlineStr">
        <is>
          <t>TDD over/(under) budget ($m)</t>
        </is>
      </c>
      <c r="I10" s="1373">
        <f>I8+I9</f>
        <v>0.119500000000001</v>
      </c>
      <c r="J10" s="865" t="n"/>
      <c r="K10" s="865" t="n"/>
      <c r="L10" s="865" t="n"/>
      <c r="M10" s="865" t="n"/>
    </row>
    <row r="11" ht="14.25" customHeight="1" s="866">
      <c r="B11" s="865" t="n"/>
      <c r="C11" s="865" t="n"/>
      <c r="D11" s="865" t="n"/>
      <c r="E11" s="865" t="n"/>
      <c r="F11" s="865" t="n"/>
      <c r="G11" s="865" t="n"/>
      <c r="H11" s="1374" t="n"/>
      <c r="I11" s="1375" t="n"/>
      <c r="J11" s="865" t="n"/>
      <c r="K11" s="865" t="n"/>
      <c r="L11" s="865" t="n"/>
      <c r="M11" s="865" t="n"/>
    </row>
    <row r="12" ht="14.25" customHeight="1" s="866">
      <c r="B12" s="865" t="n"/>
      <c r="C12" s="865" t="n"/>
      <c r="D12" s="865" t="n"/>
      <c r="E12" s="865" t="n"/>
      <c r="F12" s="1314" t="n"/>
      <c r="G12" s="865" t="n"/>
      <c r="H12" s="1376" t="inlineStr">
        <is>
          <t xml:space="preserve">Other funding </t>
        </is>
      </c>
      <c r="I12" s="1352" t="n"/>
      <c r="J12" s="1352" t="n"/>
      <c r="K12" s="1353" t="n"/>
      <c r="L12" s="865" t="n"/>
      <c r="M12" s="865" t="n"/>
    </row>
    <row r="13" ht="31.5" customHeight="1" s="866">
      <c r="B13" s="1377" t="inlineStr">
        <is>
          <t xml:space="preserve">Total Z-Energy budget </t>
        </is>
      </c>
      <c r="D13" s="1378" t="n"/>
      <c r="E13" s="1379">
        <f>SUM(I14:I18)</f>
        <v>76.6</v>
      </c>
      <c r="F13" s="1314" t="n"/>
      <c r="G13" s="865" t="n"/>
      <c r="H13" s="1380" t="inlineStr">
        <is>
          <t>Budget line</t>
        </is>
      </c>
      <c r="I13" s="1380" t="inlineStr">
        <is>
          <t>Budget ($m)</t>
        </is>
      </c>
      <c r="J13" s="1380" t="inlineStr">
        <is>
          <t>Amount that can be allocated to people</t>
        </is>
      </c>
      <c r="K13" s="1380" t="inlineStr">
        <is>
          <t>Remaining for non-people ($m)</t>
        </is>
      </c>
      <c r="L13" s="865" t="n"/>
      <c r="M13" s="865" t="n"/>
    </row>
    <row r="14" ht="14.25" customHeight="1" s="866">
      <c r="B14" s="1381" t="inlineStr">
        <is>
          <t xml:space="preserve">Reconciled to Finance </t>
        </is>
      </c>
      <c r="D14" s="1378" t="n"/>
      <c r="E14" s="1354">
        <f>N('0.1 Budget Table (Fin)'!Q6)</f>
        <v>76.6</v>
      </c>
      <c r="F14" s="1314" t="n"/>
      <c r="G14" s="865" t="n"/>
      <c r="H14" s="1382" t="inlineStr">
        <is>
          <t>Z-Energy Lights On</t>
        </is>
      </c>
      <c r="I14" s="1855">
        <f>N('0.1 Budget Table (Fin)'!L6)</f>
        <v>52.2</v>
      </c>
      <c r="J14" s="1384" t="n"/>
      <c r="K14" s="1385">
        <f>IFERROR(I14-J14,0)</f>
        <v>52.2</v>
      </c>
      <c r="L14" s="865" t="n"/>
      <c r="M14" s="865" t="n"/>
    </row>
    <row r="15" ht="14.25" customHeight="1" s="866">
      <c r="B15" s="865" t="n"/>
      <c r="C15" s="865" t="n"/>
      <c r="D15" s="865" t="n"/>
      <c r="E15" s="865" t="n"/>
      <c r="F15" s="1314" t="n"/>
      <c r="G15" s="865" t="n"/>
      <c r="H15" s="1382" t="inlineStr">
        <is>
          <t>OpEx Initiatives</t>
        </is>
      </c>
      <c r="I15" s="1855">
        <f>N('0.1 Budget Table (Fin)'!N6)</f>
        <v>1.4</v>
      </c>
      <c r="J15" s="1856" t="n">
        <v>0</v>
      </c>
      <c r="K15" s="1385">
        <f>IFERROR(I15-J15,0)</f>
        <v>1.4</v>
      </c>
      <c r="L15" s="865" t="n"/>
      <c r="M15" s="865" t="n"/>
    </row>
    <row r="16" ht="14.25" customHeight="1" s="866">
      <c r="B16" s="1336" t="inlineStr">
        <is>
          <t>Funding position ($m)</t>
        </is>
      </c>
      <c r="C16" s="1337" t="n"/>
      <c r="D16" s="865" t="n"/>
      <c r="E16" s="865" t="n"/>
      <c r="F16" s="1314" t="n"/>
      <c r="G16" s="865" t="n"/>
      <c r="H16" s="1382" t="inlineStr">
        <is>
          <t>CapEx</t>
        </is>
      </c>
      <c r="I16" s="1855">
        <f>N('0.1 Budget Table (Fin)'!P6)</f>
        <v>11.7</v>
      </c>
      <c r="J16" s="1856" t="n">
        <v>1.08</v>
      </c>
      <c r="K16" s="1385">
        <f>IFERROR(I16-J16,0)</f>
        <v>10.62</v>
      </c>
      <c r="L16" s="865" t="n"/>
      <c r="M16" s="865" t="n"/>
    </row>
    <row r="17" ht="14.25" customHeight="1" s="866">
      <c r="B17" s="1338" t="inlineStr">
        <is>
          <t>Over/(under) TDD budget</t>
        </is>
      </c>
      <c r="C17" s="1339">
        <f>$I$8+$I$9</f>
        <v>0.119500000000001</v>
      </c>
      <c r="D17" s="865" t="n"/>
      <c r="E17" s="865" t="n"/>
      <c r="F17" s="1314" t="n"/>
      <c r="G17" s="865" t="n"/>
      <c r="H17" s="1382" t="inlineStr">
        <is>
          <t>Significant Items</t>
        </is>
      </c>
      <c r="I17" s="1855">
        <f>N('0.1 Budget Table (Fin)'!$O$6)</f>
        <v>0</v>
      </c>
      <c r="J17" s="1856" t="n">
        <v>0</v>
      </c>
      <c r="K17" s="1385">
        <f>IFERROR(I17-J17,0)</f>
        <v>0</v>
      </c>
      <c r="L17" s="865" t="n"/>
      <c r="M17" s="865" t="n"/>
    </row>
    <row r="18" ht="14.25" customHeight="1" s="866">
      <c r="B18" s="1338" t="inlineStr">
        <is>
          <t>Still to fund outside TDD</t>
        </is>
      </c>
      <c r="C18" s="1339">
        <f>$J21</f>
        <v>0.208</v>
      </c>
      <c r="D18" s="865" t="n"/>
      <c r="E18" s="865" t="n"/>
      <c r="F18" s="1314" t="n"/>
      <c r="G18" s="865" t="n"/>
      <c r="H18" s="1382" t="inlineStr">
        <is>
          <t>Depreciation</t>
        </is>
      </c>
      <c r="I18" s="1855">
        <f>N('0.1 Budget Table (Fin)'!M6)</f>
        <v>11.3</v>
      </c>
      <c r="J18" s="1856" t="n">
        <v>0</v>
      </c>
      <c r="K18" s="1385">
        <f>IFERROR(I18-J18,0)</f>
        <v>11.3</v>
      </c>
      <c r="L18" s="865" t="n"/>
      <c r="M18" s="865" t="n"/>
    </row>
    <row r="19" ht="14.25" customHeight="1" s="866">
      <c r="B19" s="1344" t="inlineStr">
        <is>
          <t>Total to fund</t>
        </is>
      </c>
      <c r="C19" s="1345">
        <f>$C17+$C18</f>
        <v>0.327500000000001</v>
      </c>
      <c r="D19" s="865" t="n"/>
      <c r="E19" s="865" t="n"/>
      <c r="F19" s="1314" t="n"/>
      <c r="G19" s="865" t="n"/>
      <c r="H19" s="1387" t="inlineStr">
        <is>
          <t>Total applied</t>
        </is>
      </c>
      <c r="I19" s="1384" t="n"/>
      <c r="J19" s="1388">
        <f>SUM(J14:J18)</f>
        <v>1.08</v>
      </c>
      <c r="K19" s="1384" t="n"/>
      <c r="L19" s="865" t="n"/>
      <c r="M19" s="865" t="n"/>
    </row>
    <row r="20" ht="14.25" customHeight="1" s="866">
      <c r="B20" s="865" t="n"/>
      <c r="C20" s="865" t="n"/>
      <c r="D20" s="865" t="n"/>
      <c r="E20" s="865" t="n"/>
      <c r="F20" s="1314" t="n"/>
      <c r="G20" s="865" t="n"/>
      <c r="H20" s="1382" t="inlineStr">
        <is>
          <t>Other cost (this model)</t>
        </is>
      </c>
      <c r="I20" s="1384" t="n"/>
      <c r="J20" s="1385">
        <f>E9</f>
        <v>1.288</v>
      </c>
      <c r="K20" s="1384" t="n"/>
      <c r="L20" s="865" t="n"/>
      <c r="M20" s="865" t="n"/>
    </row>
    <row r="21" ht="14.25" customHeight="1" s="866">
      <c r="B21" s="865" t="n"/>
      <c r="C21" s="865" t="n"/>
      <c r="D21" s="865" t="n"/>
      <c r="E21" s="865" t="n"/>
      <c r="F21" s="1314" t="n"/>
      <c r="G21" s="865" t="n"/>
      <c r="H21" s="1389" t="inlineStr">
        <is>
          <t>Left to fund</t>
        </is>
      </c>
      <c r="I21" s="1384" t="n"/>
      <c r="J21" s="1390">
        <f>E9-(J19-J14)</f>
        <v>0.208</v>
      </c>
      <c r="K21" s="1384" t="n"/>
      <c r="L21" s="865" t="n"/>
      <c r="M21" s="865" t="n"/>
    </row>
    <row r="22" ht="14.25" customHeight="1" s="866">
      <c r="B22" s="865" t="n"/>
      <c r="C22" s="865" t="n"/>
      <c r="D22" s="865" t="n"/>
      <c r="E22" s="865" t="n"/>
      <c r="F22" s="1314" t="n"/>
      <c r="G22" s="865" t="n"/>
      <c r="H22" s="865" t="n"/>
      <c r="I22" s="865" t="n"/>
      <c r="J22" s="865" t="n"/>
      <c r="K22" s="865" t="n"/>
      <c r="L22" s="865" t="n"/>
      <c r="M22" s="865" t="n"/>
    </row>
    <row r="23" ht="14.25" customHeight="1" s="866">
      <c r="B23" s="1861" t="n"/>
      <c r="C23" s="865" t="n"/>
      <c r="D23" s="865" t="n"/>
      <c r="E23" s="865" t="n"/>
      <c r="F23" s="1314" t="n"/>
      <c r="G23" s="865" t="n"/>
      <c r="H23" s="865" t="n"/>
      <c r="I23" s="865" t="n"/>
      <c r="J23" s="865" t="n"/>
      <c r="K23" s="865" t="n"/>
      <c r="L23" s="865" t="n"/>
      <c r="M23" s="865" t="n"/>
    </row>
    <row r="24" ht="19" customHeight="1" s="866">
      <c r="B24" s="1391" t="inlineStr">
        <is>
          <t>Platform: Z Supply</t>
        </is>
      </c>
      <c r="C24" s="1352" t="n"/>
      <c r="D24" s="1352" t="n"/>
      <c r="E24" s="1352" t="n"/>
      <c r="F24" s="1352" t="n"/>
      <c r="G24" s="1352" t="n"/>
      <c r="H24" s="1352" t="n"/>
      <c r="I24" s="1352" t="n"/>
      <c r="J24" s="1353" t="n"/>
      <c r="K24" s="865" t="n"/>
      <c r="L24" s="865" t="n"/>
      <c r="M24" s="865" t="n"/>
    </row>
    <row r="25" ht="31.5" customHeight="1" s="866">
      <c r="B25" s="1380" t="inlineStr">
        <is>
          <t>Squad</t>
        </is>
      </c>
      <c r="C25" s="1380" t="inlineStr">
        <is>
          <t>Squad Type</t>
        </is>
      </c>
      <c r="D25" s="1380" t="inlineStr">
        <is>
          <t>Size</t>
        </is>
      </c>
      <c r="E25" s="1380" t="inlineStr">
        <is>
          <t>Onshore / Offshore</t>
        </is>
      </c>
      <c r="F25" s="1320" t="inlineStr">
        <is>
          <t>AU / NZ</t>
        </is>
      </c>
      <c r="G25" s="1380" t="inlineStr">
        <is>
          <t>% funded by TDD</t>
        </is>
      </c>
      <c r="H25" s="1380" t="inlineStr">
        <is>
          <t>Total Squad Cost ($m)</t>
        </is>
      </c>
      <c r="I25" s="1380" t="inlineStr">
        <is>
          <t>TDD Cost ($m)</t>
        </is>
      </c>
      <c r="J25" s="1380" t="inlineStr">
        <is>
          <t>Funded outside TDD ($m)</t>
        </is>
      </c>
      <c r="K25" s="865" t="n"/>
      <c r="L25" s="865" t="n"/>
      <c r="M25" s="865" t="n"/>
    </row>
    <row r="26" ht="14.25" customHeight="1" s="866">
      <c r="B26" s="1382" t="inlineStr">
        <is>
          <t>Z Supply</t>
        </is>
      </c>
      <c r="C26" s="1392" t="inlineStr">
        <is>
          <t>Build and Run</t>
        </is>
      </c>
      <c r="D26" s="1392" t="inlineStr">
        <is>
          <t>M</t>
        </is>
      </c>
      <c r="E26" s="1392" t="inlineStr">
        <is>
          <t>Onshore</t>
        </is>
      </c>
      <c r="F26" s="1358" t="inlineStr">
        <is>
          <t>NZ</t>
        </is>
      </c>
      <c r="G26" s="1393" t="n">
        <v>0.8</v>
      </c>
      <c r="H26" s="1855">
        <f>IFERROR(IF($E26="Onshore",INDEX('0.3 Squad Archetypes'!$G$5:$G$23,MATCH($C26&amp;"|"&amp;$D26,'0.3 Squad Archetypes'!$A$5:$A$23,0)),INDEX('0.3 Squad Archetypes'!$H$5:$H$23,MATCH($C26&amp;"|"&amp;$D26,'0.3 Squad Archetypes'!$A$5:$A$23,0))),"check size")</f>
        <v>2</v>
      </c>
      <c r="I26" s="1385">
        <f>IFERROR($H26*$G26,"")</f>
        <v>1.6</v>
      </c>
      <c r="J26" s="1385">
        <f>IFERROR($H26*(1-$G26),"")</f>
        <v>0.4</v>
      </c>
      <c r="K26" s="865" t="n"/>
      <c r="L26" s="1360" t="n"/>
      <c r="M26" s="865" t="n"/>
    </row>
    <row r="27" ht="14.25" customHeight="1" s="866">
      <c r="B27" s="1382" t="inlineStr">
        <is>
          <t>Platform Overhead</t>
        </is>
      </c>
      <c r="C27" s="1384" t="n"/>
      <c r="D27" s="1384" t="n"/>
      <c r="E27" s="1384" t="n"/>
      <c r="F27" s="1314" t="n"/>
      <c r="G27" s="1384" t="n"/>
      <c r="H27" s="1384" t="n"/>
      <c r="I27" s="1855">
        <f>'0.2 Data Config'!$L$16</f>
        <v>0.165</v>
      </c>
      <c r="J27" s="1384" t="n"/>
      <c r="K27" s="865" t="n"/>
      <c r="L27" s="865" t="n"/>
      <c r="M27" s="865" t="n"/>
    </row>
    <row r="28" ht="14.25" customHeight="1" s="866">
      <c r="B28" s="1389" t="inlineStr">
        <is>
          <t>Z Supply Total</t>
        </is>
      </c>
      <c r="C28" s="1361" t="n"/>
      <c r="D28" s="1361" t="n"/>
      <c r="E28" s="1361" t="n"/>
      <c r="F28" s="1314" t="n"/>
      <c r="G28" s="1361" t="n"/>
      <c r="H28" s="1394">
        <f>SUM(H26:H26)</f>
        <v>2</v>
      </c>
      <c r="I28" s="1390">
        <f>SUM(I26:I27)</f>
        <v>1.765</v>
      </c>
      <c r="J28" s="1390">
        <f>SUM(J26:J26)</f>
        <v>0.4</v>
      </c>
      <c r="K28" s="865" t="n"/>
      <c r="L28" s="865" t="n"/>
      <c r="M28" s="865" t="n"/>
    </row>
    <row r="29" ht="14.25" customHeight="1" s="866">
      <c r="B29" s="865" t="n"/>
      <c r="C29" s="865" t="n"/>
      <c r="D29" s="865" t="n"/>
      <c r="E29" s="865" t="n"/>
      <c r="F29" s="1314" t="n"/>
      <c r="G29" s="865" t="n"/>
      <c r="H29" s="865" t="n"/>
      <c r="I29" s="865" t="n"/>
      <c r="J29" s="865" t="n"/>
      <c r="K29" s="865" t="n"/>
      <c r="L29" s="865" t="n"/>
      <c r="M29" s="865" t="n"/>
    </row>
    <row r="30" ht="19" customHeight="1" s="866">
      <c r="B30" s="1376" t="inlineStr">
        <is>
          <t>Platform: Z Customer</t>
        </is>
      </c>
      <c r="C30" s="1352" t="n"/>
      <c r="D30" s="1352" t="n"/>
      <c r="E30" s="1352" t="n"/>
      <c r="F30" s="1352" t="n"/>
      <c r="G30" s="1352" t="n"/>
      <c r="H30" s="1352" t="n"/>
      <c r="I30" s="1352" t="n"/>
      <c r="J30" s="1353" t="n"/>
      <c r="K30" s="865" t="n"/>
      <c r="L30" s="865" t="n"/>
      <c r="M30" s="865" t="n"/>
    </row>
    <row r="31" ht="31.5" customHeight="1" s="866">
      <c r="B31" s="1380" t="inlineStr">
        <is>
          <t>Squad</t>
        </is>
      </c>
      <c r="C31" s="1380" t="inlineStr">
        <is>
          <t>Squad Type</t>
        </is>
      </c>
      <c r="D31" s="1380" t="inlineStr">
        <is>
          <t>Size</t>
        </is>
      </c>
      <c r="E31" s="1380" t="inlineStr">
        <is>
          <t>Onshore / Offshore</t>
        </is>
      </c>
      <c r="F31" s="1320" t="inlineStr">
        <is>
          <t>AU / NZ</t>
        </is>
      </c>
      <c r="G31" s="1380" t="inlineStr">
        <is>
          <t>% funded by TDD</t>
        </is>
      </c>
      <c r="H31" s="1380" t="inlineStr">
        <is>
          <t>Total Squad Cost ($m)</t>
        </is>
      </c>
      <c r="I31" s="1380" t="inlineStr">
        <is>
          <t>TDD Cost ($m)</t>
        </is>
      </c>
      <c r="J31" s="1380" t="inlineStr">
        <is>
          <t>Funded outside TDD ($m)</t>
        </is>
      </c>
      <c r="K31" s="865" t="n"/>
      <c r="L31" s="1356" t="n"/>
      <c r="M31" s="865" t="n"/>
    </row>
    <row r="32" ht="14.25" customHeight="1" s="866">
      <c r="B32" s="1382" t="inlineStr">
        <is>
          <t>Site Systems</t>
        </is>
      </c>
      <c r="C32" s="1392" t="inlineStr">
        <is>
          <t>Configuration / Integration</t>
        </is>
      </c>
      <c r="D32" s="1392" t="inlineStr">
        <is>
          <t>M</t>
        </is>
      </c>
      <c r="E32" s="1392" t="inlineStr">
        <is>
          <t>Onshore</t>
        </is>
      </c>
      <c r="F32" s="1358" t="inlineStr">
        <is>
          <t>NZ</t>
        </is>
      </c>
      <c r="G32" s="1393" t="n">
        <v>0.8</v>
      </c>
      <c r="H32" s="1855">
        <f>IFERROR(IF($E32="Onshore",INDEX('0.3 Squad Archetypes'!$G$5:$G$23,MATCH($C32&amp;"|"&amp;$D32,'0.3 Squad Archetypes'!$A$5:$A$23,0)),INDEX('0.3 Squad Archetypes'!$H$5:$H$23,MATCH($C32&amp;"|"&amp;$D32,'0.3 Squad Archetypes'!$A$5:$A$23,0))),"check size")</f>
        <v>2.1</v>
      </c>
      <c r="I32" s="1385">
        <f>IFERROR($H32*$G32,"")</f>
        <v>1.68</v>
      </c>
      <c r="J32" s="1385">
        <f>IFERROR($H32*(1-$G32),"")</f>
        <v>0.42</v>
      </c>
      <c r="K32" s="865" t="n"/>
      <c r="L32" s="1360" t="n"/>
      <c r="M32" s="865" t="n"/>
    </row>
    <row r="33" ht="14.25" customHeight="1" s="866">
      <c r="B33" s="1382" t="inlineStr">
        <is>
          <t>Z Retail Backend</t>
        </is>
      </c>
      <c r="C33" s="1392" t="inlineStr">
        <is>
          <t>Build and Run</t>
        </is>
      </c>
      <c r="D33" s="1392" t="inlineStr">
        <is>
          <t>M</t>
        </is>
      </c>
      <c r="E33" s="1392" t="inlineStr">
        <is>
          <t>Onshore</t>
        </is>
      </c>
      <c r="F33" s="1358" t="inlineStr">
        <is>
          <t>NZ</t>
        </is>
      </c>
      <c r="G33" s="1393" t="n">
        <v>0.8</v>
      </c>
      <c r="H33" s="1855">
        <f>IFERROR(IF($E33="Onshore",INDEX('0.3 Squad Archetypes'!$G$5:$G$23,MATCH($C33&amp;"|"&amp;$D33,'0.3 Squad Archetypes'!$A$5:$A$23,0)),INDEX('0.3 Squad Archetypes'!$H$5:$H$23,MATCH($C33&amp;"|"&amp;$D33,'0.3 Squad Archetypes'!$A$5:$A$23,0))),"check size")</f>
        <v>2</v>
      </c>
      <c r="I33" s="1385">
        <f>IFERROR($H33*$G33,"")</f>
        <v>1.6</v>
      </c>
      <c r="J33" s="1385">
        <f>IFERROR($H33*(1-$G33),"")</f>
        <v>0.4</v>
      </c>
      <c r="K33" s="865" t="n"/>
      <c r="L33" s="1360" t="n"/>
      <c r="M33" s="865" t="n"/>
    </row>
    <row r="34" ht="14.25" customHeight="1" s="866">
      <c r="B34" s="1382" t="inlineStr">
        <is>
          <t>Platform Overhead</t>
        </is>
      </c>
      <c r="C34" s="1384" t="n"/>
      <c r="D34" s="1384" t="n"/>
      <c r="E34" s="1384" t="n"/>
      <c r="F34" s="1314" t="n"/>
      <c r="G34" s="1384" t="n"/>
      <c r="H34" s="1384" t="n"/>
      <c r="I34" s="1855">
        <f>'0.2 Data Config'!$L$16</f>
        <v>0.165</v>
      </c>
      <c r="J34" s="1384" t="n"/>
      <c r="K34" s="865" t="n"/>
      <c r="L34" s="865" t="n"/>
      <c r="M34" s="865" t="n"/>
    </row>
    <row r="35" ht="14.25" customHeight="1" s="866">
      <c r="B35" s="1389" t="inlineStr">
        <is>
          <t>Z Customer Total</t>
        </is>
      </c>
      <c r="C35" s="1361" t="n"/>
      <c r="D35" s="1361" t="n"/>
      <c r="E35" s="1361" t="n"/>
      <c r="F35" s="1314" t="n"/>
      <c r="G35" s="1361" t="n"/>
      <c r="H35" s="1390">
        <f>SUM(H32:H33)</f>
        <v>4.1</v>
      </c>
      <c r="I35" s="1390">
        <f>SUM(I32:I34)</f>
        <v>3.445</v>
      </c>
      <c r="J35" s="1390">
        <f>SUM(J32:J33)</f>
        <v>0.82</v>
      </c>
      <c r="K35" s="865" t="n"/>
      <c r="L35" s="865" t="n"/>
      <c r="M35" s="865" t="n"/>
    </row>
    <row r="36" ht="14.25" customHeight="1" s="866">
      <c r="B36" s="865" t="n"/>
      <c r="C36" s="865" t="n"/>
      <c r="D36" s="865" t="n"/>
      <c r="E36" s="865" t="n"/>
      <c r="F36" s="1314" t="n"/>
      <c r="G36" s="865" t="n"/>
      <c r="H36" s="865" t="n"/>
      <c r="I36" s="865" t="n"/>
      <c r="J36" s="865" t="n"/>
      <c r="K36" s="865" t="n"/>
      <c r="L36" s="865" t="n"/>
      <c r="M36" s="865" t="n"/>
    </row>
    <row r="37" ht="19" customHeight="1" s="866">
      <c r="B37" s="1316" t="inlineStr">
        <is>
          <t>Platform: Data NZ</t>
        </is>
      </c>
      <c r="C37" s="1003" t="n"/>
      <c r="D37" s="1003" t="n"/>
      <c r="E37" s="1003" t="n"/>
      <c r="F37" s="1003" t="n"/>
      <c r="G37" s="1003" t="n"/>
      <c r="H37" s="1003" t="n"/>
      <c r="I37" s="1003" t="n"/>
      <c r="J37" s="1004" t="n"/>
      <c r="K37" s="865" t="n"/>
      <c r="L37" s="865" t="n"/>
      <c r="M37" s="865" t="n"/>
    </row>
    <row r="38" ht="31.5" customHeight="1" s="866">
      <c r="B38" s="1319" t="inlineStr">
        <is>
          <t>Squad</t>
        </is>
      </c>
      <c r="C38" s="1319" t="inlineStr">
        <is>
          <t>Squad Type</t>
        </is>
      </c>
      <c r="D38" s="1319" t="inlineStr">
        <is>
          <t>Size</t>
        </is>
      </c>
      <c r="E38" s="1319" t="inlineStr">
        <is>
          <t>Onshore / Offshore</t>
        </is>
      </c>
      <c r="F38" s="1320" t="inlineStr">
        <is>
          <t>AU / NZ</t>
        </is>
      </c>
      <c r="G38" s="1319" t="inlineStr">
        <is>
          <t>% funded by TDD</t>
        </is>
      </c>
      <c r="H38" s="1319" t="inlineStr">
        <is>
          <t>Total Squad Cost ($m)</t>
        </is>
      </c>
      <c r="I38" s="1319" t="inlineStr">
        <is>
          <t>TDD Cost ($m)</t>
        </is>
      </c>
      <c r="J38" s="1319" t="inlineStr">
        <is>
          <t>Funded outside TDD ($m)</t>
        </is>
      </c>
      <c r="K38" s="865" t="n"/>
      <c r="L38" s="865" t="n"/>
      <c r="M38" s="865" t="n"/>
    </row>
    <row r="39" ht="14.25" customHeight="1" s="866">
      <c r="B39" s="1012" t="inlineStr">
        <is>
          <t>Data NZ</t>
        </is>
      </c>
      <c r="C39" s="1357" t="inlineStr">
        <is>
          <t>Enterprise Data and Insights</t>
        </is>
      </c>
      <c r="D39" s="1357" t="inlineStr">
        <is>
          <t>M</t>
        </is>
      </c>
      <c r="E39" s="1357" t="inlineStr">
        <is>
          <t>Offshore</t>
        </is>
      </c>
      <c r="F39" s="1358" t="inlineStr">
        <is>
          <t>NZ</t>
        </is>
      </c>
      <c r="G39" s="1359" t="n">
        <v>0.9</v>
      </c>
      <c r="H39" s="1830">
        <f>IFERROR(IF($E39="Onshore",INDEX('0.3 Squad Archetypes'!$G$5:$G$23,MATCH($C39&amp;"|"&amp;$D39,'0.3 Squad Archetypes'!$A$5:$A$23,0)),INDEX('0.3 Squad Archetypes'!$H$5:$H$23,MATCH($C39&amp;"|"&amp;$D39,'0.3 Squad Archetypes'!$A$5:$A$23,0))),"check size")</f>
        <v>0.68</v>
      </c>
      <c r="I39" s="1014">
        <f>IFERROR($H39*$G39,"")</f>
        <v>0.612</v>
      </c>
      <c r="J39" s="1014">
        <f>IFERROR($H39*(1-$G39),"")</f>
        <v>0.068</v>
      </c>
      <c r="K39" s="865" t="inlineStr">
        <is>
          <t xml:space="preserve">No Overhead required </t>
        </is>
      </c>
      <c r="L39" s="865" t="n"/>
      <c r="M39" s="865" t="n"/>
    </row>
    <row r="40" ht="14.25" customHeight="1" s="866">
      <c r="B40" s="1012" t="n"/>
      <c r="C40" s="1362" t="n"/>
      <c r="D40" s="1362" t="n"/>
      <c r="E40" s="1362" t="n"/>
      <c r="F40" s="1314" t="n"/>
      <c r="G40" s="1362" t="n"/>
      <c r="H40" s="1362" t="n"/>
      <c r="I40" s="1830" t="n"/>
      <c r="J40" s="1362" t="n"/>
      <c r="K40" s="865" t="n"/>
      <c r="L40" s="865" t="n"/>
      <c r="M40" s="865" t="n"/>
    </row>
    <row r="41" ht="14.25" customHeight="1" s="866">
      <c r="B41" s="1363" t="inlineStr">
        <is>
          <t>Data NZ Total</t>
        </is>
      </c>
      <c r="C41" s="1361" t="n"/>
      <c r="D41" s="1361" t="n"/>
      <c r="E41" s="1361" t="n"/>
      <c r="F41" s="1314" t="n"/>
      <c r="G41" s="1361" t="n"/>
      <c r="H41" s="1364">
        <f>SUM(H39:H39)</f>
        <v>0.68</v>
      </c>
      <c r="I41" s="1364">
        <f>SUM(I39:I40)</f>
        <v>0.612</v>
      </c>
      <c r="J41" s="1364">
        <f>SUM(J39:J39)</f>
        <v>0.068</v>
      </c>
      <c r="K41" s="865" t="n"/>
      <c r="L41" s="865" t="n"/>
      <c r="M41" s="865" t="n"/>
    </row>
    <row r="44" ht="19" customHeight="1" s="866">
      <c r="B44" s="1527" t="inlineStr">
        <is>
          <t>Archetype against actual - every squad on this tab</t>
        </is>
      </c>
      <c r="C44" s="1528" t="n"/>
      <c r="D44" s="1528" t="n"/>
      <c r="E44" s="1528" t="n"/>
      <c r="F44" s="1528" t="n"/>
      <c r="G44" s="1528" t="n"/>
      <c r="H44" s="1528" t="n"/>
      <c r="I44" s="1528" t="n"/>
      <c r="J44" s="1528" t="n"/>
      <c r="K44" s="1528" t="n"/>
      <c r="L44" s="1528" t="n"/>
    </row>
    <row r="45" ht="34" customHeight="1" s="866">
      <c r="B45" s="1529" t="inlineStr">
        <is>
          <t>Platform</t>
        </is>
      </c>
      <c r="C45" s="1945" t="n"/>
      <c r="D45" s="1529" t="inlineStr">
        <is>
          <t>Squad</t>
        </is>
      </c>
      <c r="E45" s="1945" t="n"/>
      <c r="F45" s="1945" t="n"/>
      <c r="G45" s="1945" t="n"/>
      <c r="H45" s="1529" t="inlineStr">
        <is>
          <t>Total Squad Cost ($m)</t>
        </is>
      </c>
      <c r="I45" s="1529" t="inlineStr">
        <is>
          <t>TDD Cost ($m)</t>
        </is>
      </c>
      <c r="J45" s="1529" t="inlineStr">
        <is>
          <t>Funded outside TDD ($m)</t>
        </is>
      </c>
      <c r="K45" s="1529" t="inlineStr">
        <is>
          <t>Actual cost after decisions ($m)</t>
        </is>
      </c>
      <c r="L45" s="1529" t="inlineStr">
        <is>
          <t>Variance to archetype ($m)</t>
        </is>
      </c>
    </row>
    <row r="46">
      <c r="B46" s="1788" t="inlineStr">
        <is>
          <t>Z Supply</t>
        </is>
      </c>
      <c r="C46" s="1946" t="n"/>
      <c r="D46" s="1788" t="str">
        <f>$B26</f>
        <v>Z Supply</v>
      </c>
      <c r="E46" s="1946" t="n"/>
      <c r="F46" s="1946" t="n"/>
      <c r="G46" s="1946" t="n"/>
      <c r="H46" s="1791">
        <f>IF(H26="","-",H26)</f>
        <v>2</v>
      </c>
      <c r="I46" s="1791">
        <f>IF(I26="","-",I26)</f>
        <v>1.6</v>
      </c>
      <c r="J46" s="1791">
        <f>IF(J26="","-",J26)</f>
        <v>0.4</v>
      </c>
      <c r="K46" s="1791">
        <f>IFERROR(INDEX('2.10 Z Retail'!$P$8:$P$24,MATCH($D46,'2.10 Z Retail'!$B$8:$B$24,0)),"-")</f>
        <v>1.663774396</v>
      </c>
      <c r="L46" s="1791">
        <f>IF(AND(ISNUMBER($H46),ISNUMBER($K46)),ROUND($K46-$H46,6),"-")</f>
        <v>-0.336226</v>
      </c>
    </row>
    <row r="47">
      <c r="B47" s="1535" t="inlineStr">
        <is>
          <t>Z Supply total</t>
        </is>
      </c>
      <c r="C47" s="1947" t="n"/>
      <c r="D47" s="1947" t="n"/>
      <c r="E47" s="1947" t="n"/>
      <c r="F47" s="1947" t="n"/>
      <c r="G47" s="1947" t="n"/>
      <c r="H47" s="1771">
        <f>IF(COUNT($H46)=1,SUM($H46),"-")</f>
        <v>2</v>
      </c>
      <c r="I47" s="1771">
        <f>IF(COUNT($I46)=1,SUM($I46),"-")</f>
        <v>1.6</v>
      </c>
      <c r="J47" s="1771">
        <f>IF(COUNT($J46)=1,SUM($J46),"-")</f>
        <v>0.4</v>
      </c>
      <c r="K47" s="1771">
        <f>SUM($K46:$K46)</f>
        <v>1.663774396</v>
      </c>
      <c r="L47" s="1771">
        <f>IF(AND(ISNUMBER($H47),ISNUMBER($K47)),ROUND($K47-$H47,6),"-")</f>
        <v>-0.336226</v>
      </c>
    </row>
    <row r="48">
      <c r="B48" s="1788" t="inlineStr">
        <is>
          <t>Z Customer</t>
        </is>
      </c>
      <c r="C48" s="1946" t="n"/>
      <c r="D48" s="1788" t="str">
        <f>$B32</f>
        <v>Site Systems</v>
      </c>
      <c r="E48" s="1946" t="n"/>
      <c r="F48" s="1946" t="n"/>
      <c r="G48" s="1946" t="n"/>
      <c r="H48" s="1791">
        <f>IF(H32="","-",H32)</f>
        <v>2.1</v>
      </c>
      <c r="I48" s="1791">
        <f>IF(I32="","-",I32)</f>
        <v>1.68</v>
      </c>
      <c r="J48" s="1791">
        <f>IF(J32="","-",J32)</f>
        <v>0.42</v>
      </c>
      <c r="K48" s="1791">
        <f>IFERROR(INDEX('2.10 Z Retail'!$P$8:$P$24,MATCH($D48,'2.10 Z Retail'!$B$8:$B$24,0)),"-")</f>
        <v>1.374665758</v>
      </c>
      <c r="L48" s="1791">
        <f>IF(AND(ISNUMBER($H48),ISNUMBER($K48)),ROUND($K48-$H48,6),"-")</f>
        <v>-0.725334</v>
      </c>
    </row>
    <row r="49">
      <c r="B49" s="1788" t="inlineStr">
        <is>
          <t>Z Customer</t>
        </is>
      </c>
      <c r="C49" s="1946" t="n"/>
      <c r="D49" s="1788" t="str">
        <f>$B33</f>
        <v>Z Retail Backend</v>
      </c>
      <c r="E49" s="1946" t="n"/>
      <c r="F49" s="1946" t="n"/>
      <c r="G49" s="1946" t="n"/>
      <c r="H49" s="1791">
        <f>IF(H33="","-",H33)</f>
        <v>2</v>
      </c>
      <c r="I49" s="1791">
        <f>IF(I33="","-",I33)</f>
        <v>1.6</v>
      </c>
      <c r="J49" s="1791">
        <f>IF(J33="","-",J33)</f>
        <v>0.4</v>
      </c>
      <c r="K49" s="1791">
        <f>IFERROR(INDEX('2.10 Z Retail'!$P$8:$P$24,MATCH($D49,'2.10 Z Retail'!$B$8:$B$24,0)),"-")</f>
        <v>1.857667168</v>
      </c>
      <c r="L49" s="1791">
        <f>IF(AND(ISNUMBER($H49),ISNUMBER($K49)),ROUND($K49-$H49,6),"-")</f>
        <v>-0.142333</v>
      </c>
    </row>
    <row r="50">
      <c r="B50" s="1535" t="inlineStr">
        <is>
          <t>Z Customer total</t>
        </is>
      </c>
      <c r="C50" s="1947" t="n"/>
      <c r="D50" s="1947" t="n"/>
      <c r="E50" s="1947" t="n"/>
      <c r="F50" s="1947" t="n"/>
      <c r="G50" s="1947" t="n"/>
      <c r="H50" s="1771">
        <f>IF(COUNT($H48,$H49)=2,SUM($H48,$H49),"-")</f>
        <v>4.1</v>
      </c>
      <c r="I50" s="1771">
        <f>IF(COUNT($I48,$I49)=2,SUM($I48,$I49),"-")</f>
        <v>3.28</v>
      </c>
      <c r="J50" s="1771">
        <f>IF(COUNT($J48,$J49)=2,SUM($J48,$J49),"-")</f>
        <v>0.82</v>
      </c>
      <c r="K50" s="1771">
        <f>SUM($K48:$K49)</f>
        <v>3.232332926</v>
      </c>
      <c r="L50" s="1771">
        <f>IF(AND(ISNUMBER($H50),ISNUMBER($K50)),ROUND($K50-$H50,6),"-")</f>
        <v>-0.867667</v>
      </c>
    </row>
    <row r="51">
      <c r="B51" s="1788" t="inlineStr">
        <is>
          <t>Data NZ</t>
        </is>
      </c>
      <c r="C51" s="1946" t="n"/>
      <c r="D51" s="1788" t="str">
        <f>$B39</f>
        <v>Data NZ</v>
      </c>
      <c r="E51" s="1946" t="n"/>
      <c r="F51" s="1946" t="n"/>
      <c r="G51" s="1946" t="n"/>
      <c r="H51" s="1791">
        <f>IF(H39="","-",H39)</f>
        <v>0.68</v>
      </c>
      <c r="I51" s="1791">
        <f>IF(I39="","-",I39)</f>
        <v>0.612</v>
      </c>
      <c r="J51" s="1791">
        <f>IF(J39="","-",J39)</f>
        <v>0.068</v>
      </c>
      <c r="K51" s="1791">
        <f>IFERROR(INDEX('2.10 Z Retail'!$P$8:$P$24,MATCH($D51,'2.10 Z Retail'!$B$8:$B$24,0)),"-")</f>
        <v>1.223843362</v>
      </c>
      <c r="L51" s="1791">
        <f>IF(AND(ISNUMBER($H51),ISNUMBER($K51)),ROUND($K51-$H51,6),"-")</f>
        <v>0.543843</v>
      </c>
    </row>
    <row r="52">
      <c r="B52" s="1535" t="inlineStr">
        <is>
          <t>Data NZ total</t>
        </is>
      </c>
      <c r="C52" s="1947" t="n"/>
      <c r="D52" s="1947" t="n"/>
      <c r="E52" s="1947" t="n"/>
      <c r="F52" s="1947" t="n"/>
      <c r="G52" s="1947" t="n"/>
      <c r="H52" s="1771">
        <f>IF(COUNT($H51)=1,SUM($H51),"-")</f>
        <v>0.68</v>
      </c>
      <c r="I52" s="1771">
        <f>IF(COUNT($I51)=1,SUM($I51),"-")</f>
        <v>0.612</v>
      </c>
      <c r="J52" s="1771">
        <f>IF(COUNT($J51)=1,SUM($J51),"-")</f>
        <v>0.068</v>
      </c>
      <c r="K52" s="1771">
        <f>SUM($K51:$K51)</f>
        <v>1.223843362</v>
      </c>
      <c r="L52" s="1771">
        <f>IF(AND(ISNUMBER($H52),ISNUMBER($K52)),ROUND($K52-$H52,6),"-")</f>
        <v>0.543843</v>
      </c>
    </row>
    <row r="53">
      <c r="B53" s="1541" t="inlineStr">
        <is>
          <t>Squads priced by an archetype</t>
        </is>
      </c>
      <c r="C53" s="1948" t="n"/>
      <c r="D53" s="1948" t="n"/>
      <c r="E53" s="1948" t="n"/>
      <c r="F53" s="1948" t="n"/>
      <c r="G53" s="1948" t="n"/>
      <c r="H53" s="1949">
        <f>N($H47)+N($H50)+N($H52)</f>
        <v>6.78</v>
      </c>
      <c r="I53" s="1541" t="n"/>
      <c r="J53" s="1541" t="n"/>
      <c r="K53" s="1949">
        <f>N($K47)+N($K50)+N($K52)</f>
        <v>6.119950684</v>
      </c>
      <c r="L53" s="1949">
        <f>IF(AND(ISNUMBER($H53),ISNUMBER($K53)),ROUND($K53-$H53,6),"-")</f>
        <v>-0.660049</v>
      </c>
    </row>
    <row r="54">
      <c r="B54" s="1788" t="inlineStr">
        <is>
          <t>Overhead roles in this portfolio - no archetype prices them</t>
        </is>
      </c>
      <c r="C54" s="1946" t="n"/>
      <c r="D54" s="1946" t="n"/>
      <c r="E54" s="1946" t="n"/>
      <c r="F54" s="1946" t="n"/>
      <c r="G54" s="1946" t="n"/>
      <c r="H54" s="1791" t="str">
        <f>"-"</f>
        <v>-</v>
      </c>
      <c r="I54" s="1788" t="n"/>
      <c r="J54" s="1788" t="n"/>
      <c r="K54" s="1791">
        <f>N('2.10 Z Retail'!$P$23)</f>
        <v>1.217343668</v>
      </c>
      <c r="L54" s="1791" t="str">
        <f>"-"</f>
        <v>-</v>
      </c>
    </row>
    <row r="55">
      <c r="B55" s="1788" t="inlineStr">
        <is>
          <t>On the working tab with no row on this tab</t>
        </is>
      </c>
      <c r="C55" s="1946" t="n"/>
      <c r="D55" s="1946" t="n"/>
      <c r="E55" s="1946" t="n"/>
      <c r="F55" s="1946" t="n"/>
      <c r="G55" s="1946" t="n"/>
      <c r="H55" s="1791" t="str">
        <f>"-"</f>
        <v>-</v>
      </c>
      <c r="I55" s="1788" t="n"/>
      <c r="J55" s="1788" t="n"/>
      <c r="K55" s="1791">
        <f>ROUND(N('2.10 Z Retail'!$P$24)-$K53-$K54,6)</f>
        <v>0</v>
      </c>
      <c r="L55" s="1791" t="str">
        <f>"-"</f>
        <v>-</v>
      </c>
    </row>
    <row r="56">
      <c r="B56" s="1541" t="inlineStr">
        <is>
          <t>Total actual cost after decisions - ties to the working tab</t>
        </is>
      </c>
      <c r="C56" s="1948" t="n"/>
      <c r="D56" s="1948" t="n"/>
      <c r="E56" s="1948" t="n"/>
      <c r="F56" s="1948" t="n"/>
      <c r="G56" s="1948" t="n"/>
      <c r="H56" s="1949" t="str">
        <f>"-"</f>
        <v>-</v>
      </c>
      <c r="I56" s="1541" t="n"/>
      <c r="J56" s="1541" t="n"/>
      <c r="K56" s="1949">
        <f>'2.10 Z Retail'!$P$24</f>
        <v>7.337294352</v>
      </c>
      <c r="L56" s="1949" t="str">
        <f>"-"</f>
        <v>-</v>
      </c>
    </row>
    <row r="57">
      <c r="B57" s="1788" t="inlineStr">
        <is>
          <t>Control - every line above against the working tab, must be 0</t>
        </is>
      </c>
      <c r="C57" s="1946" t="n"/>
      <c r="D57" s="1946" t="n"/>
      <c r="E57" s="1946" t="n"/>
      <c r="F57" s="1946" t="n"/>
      <c r="G57" s="1946" t="n"/>
      <c r="K57" s="1806">
        <f>ROUND($K53+$K54+$K55-$K56,6)</f>
        <v>0</v>
      </c>
    </row>
  </sheetData>
  <mergeCells count="25">
    <mergeCell ref="B14:D14"/>
    <mergeCell ref="H12:K12"/>
    <mergeCell ref="B57:G57"/>
    <mergeCell ref="B46:C46"/>
    <mergeCell ref="B13:D13"/>
    <mergeCell ref="D51:G51"/>
    <mergeCell ref="B53:G53"/>
    <mergeCell ref="B48:C48"/>
    <mergeCell ref="B37:J37"/>
    <mergeCell ref="B4:E4"/>
    <mergeCell ref="B24:J24"/>
    <mergeCell ref="B30:J30"/>
    <mergeCell ref="D46:G46"/>
    <mergeCell ref="B55:G55"/>
    <mergeCell ref="D45:G45"/>
    <mergeCell ref="B50:G50"/>
    <mergeCell ref="D49:G49"/>
    <mergeCell ref="B49:C49"/>
    <mergeCell ref="B47:G47"/>
    <mergeCell ref="B54:G54"/>
    <mergeCell ref="D48:G48"/>
    <mergeCell ref="B51:C51"/>
    <mergeCell ref="B45:C45"/>
    <mergeCell ref="B56:G56"/>
    <mergeCell ref="B52:G52"/>
  </mergeCells>
  <dataValidations count="5">
    <dataValidation sqref="C26 C32:C33 C39" showDropDown="0" showInputMessage="0" showErrorMessage="1" allowBlank="1" errorTitle="Invalid entry" error="Pick a value from the list" type="list" errorStyle="stop" operator="between">
      <formula1>SquadTypes</formula1>
      <formula2>0</formula2>
    </dataValidation>
    <dataValidation sqref="D26 D32:D33 D39" showDropDown="0" showInputMessage="0" showErrorMessage="1" allowBlank="1" errorTitle="Invalid entry" error="Pick a value from the list" type="list" errorStyle="stop" operator="between">
      <formula1>SquadSizes</formula1>
      <formula2>0</formula2>
    </dataValidation>
    <dataValidation sqref="E26 E32:E33 E39" showDropDown="0" showInputMessage="0" showErrorMessage="1" allowBlank="1" errorTitle="Invalid entry" error="Pick a value from the list" type="list" errorStyle="stop" operator="between">
      <formula1>OnOff</formula1>
      <formula2>0</formula2>
    </dataValidation>
    <dataValidation sqref="G26 G32:G33 G39" showDropDown="0" showInputMessage="0" showErrorMessage="1" allowBlank="1" errorTitle="Invalid entry" error="Pick a value from the list" type="list" errorStyle="stop" operator="between">
      <formula1>SupportPct</formula1>
      <formula2>0</formula2>
    </dataValidation>
    <dataValidation sqref="F26 F32:F33 F39" showDropDown="0" showInputMessage="0" showErrorMessage="1" allowBlank="0" type="list" errorStyle="stop" operator="between">
      <formula1>"AU,NZ"</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9.xml><?xml version="1.0" encoding="utf-8"?>
<worksheet xmlns="http://schemas.openxmlformats.org/spreadsheetml/2006/main">
  <sheetPr filterMode="0">
    <tabColor rgb="FF1F4E79"/>
    <outlinePr summaryBelow="1" summaryRight="1"/>
    <pageSetUpPr fitToPage="1"/>
  </sheetPr>
  <dimension ref="B2:T54"/>
  <sheetViews>
    <sheetView showFormulas="0" showGridLines="0" showRowColHeaders="1" showZeros="1" rightToLeft="0" tabSelected="0" showOutlineSymbols="1" defaultGridColor="1" view="normal" topLeftCell="A8" colorId="64" zoomScale="100" zoomScaleNormal="100" zoomScalePageLayoutView="100" workbookViewId="0">
      <selection pane="topLeft" activeCell="A1" activeCellId="0" sqref="A1"/>
    </sheetView>
  </sheetViews>
  <sheetFormatPr baseColWidth="8" defaultColWidth="8.5390625" defaultRowHeight="14.25" zeroHeight="0" outlineLevelRow="0"/>
  <cols>
    <col width="2" customWidth="1" style="865" min="1" max="1"/>
    <col width="46" customWidth="1" style="865" min="2" max="2"/>
    <col width="38" customWidth="1" style="865" min="3" max="3"/>
    <col width="24" customWidth="1" style="865" min="4" max="4"/>
    <col width="11" customWidth="1" style="865" min="5" max="5"/>
    <col width="11" customWidth="1" style="865" min="6" max="6"/>
    <col width="15" customWidth="1" style="865" min="7" max="7"/>
    <col width="15" customWidth="1" style="865" min="8" max="8"/>
    <col width="15" customWidth="1" style="865" min="9" max="10"/>
    <col width="15" customWidth="1" style="866" min="10" max="10"/>
    <col width="15" customWidth="1" style="865" min="11" max="11"/>
    <col width="9" customWidth="1" style="866" min="12" max="12"/>
    <col width="9" customWidth="1" style="866" min="13" max="13"/>
    <col hidden="1" width="13" customWidth="1" style="865" min="20" max="20"/>
  </cols>
  <sheetData>
    <row r="2" ht="21" customHeight="1" s="866">
      <c r="B2" s="1315" t="inlineStr">
        <is>
          <t>Business Partnering &amp; Transformation - roles and funding</t>
        </is>
      </c>
      <c r="C2" s="865" t="n"/>
      <c r="D2" s="865" t="n"/>
      <c r="E2" s="865" t="n"/>
      <c r="F2" s="865" t="n"/>
      <c r="G2" s="865" t="n"/>
      <c r="H2" s="865" t="n"/>
      <c r="I2" s="865" t="n"/>
      <c r="J2" s="865" t="n"/>
      <c r="K2" s="865" t="n"/>
      <c r="L2" s="865" t="n"/>
    </row>
    <row r="4" ht="19" customHeight="1" s="866">
      <c r="B4" s="1470" t="inlineStr">
        <is>
          <t>Summary</t>
        </is>
      </c>
      <c r="C4" s="1849" t="n"/>
      <c r="D4" s="1849" t="n"/>
      <c r="E4" s="1849" t="n"/>
      <c r="F4" s="1849" t="n"/>
      <c r="G4" s="1849" t="n"/>
      <c r="H4" s="1849" t="n"/>
      <c r="I4" s="1849" t="n"/>
      <c r="J4" s="1849" t="n"/>
      <c r="K4" s="1314" t="n"/>
      <c r="L4" s="1314" t="n"/>
    </row>
    <row r="5" ht="48" customHeight="1" s="866">
      <c r="B5" s="1320" t="inlineStr">
        <is>
          <t>Grouping</t>
        </is>
      </c>
      <c r="C5" s="1320" t="inlineStr">
        <is>
          <t>Roles</t>
        </is>
      </c>
      <c r="D5" s="1320" t="inlineStr">
        <is>
          <t>Filled</t>
        </is>
      </c>
      <c r="E5" s="1320" t="inlineStr">
        <is>
          <t>Vacant</t>
        </is>
      </c>
      <c r="F5" s="1320" t="inlineStr">
        <is>
          <t>Planned spend ($m)</t>
        </is>
      </c>
      <c r="G5" s="1320" t="inlineStr">
        <is>
          <t>Budget to draw down ($m)</t>
        </is>
      </c>
      <c r="H5" s="1320" t="inlineStr">
        <is>
          <t>Left to fund ($m, + = over budget)</t>
        </is>
      </c>
      <c r="I5" s="1320" t="inlineStr">
        <is>
          <t>Cost - AU ($m)</t>
        </is>
      </c>
      <c r="J5" s="1320" t="inlineStr">
        <is>
          <t>Cost - NZ ($m)</t>
        </is>
      </c>
      <c r="K5" s="1314" t="n"/>
      <c r="L5" s="1314" t="n"/>
    </row>
    <row r="6" ht="14.25" customHeight="1" s="866">
      <c r="B6" s="1372" t="inlineStr">
        <is>
          <t>Business Partnering</t>
        </is>
      </c>
      <c r="C6" s="1490">
        <f>COUNTIFS('REVIEW - Complete Role Mapping'!$AJ$2:$AJ$528,"COE BP&amp;T")-COUNTIFS('REVIEW - Complete Role Mapping'!$AJ$2:$AJ$528,"COE BP&amp;T",'REVIEW - Complete Role Mapping'!$G$2:$G$528,"Transformation")</f>
        <v>10</v>
      </c>
      <c r="D6" s="1490">
        <f>COUNTIFS('REVIEW - Complete Role Mapping'!$AJ$2:$AJ$528,"COE BP&amp;T",'REVIEW - Complete Role Mapping'!$AK$2:$AK$528,"Filled")-COUNTIFS('REVIEW - Complete Role Mapping'!$AJ$2:$AJ$528,"COE BP&amp;T",'REVIEW - Complete Role Mapping'!$G$2:$G$528,"Transformation",'REVIEW - Complete Role Mapping'!$AK$2:$AK$528,"Filled")</f>
        <v>9</v>
      </c>
      <c r="E6" s="1490">
        <f>COUNTIFS('REVIEW - Complete Role Mapping'!$AJ$2:$AJ$528,"COE BP&amp;T",'REVIEW - Complete Role Mapping'!$AK$2:$AK$528,"Vacant")-COUNTIFS('REVIEW - Complete Role Mapping'!$AJ$2:$AJ$528,"COE BP&amp;T",'REVIEW - Complete Role Mapping'!$G$2:$G$528,"Transformation",'REVIEW - Complete Role Mapping'!$AK$2:$AK$528,"Vacant")</f>
        <v>1</v>
      </c>
      <c r="F6" s="1323">
        <f>(SUMIFS('REVIEW - Complete Role Mapping'!$AA$2:$AA$528,'REVIEW - Complete Role Mapping'!$AJ$2:$AJ$528,"COE BP&amp;T")-SUMIFS('REVIEW - Complete Role Mapping'!$AA$2:$AA$528,'REVIEW - Complete Role Mapping'!$AJ$2:$AJ$528,"COE BP&amp;T",'REVIEW - Complete Role Mapping'!$G$2:$G$528,"Transformation"))/1000000</f>
        <v>3.292562592</v>
      </c>
      <c r="G6" s="1323">
        <f>C15</f>
        <v>4.2</v>
      </c>
      <c r="H6" s="1935">
        <f>$F6-$G6</f>
        <v>-0.907437408</v>
      </c>
      <c r="I6" s="1323">
        <f>SUMIFS($T$21:$T$44,$D$21:$D$44,"TDD Business Partner",$E$21:$E$44,"&lt;&gt;NZ")+SUMIFS($T$21:$T$44,$D$21:$D$44,"Commercial",$E$21:$E$44,"&lt;&gt;NZ")</f>
        <v>2.8501381</v>
      </c>
      <c r="J6" s="1323">
        <f>SUMIFS($T$21:$T$44,$D$21:$D$44,"TDD Business Partner",$E$21:$E$44,"NZ")+SUMIFS($T$21:$T$44,$D$21:$D$44,"Commercial",$E$21:$E$44,"NZ")</f>
        <v>0.442424492</v>
      </c>
      <c r="K6" s="1314" t="n"/>
      <c r="L6" s="1314" t="n"/>
    </row>
    <row r="7" ht="14.25" customHeight="1" s="866">
      <c r="B7" s="1372" t="inlineStr">
        <is>
          <t>Transformation</t>
        </is>
      </c>
      <c r="C7" s="1490">
        <f>COUNTIFS('REVIEW - Complete Role Mapping'!$AJ$2:$AJ$528,"COE BP&amp;T",'REVIEW - Complete Role Mapping'!$G$2:$G$528,"Transformation")</f>
        <v>14</v>
      </c>
      <c r="D7" s="1490">
        <f>COUNTIFS('REVIEW - Complete Role Mapping'!$AJ$2:$AJ$528,"COE BP&amp;T",'REVIEW - Complete Role Mapping'!$G$2:$G$528,"Transformation",'REVIEW - Complete Role Mapping'!$AK$2:$AK$528,"Filled")</f>
        <v>6</v>
      </c>
      <c r="E7" s="1490">
        <f>COUNTIFS('REVIEW - Complete Role Mapping'!$AJ$2:$AJ$528,"COE BP&amp;T",'REVIEW - Complete Role Mapping'!$G$2:$G$528,"Transformation",'REVIEW - Complete Role Mapping'!$AK$2:$AK$528,"Vacant")</f>
        <v>8</v>
      </c>
      <c r="F7" s="1323">
        <f>(SUMIFS('REVIEW - Complete Role Mapping'!$AA$2:$AA$528,'REVIEW - Complete Role Mapping'!$AJ$2:$AJ$528,"COE BP&amp;T",'REVIEW - Complete Role Mapping'!$G$2:$G$528,"Transformation"))/1000000</f>
        <v>3.10799923</v>
      </c>
      <c r="G7" s="1323">
        <f>C16</f>
        <v>2</v>
      </c>
      <c r="H7" s="1935">
        <f>$F7-$G7</f>
        <v>1.10799923</v>
      </c>
      <c r="I7" s="1323">
        <f>SUMIFS($T$21:$T$44,$D$21:$D$44,"Transformation",$E$21:$E$44,"&lt;&gt;NZ")</f>
        <v>2.58446665</v>
      </c>
      <c r="J7" s="1323">
        <f>SUMIFS($T$21:$T$44,$D$21:$D$44,"Transformation",$E$21:$E$44,"NZ")</f>
        <v>0.29952678</v>
      </c>
      <c r="K7" s="1314" t="n"/>
      <c r="L7" s="1314" t="n"/>
    </row>
    <row r="8" ht="14.25" customHeight="1" s="866">
      <c r="B8" s="1476" t="inlineStr">
        <is>
          <t>Total</t>
        </is>
      </c>
      <c r="C8" s="1491">
        <f>SUM(C6:C7)</f>
        <v>24</v>
      </c>
      <c r="D8" s="1491">
        <f>SUM(D6:D7)</f>
        <v>15</v>
      </c>
      <c r="E8" s="1491">
        <f>SUM(E6:E7)</f>
        <v>9</v>
      </c>
      <c r="F8" s="1492">
        <f>SUM(F6:F7)</f>
        <v>6.400561822</v>
      </c>
      <c r="G8" s="1492">
        <f>SUM(G6:G7)</f>
        <v>6.2</v>
      </c>
      <c r="H8" s="1936">
        <f>$F8-$G8</f>
        <v>0.200561822</v>
      </c>
      <c r="I8" s="1492">
        <f>SUM(I6:I7)</f>
        <v>5.43460475</v>
      </c>
      <c r="J8" s="1492">
        <f>SUM(J6:J7)</f>
        <v>0.741951272</v>
      </c>
      <c r="K8" s="1314" t="n"/>
      <c r="L8" s="1314" t="n"/>
    </row>
    <row r="9" ht="74" customFormat="1" customHeight="1" s="865">
      <c r="B9" s="1950" t="inlineStr">
        <is>
          <t>These are centres of excellence, funded by allocation rather than priced by an archetype, so there is no archetype cost to compare against. The actual cost after decisions for these groups is on 3.4 COE Detail and on the working tab.</t>
        </is>
      </c>
      <c r="C9" s="1314" t="n"/>
      <c r="D9" s="1314" t="n"/>
      <c r="E9" s="1314" t="n"/>
      <c r="F9" s="1314" t="n"/>
      <c r="G9" s="1314" t="n"/>
      <c r="H9" s="1314" t="n"/>
      <c r="I9" s="1314" t="n"/>
      <c r="J9" s="1314" t="n"/>
      <c r="K9" s="1314" t="n"/>
      <c r="L9" s="1314" t="n"/>
    </row>
    <row r="10" ht="14.25" customHeight="1" s="866">
      <c r="B10" s="1369" t="inlineStr">
        <is>
          <t>Portfolios funded (3.1 Cost Bridge)</t>
        </is>
      </c>
      <c r="C10" s="1493">
        <f>COUNTA(Lists!$AS$2:$AS$11)</f>
        <v>10</v>
      </c>
      <c r="D10" s="1314" t="n"/>
      <c r="E10" s="1314" t="n"/>
      <c r="F10" s="1314" t="n"/>
      <c r="G10" s="1314" t="n"/>
      <c r="H10" s="1314" t="n"/>
      <c r="I10" s="1314" t="n"/>
      <c r="J10" s="1314" t="n"/>
      <c r="K10" s="1314" t="n"/>
      <c r="L10" s="1314" t="n"/>
    </row>
    <row r="11" ht="14.25" customHeight="1" s="866">
      <c r="B11" s="1369" t="inlineStr">
        <is>
          <t>Business Partner allocation per portfolio (FTE - 0.2 Data Config)</t>
        </is>
      </c>
      <c r="C11" s="1494">
        <f>'0.2 Data Config'!$K$7</f>
        <v>0.5</v>
      </c>
      <c r="D11" s="1314" t="n"/>
      <c r="E11" s="1314" t="n"/>
      <c r="F11" s="1314" t="n"/>
      <c r="G11" s="1314" t="n"/>
      <c r="H11" s="1314" t="n"/>
      <c r="I11" s="1314" t="n"/>
      <c r="J11" s="1314" t="n"/>
      <c r="K11" s="1314" t="n"/>
      <c r="L11" s="1314" t="n"/>
    </row>
    <row r="12" ht="14.25" customHeight="1" s="866">
      <c r="B12" s="1369" t="inlineStr">
        <is>
          <t>Business Partner FTEs funded by portfolio overheads</t>
        </is>
      </c>
      <c r="C12" s="1494">
        <f>C10*C11</f>
        <v>5</v>
      </c>
      <c r="D12" s="1314" t="n"/>
      <c r="E12" s="1314" t="n"/>
      <c r="F12" s="1314" t="n"/>
      <c r="G12" s="1495">
        <f>SUMIFS($T$21:$T$44,$D$21:$D$44,"TDD Business Partner")</f>
        <v>2.3135484</v>
      </c>
      <c r="H12" s="1314" t="n"/>
      <c r="I12" s="1314" t="n"/>
      <c r="J12" s="1314" t="n"/>
      <c r="K12" s="1314" t="n"/>
      <c r="L12" s="1314" t="n"/>
    </row>
    <row r="13" ht="14.25" customHeight="1" s="866">
      <c r="B13" s="1369" t="inlineStr">
        <is>
          <t>Business Partner funding from portfolio overheads ($m)</t>
        </is>
      </c>
      <c r="C13" s="1323">
        <f>COUNTA(Lists!$AS$2:$AS$11)*'0.2 Data Config'!$L$7</f>
        <v>2.2</v>
      </c>
      <c r="D13" s="1314" t="n"/>
      <c r="E13" s="1314" t="n"/>
      <c r="F13" s="1314" t="n"/>
      <c r="G13" s="1314" t="n"/>
      <c r="H13" s="1314" t="n"/>
      <c r="I13" s="1314" t="n"/>
      <c r="J13" s="1314" t="n"/>
      <c r="K13" s="1314" t="n"/>
      <c r="L13" s="1314" t="n"/>
    </row>
    <row r="14" ht="14.25" customHeight="1" s="866">
      <c r="B14" s="1369" t="inlineStr">
        <is>
          <t>COE - Business Partnering allocation ($m) - 0.2 Data Config</t>
        </is>
      </c>
      <c r="C14" s="1323">
        <f>'0.2 Data Config'!$E$9</f>
        <v>2</v>
      </c>
      <c r="D14" s="1314" t="n"/>
      <c r="E14" s="1314" t="n"/>
      <c r="F14" s="1314" t="n"/>
      <c r="G14" s="1314" t="n"/>
      <c r="H14" s="1314" t="n"/>
      <c r="I14" s="1314" t="n"/>
      <c r="J14" s="1314" t="n"/>
      <c r="K14" s="1314" t="n"/>
      <c r="L14" s="1314" t="n"/>
    </row>
    <row r="15" ht="14.25" customHeight="1" s="866">
      <c r="B15" s="1372" t="inlineStr">
        <is>
          <t>Total Business Partnering budget ($m)</t>
        </is>
      </c>
      <c r="C15" s="1496">
        <f>C14+C13</f>
        <v>4.2</v>
      </c>
      <c r="D15" s="1314" t="n"/>
      <c r="E15" s="1314" t="n"/>
      <c r="F15" s="1314" t="n"/>
      <c r="G15" s="1314" t="n"/>
      <c r="H15" s="1314" t="n"/>
      <c r="I15" s="1314" t="n"/>
      <c r="J15" s="1314" t="n"/>
      <c r="K15" s="1314" t="n"/>
      <c r="L15" s="1314" t="n"/>
    </row>
    <row r="16" ht="14.25" customHeight="1" s="866">
      <c r="B16" s="1369" t="inlineStr">
        <is>
          <t>COE - Transformation allocation ($m) - 0.2 Data Config</t>
        </is>
      </c>
      <c r="C16" s="1323">
        <f>'0.2 Data Config'!$E$8</f>
        <v>2</v>
      </c>
      <c r="D16" s="1314" t="n"/>
      <c r="E16" s="1314" t="n"/>
      <c r="F16" s="1314" t="n"/>
      <c r="G16" s="1314" t="n"/>
      <c r="H16" s="1314" t="n"/>
      <c r="I16" s="1314" t="n"/>
      <c r="J16" s="1314" t="n"/>
      <c r="K16" s="1314" t="n"/>
      <c r="L16" s="1314" t="n"/>
    </row>
    <row r="17" ht="14.25" customHeight="1" s="866">
      <c r="B17" s="1372" t="inlineStr">
        <is>
          <t>Total budget to draw down ($m)</t>
        </is>
      </c>
      <c r="C17" s="1496">
        <f>C15+C16</f>
        <v>6.2</v>
      </c>
      <c r="D17" s="1314" t="n"/>
      <c r="E17" s="1314" t="n"/>
      <c r="F17" s="1314" t="n"/>
      <c r="G17" s="1314" t="n"/>
      <c r="H17" s="1314" t="n"/>
      <c r="I17" s="1314" t="n"/>
      <c r="J17" s="1314" t="n"/>
      <c r="K17" s="1314" t="n"/>
      <c r="L17" s="1314" t="n"/>
      <c r="M17" s="865" t="n"/>
      <c r="N17" s="865" t="n"/>
      <c r="O17" s="865" t="n"/>
      <c r="P17" s="865" t="n"/>
      <c r="Q17" s="865" t="n"/>
      <c r="R17" s="865" t="n"/>
      <c r="S17" s="865" t="n"/>
      <c r="T17" s="865" t="n"/>
    </row>
    <row r="18" ht="14.25" customHeight="1" s="866">
      <c r="B18" s="1531" t="inlineStr">
        <is>
          <t>Offshore discount in the AU / NZ split ($m)</t>
        </is>
      </c>
      <c r="C18" s="1360" t="n"/>
      <c r="D18" s="1360" t="n"/>
      <c r="E18" s="1360" t="n"/>
      <c r="F18" s="1769">
        <f>F8-I8-J8</f>
        <v>0.2240058</v>
      </c>
      <c r="G18" s="1360" t="n"/>
      <c r="H18" s="1360" t="n"/>
      <c r="I18" s="1360" t="n"/>
      <c r="J18" s="1360" t="n"/>
      <c r="K18" s="1314" t="n"/>
      <c r="L18" s="1314" t="n"/>
      <c r="M18" s="865" t="n"/>
      <c r="N18" s="865" t="n"/>
      <c r="O18" s="865" t="n"/>
      <c r="P18" s="865" t="n"/>
      <c r="Q18" s="865" t="n"/>
      <c r="R18" s="865" t="n"/>
      <c r="S18" s="865" t="n"/>
      <c r="T18" s="865" t="n"/>
    </row>
    <row r="19" ht="19" customHeight="1" s="866">
      <c r="B19" s="1470" t="inlineStr">
        <is>
          <t>Roles</t>
        </is>
      </c>
      <c r="C19" s="1527" t="n"/>
      <c r="D19" s="1527" t="n"/>
      <c r="E19" s="1527" t="n"/>
      <c r="F19" s="1866" t="n"/>
      <c r="G19" s="1527" t="n"/>
      <c r="H19" s="1866" t="n"/>
      <c r="I19" s="1489" t="n"/>
      <c r="J19" s="1497" t="n"/>
      <c r="K19" s="1314" t="n"/>
      <c r="L19" s="1314" t="n"/>
      <c r="M19" s="865" t="n"/>
      <c r="N19" s="865" t="n"/>
      <c r="O19" s="865" t="n"/>
      <c r="P19" s="865" t="n"/>
      <c r="Q19" s="865" t="n"/>
      <c r="R19" s="865" t="n"/>
      <c r="S19" s="865" t="n"/>
      <c r="T19" s="865" t="n"/>
    </row>
    <row r="20" ht="34" customHeight="1" s="866">
      <c r="B20" s="1320" t="inlineStr">
        <is>
          <t>Name</t>
        </is>
      </c>
      <c r="C20" s="1320" t="inlineStr">
        <is>
          <t>Position Title</t>
        </is>
      </c>
      <c r="D20" s="1320" t="inlineStr">
        <is>
          <t>Department</t>
        </is>
      </c>
      <c r="E20" s="1320" t="inlineStr">
        <is>
          <t>Country</t>
        </is>
      </c>
      <c r="F20" s="1320" t="inlineStr">
        <is>
          <t>Status</t>
        </is>
      </c>
      <c r="G20" s="1320" t="inlineStr">
        <is>
          <t>Cost if hired ($)</t>
        </is>
      </c>
      <c r="H20" s="1320" t="inlineStr">
        <is>
          <t>On/Off</t>
        </is>
      </c>
      <c r="I20" s="1489" t="n"/>
      <c r="J20" s="1497" t="n"/>
      <c r="K20" s="1314" t="n"/>
      <c r="L20" s="1314" t="n"/>
      <c r="M20" s="865" t="n"/>
      <c r="N20" s="865" t="n"/>
      <c r="O20" s="865" t="n"/>
      <c r="P20" s="865" t="n"/>
      <c r="Q20" s="865" t="n"/>
      <c r="R20" s="865" t="n"/>
      <c r="S20" s="865" t="n"/>
      <c r="T20" s="865" t="n"/>
    </row>
    <row r="21" ht="28.5" customHeight="1" s="866">
      <c r="B21" s="1369" t="str">
        <f>'REVIEW - Complete Role Mapping'!$B$255</f>
        <v>Briony Scott</v>
      </c>
      <c r="C21" s="1498" t="str">
        <f>'REVIEW - Complete Role Mapping'!$C$255</f>
        <v>Service &amp; Contract Specialist AU</v>
      </c>
      <c r="D21" s="1369" t="str">
        <f>'REVIEW - Complete Role Mapping'!$G$255</f>
        <v>Commercial</v>
      </c>
      <c r="E21" s="1369" t="str">
        <f>'REVIEW - Complete Role Mapping'!$M$255</f>
        <v>Australia</v>
      </c>
      <c r="F21" s="1499" t="str">
        <f>'REVIEW - Complete Role Mapping'!$AK$255</f>
        <v>Filled</v>
      </c>
      <c r="G21" s="1488" t="n"/>
      <c r="H21" s="1358" t="inlineStr">
        <is>
          <t>Onshore</t>
        </is>
      </c>
      <c r="I21" s="1489" t="n"/>
      <c r="J21" s="1497" t="n"/>
      <c r="K21" s="1314" t="n"/>
      <c r="L21" s="1314" t="n"/>
      <c r="M21" s="865" t="n"/>
      <c r="N21" s="865" t="n"/>
      <c r="O21" s="865" t="n"/>
      <c r="P21" s="865" t="n"/>
      <c r="Q21" s="865" t="n"/>
      <c r="R21" s="865" t="n"/>
      <c r="S21" s="865" t="n"/>
      <c r="T21" s="1500">
        <f>('REVIEW - Complete Role Mapping'!$AA$255/1000000)*IF($H21="Offshore",0.4,1)</f>
        <v>0.205056</v>
      </c>
    </row>
    <row r="22" ht="14.25" customHeight="1" s="866">
      <c r="B22" s="1369" t="str">
        <f>'REVIEW - Complete Role Mapping'!$B$256</f>
        <v>Conli Mills</v>
      </c>
      <c r="C22" s="1498" t="str">
        <f>'REVIEW - Complete Role Mapping'!$C$256</f>
        <v>TDD BP - Infrastructure</v>
      </c>
      <c r="D22" s="1369" t="str">
        <f>'REVIEW - Complete Role Mapping'!$G$256</f>
        <v>TDD Business Partner</v>
      </c>
      <c r="E22" s="1369" t="str">
        <f>'REVIEW - Complete Role Mapping'!$M$256</f>
        <v>Australia</v>
      </c>
      <c r="F22" s="1499" t="str">
        <f>'REVIEW - Complete Role Mapping'!$AK$256</f>
        <v>Filled</v>
      </c>
      <c r="G22" s="1488" t="n"/>
      <c r="H22" s="1358" t="inlineStr">
        <is>
          <t>Onshore</t>
        </is>
      </c>
      <c r="I22" s="1489" t="n"/>
      <c r="J22" s="1497" t="n"/>
      <c r="K22" s="1314" t="n"/>
      <c r="L22" s="1314" t="n"/>
      <c r="M22" s="865" t="n"/>
      <c r="N22" s="865" t="n"/>
      <c r="O22" s="865" t="n"/>
      <c r="P22" s="865" t="n"/>
      <c r="Q22" s="865" t="n"/>
      <c r="R22" s="865" t="n"/>
      <c r="S22" s="865" t="n"/>
      <c r="T22" s="1500">
        <f>('REVIEW - Complete Role Mapping'!$AA$256/1000000)*IF($H22="Offshore",0.4,1)</f>
        <v>0.29715</v>
      </c>
    </row>
    <row r="23" ht="28.5" customHeight="1" s="866">
      <c r="B23" s="1369" t="str">
        <f>'REVIEW - Complete Role Mapping'!$B$257</f>
        <v>Helen Ngu</v>
      </c>
      <c r="C23" s="1498" t="str">
        <f>'REVIEW - Complete Role Mapping'!$C$257</f>
        <v>Service &amp; Contract Specialist NZ</v>
      </c>
      <c r="D23" s="1369" t="str">
        <f>'REVIEW - Complete Role Mapping'!$G$257</f>
        <v>Commercial</v>
      </c>
      <c r="E23" s="1369" t="str">
        <f>'REVIEW - Complete Role Mapping'!$M$257</f>
        <v>NZ</v>
      </c>
      <c r="F23" s="1499" t="str">
        <f>'REVIEW - Complete Role Mapping'!$AK$257</f>
        <v>Filled</v>
      </c>
      <c r="G23" s="1488" t="n"/>
      <c r="H23" s="1358" t="inlineStr">
        <is>
          <t>Onshore</t>
        </is>
      </c>
      <c r="I23" s="1489" t="n"/>
      <c r="J23" s="1497" t="n"/>
      <c r="K23" s="1314" t="n"/>
      <c r="L23" s="1314" t="n"/>
      <c r="M23" s="865" t="n"/>
      <c r="N23" s="865" t="n"/>
      <c r="O23" s="865" t="n"/>
      <c r="P23" s="865" t="n"/>
      <c r="Q23" s="865" t="n"/>
      <c r="R23" s="865" t="n"/>
      <c r="S23" s="865" t="n"/>
      <c r="T23" s="1500">
        <f>('REVIEW - Complete Role Mapping'!$AA$257/1000000)*IF($H23="Offshore",0.4,1)</f>
        <v>0.151002492</v>
      </c>
    </row>
    <row r="24" ht="14.25" customHeight="1" s="866">
      <c r="B24" s="1369" t="str">
        <f>'REVIEW - Complete Role Mapping'!$B$258</f>
        <v>Jane Esclandra</v>
      </c>
      <c r="C24" s="1498" t="str">
        <f>'REVIEW - Complete Role Mapping'!$C$258</f>
        <v>Software Asset Specialist</v>
      </c>
      <c r="D24" s="1369" t="str">
        <f>'REVIEW - Complete Role Mapping'!$G$258</f>
        <v>Commercial</v>
      </c>
      <c r="E24" s="1369" t="str">
        <f>'REVIEW - Complete Role Mapping'!$M$258</f>
        <v>Australia</v>
      </c>
      <c r="F24" s="1499" t="str">
        <f>'REVIEW - Complete Role Mapping'!$AK$258</f>
        <v>Filled</v>
      </c>
      <c r="G24" s="1488" t="n"/>
      <c r="H24" s="1358" t="inlineStr">
        <is>
          <t>Onshore</t>
        </is>
      </c>
      <c r="I24" s="1489" t="n"/>
      <c r="J24" s="1497" t="n"/>
      <c r="K24" s="1314" t="n"/>
      <c r="L24" s="1314" t="n"/>
      <c r="M24" s="865" t="n"/>
      <c r="N24" s="865" t="n"/>
      <c r="O24" s="865" t="n"/>
      <c r="P24" s="865" t="n"/>
      <c r="Q24" s="865" t="n"/>
      <c r="R24" s="865" t="n"/>
      <c r="S24" s="865" t="n"/>
      <c r="T24" s="1500">
        <f>('REVIEW - Complete Role Mapping'!$AA$258/1000000)*IF($H24="Offshore",0.4,1)</f>
        <v>0.1834557</v>
      </c>
    </row>
    <row r="25" ht="28.5" customHeight="1" s="866">
      <c r="B25" s="1369" t="str">
        <f>'REVIEW - Complete Role Mapping'!$B$259</f>
        <v>Jeannie Chu</v>
      </c>
      <c r="C25" s="1498" t="str">
        <f>'REVIEW - Complete Role Mapping'!$C$259</f>
        <v>Snr Finance Support Administrator</v>
      </c>
      <c r="D25" s="1369" t="str">
        <f>'REVIEW - Complete Role Mapping'!$G$259</f>
        <v>Transformation</v>
      </c>
      <c r="E25" s="1369" t="str">
        <f>'REVIEW - Complete Role Mapping'!$M$259</f>
        <v>Australia</v>
      </c>
      <c r="F25" s="1499" t="str">
        <f>'REVIEW - Complete Role Mapping'!$AK$259</f>
        <v>Filled</v>
      </c>
      <c r="G25" s="1488" t="n"/>
      <c r="H25" s="1358" t="inlineStr">
        <is>
          <t>Onshore</t>
        </is>
      </c>
      <c r="I25" s="1489" t="n"/>
      <c r="J25" s="1497" t="n"/>
      <c r="K25" s="1314" t="n"/>
      <c r="L25" s="1314" t="n"/>
      <c r="M25" s="865" t="n"/>
      <c r="N25" s="865" t="n"/>
      <c r="O25" s="865" t="n"/>
      <c r="P25" s="865" t="n"/>
      <c r="Q25" s="865" t="n"/>
      <c r="R25" s="865" t="n"/>
      <c r="S25" s="865" t="n"/>
      <c r="T25" s="1500">
        <f>('REVIEW - Complete Role Mapping'!$AA$259/1000000)*IF($H25="Offshore",0.4,1)</f>
        <v>0.14768765</v>
      </c>
    </row>
    <row r="26" ht="14.25" customHeight="1" s="866">
      <c r="B26" s="1369" t="str">
        <f>'REVIEW - Complete Role Mapping'!$B$260</f>
        <v>Jenny Chan</v>
      </c>
      <c r="C26" s="1498" t="str">
        <f>'REVIEW - Complete Role Mapping'!$C$260</f>
        <v>Project Finance Lead</v>
      </c>
      <c r="D26" s="1369" t="str">
        <f>'REVIEW - Complete Role Mapping'!$G$260</f>
        <v>Transformation</v>
      </c>
      <c r="E26" s="1369" t="str">
        <f>'REVIEW - Complete Role Mapping'!$M$260</f>
        <v>Australia</v>
      </c>
      <c r="F26" s="1499" t="str">
        <f>'REVIEW - Complete Role Mapping'!$AK$260</f>
        <v>Filled</v>
      </c>
      <c r="G26" s="1488" t="n"/>
      <c r="H26" s="1358" t="inlineStr">
        <is>
          <t>Onshore</t>
        </is>
      </c>
      <c r="I26" s="1489" t="n"/>
      <c r="J26" s="1497" t="n"/>
      <c r="K26" s="1314" t="n"/>
      <c r="L26" s="1314" t="n"/>
      <c r="M26" s="865" t="n"/>
      <c r="N26" s="865" t="n"/>
      <c r="O26" s="865" t="n"/>
      <c r="P26" s="865" t="n"/>
      <c r="Q26" s="865" t="n"/>
      <c r="R26" s="865" t="n"/>
      <c r="S26" s="865" t="n"/>
      <c r="T26" s="1500">
        <f>('REVIEW - Complete Role Mapping'!$AA$260/1000000)*IF($H26="Offshore",0.4,1)</f>
        <v>0.206124</v>
      </c>
    </row>
    <row r="27" ht="14.25" customHeight="1" s="866">
      <c r="B27" s="1369" t="str">
        <f>'REVIEW - Complete Role Mapping'!$B$261</f>
        <v>Malcolm Deare</v>
      </c>
      <c r="C27" s="1498" t="str">
        <f>'REVIEW - Complete Role Mapping'!$C$261</f>
        <v>TDD BP, Group Functions</v>
      </c>
      <c r="D27" s="1369" t="str">
        <f>'REVIEW - Complete Role Mapping'!$G$261</f>
        <v>TDD Business Partner</v>
      </c>
      <c r="E27" s="1369" t="str">
        <f>'REVIEW - Complete Role Mapping'!$M$261</f>
        <v>Australia</v>
      </c>
      <c r="F27" s="1499" t="str">
        <f>'REVIEW - Complete Role Mapping'!$AK$261</f>
        <v>Filled</v>
      </c>
      <c r="G27" s="1488" t="n"/>
      <c r="H27" s="1358" t="inlineStr">
        <is>
          <t>Onshore</t>
        </is>
      </c>
      <c r="I27" s="1489" t="n"/>
      <c r="J27" s="1497" t="n"/>
      <c r="K27" s="1314" t="n"/>
      <c r="L27" s="1314" t="n"/>
      <c r="M27" s="865" t="n"/>
      <c r="N27" s="865" t="n"/>
      <c r="O27" s="865" t="n"/>
      <c r="P27" s="865" t="n"/>
      <c r="Q27" s="865" t="n"/>
      <c r="R27" s="865" t="n"/>
      <c r="S27" s="865" t="n"/>
      <c r="T27" s="1500">
        <f>('REVIEW - Complete Role Mapping'!$AA$261/1000000)*IF($H27="Offshore",0.4,1)</f>
        <v>0.2981</v>
      </c>
    </row>
    <row r="28" ht="14.25" customHeight="1" s="866">
      <c r="B28" s="1369" t="str">
        <f>'REVIEW - Complete Role Mapping'!$B$262</f>
        <v>Maria Somera</v>
      </c>
      <c r="C28" s="1498" t="str">
        <f>'REVIEW - Complete Role Mapping'!$C$262</f>
        <v>Technology Finance Analyst</v>
      </c>
      <c r="D28" s="1369" t="str">
        <f>'REVIEW - Complete Role Mapping'!$G$262</f>
        <v>Transformation</v>
      </c>
      <c r="E28" s="1369" t="str">
        <f>'REVIEW - Complete Role Mapping'!$M$262</f>
        <v>Australia</v>
      </c>
      <c r="F28" s="1499" t="str">
        <f>'REVIEW - Complete Role Mapping'!$AK$262</f>
        <v>Filled</v>
      </c>
      <c r="G28" s="1488" t="n"/>
      <c r="H28" s="1358" t="inlineStr">
        <is>
          <t>Onshore</t>
        </is>
      </c>
      <c r="I28" s="1489" t="n"/>
      <c r="J28" s="1497" t="n"/>
      <c r="K28" s="1314" t="n"/>
      <c r="L28" s="1314" t="n"/>
      <c r="M28" s="865" t="n"/>
      <c r="N28" s="865" t="n"/>
      <c r="O28" s="865" t="n"/>
      <c r="P28" s="865" t="n"/>
      <c r="Q28" s="865" t="n"/>
      <c r="R28" s="865" t="n"/>
      <c r="S28" s="865" t="n"/>
      <c r="T28" s="1500">
        <f>('REVIEW - Complete Role Mapping'!$AA$262/1000000)*IF($H28="Offshore",0.4,1)</f>
        <v>0.1793134</v>
      </c>
    </row>
    <row r="29" ht="14.25" customHeight="1" s="866">
      <c r="B29" s="1369" t="str">
        <f>'REVIEW - Complete Role Mapping'!$B$263</f>
        <v>Matt Saunders</v>
      </c>
      <c r="C29" s="1498" t="str">
        <f>'REVIEW - Complete Role Mapping'!$C$263</f>
        <v>Scrum Master</v>
      </c>
      <c r="D29" s="1369" t="str">
        <f>'REVIEW - Complete Role Mapping'!$G$263</f>
        <v>Transformation</v>
      </c>
      <c r="E29" s="1369" t="str">
        <f>'REVIEW - Complete Role Mapping'!$M$263</f>
        <v>NZ</v>
      </c>
      <c r="F29" s="1499" t="str">
        <f>'REVIEW - Complete Role Mapping'!$AK$263</f>
        <v>Filled</v>
      </c>
      <c r="G29" s="1488" t="n"/>
      <c r="H29" s="1358" t="inlineStr">
        <is>
          <t>Onshore</t>
        </is>
      </c>
      <c r="I29" s="1489" t="n"/>
      <c r="J29" s="1497" t="n"/>
      <c r="K29" s="1314" t="n"/>
      <c r="L29" s="1314" t="n"/>
      <c r="M29" s="865" t="n"/>
      <c r="N29" s="865" t="n"/>
      <c r="O29" s="865" t="n"/>
      <c r="P29" s="865" t="n"/>
      <c r="Q29" s="865" t="n"/>
      <c r="R29" s="865" t="n"/>
      <c r="S29" s="865" t="n"/>
      <c r="T29" s="1500">
        <f>('REVIEW - Complete Role Mapping'!$AA$263/1000000)*IF($H29="Offshore",0.4,1)</f>
        <v>0.1477548</v>
      </c>
    </row>
    <row r="30" ht="14.25" customHeight="1" s="866">
      <c r="B30" s="1369" t="str">
        <f>'REVIEW - Complete Role Mapping'!$B$264</f>
        <v>Neil Reilly</v>
      </c>
      <c r="C30" s="1498" t="str">
        <f>'REVIEW - Complete Role Mapping'!$C$264</f>
        <v>TDD BP - T&amp;S</v>
      </c>
      <c r="D30" s="1369" t="str">
        <f>'REVIEW - Complete Role Mapping'!$G$264</f>
        <v>TDD Business Partner</v>
      </c>
      <c r="E30" s="1369" t="str">
        <f>'REVIEW - Complete Role Mapping'!$M$264</f>
        <v>Singapore</v>
      </c>
      <c r="F30" s="1499" t="str">
        <f>'REVIEW - Complete Role Mapping'!$AK$264</f>
        <v>Filled</v>
      </c>
      <c r="G30" s="1488" t="n"/>
      <c r="H30" s="1358" t="inlineStr">
        <is>
          <t>Onshore</t>
        </is>
      </c>
      <c r="I30" s="1489" t="n"/>
      <c r="J30" s="1497" t="n"/>
      <c r="K30" s="1314" t="n"/>
      <c r="L30" s="1314" t="n"/>
      <c r="M30" s="865" t="n"/>
      <c r="N30" s="865" t="n"/>
      <c r="O30" s="865" t="n"/>
      <c r="P30" s="865" t="n"/>
      <c r="Q30" s="865" t="n"/>
      <c r="R30" s="865" t="n"/>
      <c r="S30" s="865" t="n"/>
      <c r="T30" s="1500">
        <f>('REVIEW - Complete Role Mapping'!$AA$264/1000000)*IF($H30="Offshore",0.4,1)</f>
        <v>0.6660875</v>
      </c>
    </row>
    <row r="31" ht="28.5" customHeight="1" s="866">
      <c r="B31" s="1369" t="str">
        <f>'REVIEW - Complete Role Mapping'!$B$265</f>
        <v>Ruth Chou</v>
      </c>
      <c r="C31" s="1498" t="str">
        <f>'REVIEW - Complete Role Mapping'!$C$265</f>
        <v>Portfolio Reporting Manager</v>
      </c>
      <c r="D31" s="1369" t="str">
        <f>'REVIEW - Complete Role Mapping'!$G$265</f>
        <v>Transformation</v>
      </c>
      <c r="E31" s="1369" t="str">
        <f>'REVIEW - Complete Role Mapping'!$M$265</f>
        <v>Australia</v>
      </c>
      <c r="F31" s="1499" t="str">
        <f>'REVIEW - Complete Role Mapping'!$AK$265</f>
        <v>Filled</v>
      </c>
      <c r="G31" s="1488" t="n"/>
      <c r="H31" s="1358" t="inlineStr">
        <is>
          <t>Onshore</t>
        </is>
      </c>
      <c r="I31" s="1489" t="n"/>
      <c r="J31" s="1497" t="n"/>
      <c r="K31" s="1314" t="n"/>
      <c r="L31" s="1314" t="n"/>
      <c r="M31" s="865" t="n"/>
      <c r="N31" s="865" t="n"/>
      <c r="O31" s="865" t="n"/>
      <c r="P31" s="865" t="n"/>
      <c r="Q31" s="865" t="n"/>
      <c r="R31" s="865" t="n"/>
      <c r="S31" s="865" t="n"/>
      <c r="T31" s="1500">
        <f>('REVIEW - Complete Role Mapping'!$AA$265/1000000)*IF($H31="Offshore",0.4,1)</f>
        <v>0.29331685</v>
      </c>
    </row>
    <row r="32" ht="14.25" customHeight="1" s="866">
      <c r="B32" s="1369" t="str">
        <f>'REVIEW - Complete Role Mapping'!$B$266</f>
        <v>Sam Chan</v>
      </c>
      <c r="C32" s="1498" t="str">
        <f>'REVIEW - Complete Role Mapping'!$C$266</f>
        <v>FinOps Manager</v>
      </c>
      <c r="D32" s="1369" t="str">
        <f>'REVIEW - Complete Role Mapping'!$G$266</f>
        <v>Transformation</v>
      </c>
      <c r="E32" s="1369" t="str">
        <f>'REVIEW - Complete Role Mapping'!$M$266</f>
        <v>Australia</v>
      </c>
      <c r="F32" s="1499" t="str">
        <f>'REVIEW - Complete Role Mapping'!$AK$266</f>
        <v>Filled</v>
      </c>
      <c r="G32" s="1488" t="n"/>
      <c r="H32" s="1358" t="inlineStr">
        <is>
          <t>Onshore</t>
        </is>
      </c>
      <c r="I32" s="1489" t="n"/>
      <c r="J32" s="1497" t="n"/>
      <c r="K32" s="1314" t="n"/>
      <c r="L32" s="1314" t="n"/>
      <c r="M32" s="865" t="n"/>
      <c r="N32" s="865" t="n"/>
      <c r="O32" s="865" t="n"/>
      <c r="P32" s="865" t="n"/>
      <c r="Q32" s="865" t="n"/>
      <c r="R32" s="865" t="n"/>
      <c r="S32" s="865" t="n"/>
      <c r="T32" s="1500">
        <f>('REVIEW - Complete Role Mapping'!$AA$266/1000000)*IF($H32="Offshore",0.4,1)</f>
        <v>0.22578855</v>
      </c>
    </row>
    <row r="33" ht="14.25" customHeight="1" s="866">
      <c r="B33" s="1369" t="str">
        <f>'REVIEW - Complete Role Mapping'!$B$267</f>
        <v>Shelley Crawford</v>
      </c>
      <c r="C33" s="1498" t="str">
        <f>'REVIEW - Complete Role Mapping'!$C$267</f>
        <v>TDD BP - Z</v>
      </c>
      <c r="D33" s="1369" t="str">
        <f>'REVIEW - Complete Role Mapping'!$G$267</f>
        <v>TDD Business Partner</v>
      </c>
      <c r="E33" s="1369" t="str">
        <f>'REVIEW - Complete Role Mapping'!$M$267</f>
        <v>NZ</v>
      </c>
      <c r="F33" s="1499" t="str">
        <f>'REVIEW - Complete Role Mapping'!$AK$267</f>
        <v>Filled</v>
      </c>
      <c r="G33" s="1488" t="n"/>
      <c r="H33" s="1358" t="inlineStr">
        <is>
          <t>Onshore</t>
        </is>
      </c>
      <c r="I33" s="1489" t="n"/>
      <c r="J33" s="1497" t="n"/>
      <c r="K33" s="1314" t="n"/>
      <c r="L33" s="1314" t="n"/>
      <c r="M33" s="865" t="n"/>
      <c r="N33" s="865" t="n"/>
      <c r="O33" s="865" t="n"/>
      <c r="P33" s="865" t="n"/>
      <c r="Q33" s="865" t="n"/>
      <c r="R33" s="865" t="n"/>
      <c r="S33" s="865" t="n"/>
      <c r="T33" s="1500">
        <f>('REVIEW - Complete Role Mapping'!$AA$267/1000000)*IF($H33="Offshore",0.4,1)</f>
        <v>0.291422</v>
      </c>
    </row>
    <row r="34" ht="28.5" customHeight="1" s="866">
      <c r="B34" s="1369" t="str">
        <f>'REVIEW - Complete Role Mapping'!$B$268</f>
        <v>Thomas Reid</v>
      </c>
      <c r="C34" s="1498" t="str">
        <f>'REVIEW - Complete Role Mapping'!$C$268</f>
        <v>TDD BP - Retail &amp; Customer - Store Digital</v>
      </c>
      <c r="D34" s="1369" t="str">
        <f>'REVIEW - Complete Role Mapping'!$G$268</f>
        <v>TDD Business Partner</v>
      </c>
      <c r="E34" s="1369" t="str">
        <f>'REVIEW - Complete Role Mapping'!$M$268</f>
        <v>Australia</v>
      </c>
      <c r="F34" s="1499" t="str">
        <f>'REVIEW - Complete Role Mapping'!$AK$268</f>
        <v>Filled</v>
      </c>
      <c r="G34" s="1488" t="n"/>
      <c r="H34" s="1358" t="inlineStr">
        <is>
          <t>Onshore</t>
        </is>
      </c>
      <c r="I34" s="1489" t="n"/>
      <c r="J34" s="1497" t="n"/>
      <c r="K34" s="1314" t="n"/>
      <c r="L34" s="1314" t="n"/>
      <c r="M34" s="865" t="n"/>
      <c r="N34" s="865" t="n"/>
      <c r="O34" s="865" t="n"/>
      <c r="P34" s="865" t="n"/>
      <c r="Q34" s="865" t="n"/>
      <c r="R34" s="865" t="n"/>
      <c r="S34" s="865" t="n"/>
      <c r="T34" s="1500">
        <f>('REVIEW - Complete Role Mapping'!$AA$268/1000000)*IF($H34="Offshore",0.4,1)</f>
        <v>0.417425</v>
      </c>
    </row>
    <row r="35" ht="14.25" customHeight="1" s="866">
      <c r="B35" s="1369" t="str">
        <f>'REVIEW - Complete Role Mapping'!$B$269</f>
        <v>Vacant</v>
      </c>
      <c r="C35" s="1498" t="str">
        <f>'REVIEW - Complete Role Mapping'!$C$269</f>
        <v>Commercial Director</v>
      </c>
      <c r="D35" s="1369" t="str">
        <f>'REVIEW - Complete Role Mapping'!$G$269</f>
        <v>Commercial</v>
      </c>
      <c r="E35" s="1369" t="str">
        <f>'REVIEW - Complete Role Mapping'!$M$269</f>
        <v>Australia</v>
      </c>
      <c r="F35" s="1499" t="str">
        <f>'REVIEW - Complete Role Mapping'!$AK$269</f>
        <v>Vacant</v>
      </c>
      <c r="G35" s="1501">
        <f>'REVIEW - Complete Role Mapping'!$AA$269</f>
        <v>439500</v>
      </c>
      <c r="H35" s="1358" t="inlineStr">
        <is>
          <t>Onshore</t>
        </is>
      </c>
      <c r="I35" s="1489" t="n"/>
      <c r="J35" s="1497" t="n"/>
      <c r="K35" s="1314" t="n"/>
      <c r="L35" s="1314" t="n"/>
      <c r="M35" s="865" t="n"/>
      <c r="N35" s="865" t="n"/>
      <c r="O35" s="865" t="n"/>
      <c r="P35" s="865" t="n"/>
      <c r="Q35" s="865" t="n"/>
      <c r="R35" s="865" t="n"/>
      <c r="S35" s="865" t="n"/>
      <c r="T35" s="1500">
        <f>('REVIEW - Complete Role Mapping'!$AA$269/1000000)*IF($H35="Offshore",0.4,1)</f>
        <v>0.4395</v>
      </c>
    </row>
    <row r="36" ht="14.25" customHeight="1" s="866">
      <c r="B36" s="1369" t="str">
        <f>'REVIEW - Complete Role Mapping'!$B$270</f>
        <v>Vacant</v>
      </c>
      <c r="C36" s="1498" t="str">
        <f>'REVIEW - Complete Role Mapping'!$C$270</f>
        <v>Head of Transformation</v>
      </c>
      <c r="D36" s="1369" t="str">
        <f>'REVIEW - Complete Role Mapping'!$G$270</f>
        <v>Transformation</v>
      </c>
      <c r="E36" s="1369" t="str">
        <f>'REVIEW - Complete Role Mapping'!$M$270</f>
        <v>Australia</v>
      </c>
      <c r="F36" s="1499" t="str">
        <f>'REVIEW - Complete Role Mapping'!$AK$270</f>
        <v>Vacant</v>
      </c>
      <c r="G36" s="1501">
        <f>'REVIEW - Complete Role Mapping'!$AA$270</f>
        <v>367900</v>
      </c>
      <c r="H36" s="1358" t="inlineStr">
        <is>
          <t>Onshore</t>
        </is>
      </c>
      <c r="I36" s="1489" t="n"/>
      <c r="J36" s="1497" t="n"/>
      <c r="K36" s="1314" t="n"/>
      <c r="L36" s="1314" t="n"/>
      <c r="M36" s="865" t="n"/>
      <c r="N36" s="865" t="n"/>
      <c r="O36" s="865" t="n"/>
      <c r="P36" s="865" t="n"/>
      <c r="Q36" s="865" t="n"/>
      <c r="R36" s="865" t="n"/>
      <c r="S36" s="865" t="n"/>
      <c r="T36" s="1500">
        <f>('REVIEW - Complete Role Mapping'!$AA$270/1000000)*IF($H36="Offshore",0.4,1)</f>
        <v>0.3679</v>
      </c>
    </row>
    <row r="37" ht="14.25" customHeight="1" s="866">
      <c r="B37" s="1369" t="str">
        <f>'REVIEW - Complete Role Mapping'!$B$271</f>
        <v>Vacant</v>
      </c>
      <c r="C37" s="1498" t="str">
        <f>'REVIEW - Complete Role Mapping'!$C$271</f>
        <v>Delivery Systems Analyst</v>
      </c>
      <c r="D37" s="1369" t="str">
        <f>'REVIEW - Complete Role Mapping'!$G$271</f>
        <v>Transformation</v>
      </c>
      <c r="E37" s="1369" t="str">
        <f>'REVIEW - Complete Role Mapping'!$M$271</f>
        <v>Australia</v>
      </c>
      <c r="F37" s="1499" t="str">
        <f>'REVIEW - Complete Role Mapping'!$AK$271</f>
        <v>Vacant</v>
      </c>
      <c r="G37" s="1501">
        <f>'REVIEW - Complete Role Mapping'!$AA$271</f>
        <v>202853.25</v>
      </c>
      <c r="H37" s="1358" t="inlineStr">
        <is>
          <t>Offshore</t>
        </is>
      </c>
      <c r="I37" s="1489" t="n"/>
      <c r="J37" s="1497" t="n"/>
      <c r="K37" s="1314" t="n"/>
      <c r="L37" s="1314" t="n"/>
      <c r="M37" s="865" t="n"/>
      <c r="N37" s="865" t="n"/>
      <c r="O37" s="865" t="n"/>
      <c r="P37" s="865" t="n"/>
      <c r="Q37" s="865" t="n"/>
      <c r="R37" s="865" t="n"/>
      <c r="S37" s="865" t="n"/>
      <c r="T37" s="1500">
        <f>('REVIEW - Complete Role Mapping'!$AA$271/1000000)*IF($H37="Offshore",0.4,1)</f>
        <v>0.0811413</v>
      </c>
    </row>
    <row r="38" ht="28.5" customHeight="1" s="866">
      <c r="B38" s="1369" t="str">
        <f>'REVIEW - Complete Role Mapping'!$B$272</f>
        <v>Vacant</v>
      </c>
      <c r="C38" s="1498" t="str">
        <f>'REVIEW - Complete Role Mapping'!$C$272</f>
        <v>Business Analysis Practice Lead</v>
      </c>
      <c r="D38" s="1369" t="str">
        <f>'REVIEW - Complete Role Mapping'!$G$272</f>
        <v>Transformation</v>
      </c>
      <c r="E38" s="1369" t="str">
        <f>'REVIEW - Complete Role Mapping'!$M$272</f>
        <v>Australia</v>
      </c>
      <c r="F38" s="1499" t="str">
        <f>'REVIEW - Complete Role Mapping'!$AK$272</f>
        <v>Vacant</v>
      </c>
      <c r="G38" s="1501">
        <f>'REVIEW - Complete Role Mapping'!$AA$272</f>
        <v>231689.25</v>
      </c>
      <c r="H38" s="1358" t="inlineStr">
        <is>
          <t>Onshore</t>
        </is>
      </c>
      <c r="I38" s="1489" t="n"/>
      <c r="J38" s="1497" t="n"/>
      <c r="K38" s="1314" t="n"/>
      <c r="L38" s="1314" t="n"/>
      <c r="M38" s="865" t="n"/>
      <c r="N38" s="865" t="n"/>
      <c r="O38" s="865" t="n"/>
      <c r="P38" s="865" t="n"/>
      <c r="Q38" s="865" t="n"/>
      <c r="R38" s="865" t="n"/>
      <c r="S38" s="865" t="n"/>
      <c r="T38" s="1500">
        <f>('REVIEW - Complete Role Mapping'!$AA$272/1000000)*IF($H38="Offshore",0.4,1)</f>
        <v>0.23168925</v>
      </c>
    </row>
    <row r="39" ht="28.5" customHeight="1" s="866">
      <c r="B39" s="1369" t="str">
        <f>'REVIEW - Complete Role Mapping'!$B$273</f>
        <v>Vacant</v>
      </c>
      <c r="C39" s="1498" t="str">
        <f>'REVIEW - Complete Role Mapping'!$C$273</f>
        <v>Delivery Assurance Manager</v>
      </c>
      <c r="D39" s="1369" t="str">
        <f>'REVIEW - Complete Role Mapping'!$G$273</f>
        <v>Transformation</v>
      </c>
      <c r="E39" s="1369" t="str">
        <f>'REVIEW - Complete Role Mapping'!$M$273</f>
        <v>Australia</v>
      </c>
      <c r="F39" s="1499" t="str">
        <f>'REVIEW - Complete Role Mapping'!$AK$273</f>
        <v>Vacant</v>
      </c>
      <c r="G39" s="1501">
        <f>'REVIEW - Complete Role Mapping'!$AA$273</f>
        <v>275810.25</v>
      </c>
      <c r="H39" s="1358" t="inlineStr">
        <is>
          <t>Onshore</t>
        </is>
      </c>
      <c r="I39" s="1489" t="n"/>
      <c r="J39" s="1497" t="n"/>
      <c r="K39" s="1314" t="n"/>
      <c r="L39" s="1314" t="n"/>
      <c r="M39" s="865" t="n"/>
      <c r="N39" s="865" t="n"/>
      <c r="O39" s="865" t="n"/>
      <c r="P39" s="865" t="n"/>
      <c r="Q39" s="865" t="n"/>
      <c r="R39" s="865" t="n"/>
      <c r="S39" s="865" t="n"/>
      <c r="T39" s="1500">
        <f>('REVIEW - Complete Role Mapping'!$AA$273/1000000)*IF($H39="Offshore",0.4,1)</f>
        <v>0.27581025</v>
      </c>
    </row>
    <row r="40" ht="28.5" customHeight="1" s="866">
      <c r="B40" s="1369" t="str">
        <f>'REVIEW - Complete Role Mapping'!$B$274</f>
        <v>Vacant</v>
      </c>
      <c r="C40" s="1498" t="str">
        <f>'REVIEW - Complete Role Mapping'!$C$274</f>
        <v>Delivery Capacity &amp; Assurance Lead</v>
      </c>
      <c r="D40" s="1369" t="str">
        <f>'REVIEW - Complete Role Mapping'!$G$274</f>
        <v>Transformation</v>
      </c>
      <c r="E40" s="1369" t="str">
        <f>'REVIEW - Complete Role Mapping'!$M$274</f>
        <v>Australia</v>
      </c>
      <c r="F40" s="1499" t="str">
        <f>'REVIEW - Complete Role Mapping'!$AK$274</f>
        <v>Vacant</v>
      </c>
      <c r="G40" s="1501">
        <f>'REVIEW - Complete Role Mapping'!$AA$274</f>
        <v>231689.25</v>
      </c>
      <c r="H40" s="1358" t="inlineStr">
        <is>
          <t>Onshore</t>
        </is>
      </c>
      <c r="I40" s="1489" t="n"/>
      <c r="J40" s="1497" t="n"/>
      <c r="K40" s="1314" t="n"/>
      <c r="L40" s="1314" t="n"/>
      <c r="M40" s="865" t="n"/>
      <c r="N40" s="865" t="n"/>
      <c r="O40" s="865" t="n"/>
      <c r="P40" s="865" t="n"/>
      <c r="Q40" s="865" t="n"/>
      <c r="R40" s="865" t="n"/>
      <c r="S40" s="865" t="n"/>
      <c r="T40" s="1500">
        <f>('REVIEW - Complete Role Mapping'!$AA$274/1000000)*IF($H40="Offshore",0.4,1)</f>
        <v>0.23168925</v>
      </c>
    </row>
    <row r="41" ht="28.5" customHeight="1" s="866">
      <c r="B41" s="1369" t="str">
        <f>'REVIEW - Complete Role Mapping'!$B$275</f>
        <v>Vacant</v>
      </c>
      <c r="C41" s="1498" t="str">
        <f>'REVIEW - Complete Role Mapping'!$C$275</f>
        <v>Delivery Excellence Manager</v>
      </c>
      <c r="D41" s="1369" t="str">
        <f>'REVIEW - Complete Role Mapping'!$G$275</f>
        <v>Transformation</v>
      </c>
      <c r="E41" s="1369" t="str">
        <f>'REVIEW - Complete Role Mapping'!$M$275</f>
        <v>Australia</v>
      </c>
      <c r="F41" s="1499" t="str">
        <f>'REVIEW - Complete Role Mapping'!$AK$275</f>
        <v>Vacant</v>
      </c>
      <c r="G41" s="1501">
        <f>'REVIEW - Complete Role Mapping'!$AA$275</f>
        <v>275810.25</v>
      </c>
      <c r="H41" s="1358" t="inlineStr">
        <is>
          <t>Onshore</t>
        </is>
      </c>
      <c r="I41" s="1489" t="n"/>
      <c r="J41" s="1497" t="n"/>
      <c r="K41" s="1314" t="n"/>
      <c r="L41" s="1314" t="n"/>
      <c r="M41" s="865" t="n"/>
      <c r="N41" s="865" t="n"/>
      <c r="O41" s="865" t="n"/>
      <c r="P41" s="865" t="n"/>
      <c r="Q41" s="865" t="n"/>
      <c r="R41" s="865" t="n"/>
      <c r="S41" s="865" t="n"/>
      <c r="T41" s="1500">
        <f>('REVIEW - Complete Role Mapping'!$AA$275/1000000)*IF($H41="Offshore",0.4,1)</f>
        <v>0.27581025</v>
      </c>
    </row>
    <row r="42" ht="14.25" customHeight="1" s="866">
      <c r="B42" s="1369" t="str">
        <f>'REVIEW - Complete Role Mapping'!$B$276</f>
        <v>Vacant</v>
      </c>
      <c r="C42" s="1498" t="str">
        <f>'REVIEW - Complete Role Mapping'!$C$276</f>
        <v>Scrum Master</v>
      </c>
      <c r="D42" s="1369" t="str">
        <f>'REVIEW - Complete Role Mapping'!$G$276</f>
        <v>Transformation</v>
      </c>
      <c r="E42" s="1369" t="str">
        <f>'REVIEW - Complete Role Mapping'!$M$276</f>
        <v>NZ</v>
      </c>
      <c r="F42" s="1499" t="str">
        <f>'REVIEW - Complete Role Mapping'!$AK$276</f>
        <v>Vacant</v>
      </c>
      <c r="G42" s="1501">
        <f>'REVIEW - Complete Role Mapping'!$AA$276</f>
        <v>151771.98</v>
      </c>
      <c r="H42" s="1358" t="inlineStr">
        <is>
          <t>Onshore</t>
        </is>
      </c>
      <c r="I42" s="1314" t="n"/>
      <c r="J42" s="1314" t="n"/>
      <c r="K42" s="1314" t="n"/>
      <c r="L42" s="1314" t="n"/>
      <c r="M42" s="865" t="n"/>
      <c r="N42" s="865" t="n"/>
      <c r="O42" s="865" t="n"/>
      <c r="P42" s="865" t="n"/>
      <c r="Q42" s="865" t="n"/>
      <c r="R42" s="865" t="n"/>
      <c r="S42" s="865" t="n"/>
      <c r="T42" s="1500">
        <f>('REVIEW - Complete Role Mapping'!$AA$276/1000000)*IF($H42="Offshore",0.4,1)</f>
        <v>0.15177198</v>
      </c>
    </row>
    <row r="43" ht="14.25" customHeight="1" s="866">
      <c r="B43" s="1369" t="str">
        <f>'REVIEW - Complete Role Mapping'!$B$277</f>
        <v>Vacant</v>
      </c>
      <c r="C43" s="1498" t="str">
        <f>'REVIEW - Complete Role Mapping'!$C$277</f>
        <v>Portfolio Analyst</v>
      </c>
      <c r="D43" s="1369" t="str">
        <f>'REVIEW - Complete Role Mapping'!$G$277</f>
        <v>Transformation</v>
      </c>
      <c r="E43" s="1369" t="str">
        <f>'REVIEW - Complete Role Mapping'!$M$277</f>
        <v>Australia</v>
      </c>
      <c r="F43" s="1499" t="str">
        <f>'REVIEW - Complete Role Mapping'!$AK$277</f>
        <v>Vacant</v>
      </c>
      <c r="G43" s="1501">
        <f>'REVIEW - Complete Role Mapping'!$AA$277</f>
        <v>170489.75</v>
      </c>
      <c r="H43" s="1358" t="inlineStr">
        <is>
          <t>Offshore</t>
        </is>
      </c>
      <c r="I43" s="1314" t="n"/>
      <c r="J43" s="1314" t="n"/>
      <c r="K43" s="1314" t="n"/>
      <c r="L43" s="1314" t="n"/>
      <c r="M43" s="865" t="n"/>
      <c r="N43" s="865" t="n"/>
      <c r="O43" s="865" t="n"/>
      <c r="P43" s="865" t="n"/>
      <c r="Q43" s="865" t="n"/>
      <c r="R43" s="865" t="n"/>
      <c r="S43" s="865" t="n"/>
      <c r="T43" s="1500">
        <f>('REVIEW - Complete Role Mapping'!$AA$277/1000000)*IF($H43="Offshore",0.4,1)</f>
        <v>0.0681959</v>
      </c>
    </row>
    <row r="44" ht="14.25" customHeight="1" s="866">
      <c r="B44" s="1369" t="str">
        <f>'REVIEW - Complete Role Mapping'!$B$278</f>
        <v>Vaughn Scott</v>
      </c>
      <c r="C44" s="1498" t="str">
        <f>'REVIEW - Complete Role Mapping'!$C$278</f>
        <v>TDD BP - ES</v>
      </c>
      <c r="D44" s="1369" t="str">
        <f>'REVIEW - Complete Role Mapping'!$G$278</f>
        <v>TDD Business Partner</v>
      </c>
      <c r="E44" s="1369" t="str">
        <f>'REVIEW - Complete Role Mapping'!$M$278</f>
        <v>Australia</v>
      </c>
      <c r="F44" s="1499" t="str">
        <f>'REVIEW - Complete Role Mapping'!$AK$278</f>
        <v>Filled</v>
      </c>
      <c r="G44" s="1314" t="n"/>
      <c r="H44" s="1358" t="inlineStr">
        <is>
          <t>Onshore</t>
        </is>
      </c>
      <c r="I44" s="1314" t="n"/>
      <c r="J44" s="1314" t="n"/>
      <c r="K44" s="1314" t="n"/>
      <c r="L44" s="1314" t="n"/>
      <c r="M44" s="865" t="n"/>
      <c r="N44" s="865" t="n"/>
      <c r="O44" s="865" t="n"/>
      <c r="P44" s="865" t="n"/>
      <c r="Q44" s="865" t="n"/>
      <c r="R44" s="865" t="n"/>
      <c r="S44" s="865" t="n"/>
      <c r="T44" s="1500">
        <f>('REVIEW - Complete Role Mapping'!$AA$278/1000000)*IF($H44="Offshore",0.4,1)</f>
        <v>0.3433639</v>
      </c>
    </row>
    <row r="45" ht="14.25" customHeight="1" s="866">
      <c r="B45" s="1369" t="inlineStr">
        <is>
          <t>Check - roles listed vs counted (must be 0)</t>
        </is>
      </c>
      <c r="C45" s="1490">
        <f>COUNTA(B21:B44)-C8</f>
        <v>0</v>
      </c>
      <c r="D45" s="1314" t="n"/>
      <c r="E45" s="1314" t="n"/>
      <c r="F45" s="1314" t="n"/>
      <c r="G45" s="1314" t="n"/>
      <c r="H45" s="1314" t="n"/>
      <c r="I45" s="1314" t="n"/>
      <c r="J45" s="1314" t="n"/>
      <c r="K45" s="1314" t="n"/>
      <c r="L45" s="1314" t="n"/>
      <c r="M45" s="865" t="n"/>
      <c r="N45" s="865" t="n"/>
      <c r="O45" s="865" t="n"/>
      <c r="P45" s="865" t="n"/>
      <c r="Q45" s="865" t="n"/>
      <c r="R45" s="865" t="n"/>
      <c r="S45" s="865" t="n"/>
      <c r="T45" s="865" t="n"/>
    </row>
    <row r="46" ht="14.25" customHeight="1" s="866">
      <c r="B46" s="1314" t="n"/>
      <c r="C46" s="1314" t="n"/>
      <c r="D46" s="1314" t="n"/>
      <c r="E46" s="1314" t="n"/>
      <c r="F46" s="1314" t="n"/>
      <c r="G46" s="1314" t="n"/>
      <c r="H46" s="1314" t="n"/>
      <c r="I46" s="1314" t="n"/>
      <c r="J46" s="1314" t="n"/>
      <c r="K46" s="1314" t="n"/>
      <c r="L46" s="1314" t="n"/>
      <c r="M46" s="865" t="n"/>
      <c r="N46" s="865" t="n"/>
      <c r="O46" s="865" t="n"/>
      <c r="P46" s="865" t="n"/>
      <c r="Q46" s="865" t="n"/>
      <c r="R46" s="865" t="n"/>
      <c r="S46" s="865" t="n"/>
      <c r="T46" s="865" t="n"/>
    </row>
    <row r="47" ht="14.25" customHeight="1" s="866">
      <c r="B47" s="1937" t="n"/>
      <c r="C47" s="865" t="n"/>
      <c r="D47" s="865" t="n"/>
      <c r="E47" s="865" t="n"/>
      <c r="F47" s="865" t="n"/>
      <c r="G47" s="865" t="n"/>
      <c r="H47" s="865" t="n"/>
      <c r="I47" s="865" t="n"/>
      <c r="J47" s="865" t="n"/>
      <c r="K47" s="865" t="n"/>
      <c r="L47" s="865" t="n"/>
      <c r="M47" s="865" t="n"/>
      <c r="N47" s="865" t="n"/>
      <c r="O47" s="865" t="n"/>
      <c r="P47" s="865" t="n"/>
      <c r="Q47" s="865" t="n"/>
      <c r="R47" s="865" t="n"/>
      <c r="S47" s="865" t="n"/>
      <c r="T47" s="865" t="n"/>
    </row>
    <row r="48" ht="14.25" customHeight="1" s="866">
      <c r="B48" s="1314" t="n"/>
      <c r="C48" s="1314" t="n"/>
      <c r="D48" s="1314" t="n"/>
      <c r="E48" s="1314" t="n"/>
      <c r="F48" s="1314" t="n"/>
      <c r="G48" s="1314" t="n"/>
      <c r="H48" s="1314" t="n"/>
      <c r="I48" s="1314" t="n"/>
      <c r="J48" s="1314" t="n"/>
      <c r="K48" s="1314" t="n"/>
      <c r="L48" s="1314" t="n"/>
      <c r="M48" s="865" t="n"/>
      <c r="N48" s="865" t="n"/>
      <c r="O48" s="865" t="n"/>
      <c r="P48" s="865" t="n"/>
      <c r="Q48" s="865" t="n"/>
      <c r="R48" s="865" t="n"/>
      <c r="S48" s="865" t="n"/>
      <c r="T48" s="865" t="n"/>
    </row>
    <row r="49" ht="28.5" customHeight="1" s="866">
      <c r="B49" s="1938" t="n"/>
      <c r="C49" s="1314" t="n"/>
      <c r="D49" s="1314" t="n"/>
      <c r="E49" s="1314" t="n"/>
      <c r="F49" s="1314" t="n"/>
      <c r="G49" s="1314" t="n"/>
      <c r="H49" s="1314" t="n"/>
      <c r="I49" s="1314" t="n"/>
      <c r="J49" s="1314" t="n"/>
      <c r="K49" s="1314" t="n"/>
      <c r="L49" s="1314" t="n"/>
    </row>
    <row r="50" ht="14.25" customHeight="1" s="866">
      <c r="B50" s="1314" t="n"/>
      <c r="C50" s="1314" t="n"/>
      <c r="D50" s="1314" t="n"/>
      <c r="E50" s="1314" t="n"/>
      <c r="F50" s="1314" t="n"/>
      <c r="G50" s="1314" t="n"/>
      <c r="H50" s="1314" t="n"/>
      <c r="I50" s="1314" t="n"/>
      <c r="J50" s="1314" t="n"/>
      <c r="K50" s="1314" t="n"/>
      <c r="L50" s="1314" t="n"/>
    </row>
    <row r="51" ht="14.25" customHeight="1" s="866">
      <c r="B51" s="1314" t="n"/>
      <c r="C51" s="1314" t="n"/>
      <c r="D51" s="1314" t="n"/>
      <c r="E51" s="1314" t="n"/>
      <c r="F51" s="1314" t="n"/>
      <c r="G51" s="1314" t="n"/>
      <c r="H51" s="1314" t="n"/>
      <c r="I51" s="1314" t="n"/>
      <c r="J51" s="1314" t="n"/>
      <c r="K51" s="1314" t="n"/>
      <c r="L51" s="1314" t="n"/>
    </row>
    <row r="52" ht="14.25" customHeight="1" s="866">
      <c r="B52" s="1314" t="n"/>
      <c r="C52" s="1314" t="n"/>
      <c r="D52" s="1314" t="n"/>
      <c r="E52" s="1314" t="n"/>
      <c r="F52" s="1314" t="n"/>
      <c r="G52" s="1314" t="n"/>
      <c r="H52" s="1314" t="n"/>
      <c r="I52" s="1314" t="n"/>
      <c r="J52" s="1314" t="n"/>
      <c r="K52" s="1314" t="n"/>
      <c r="L52" s="1314" t="n"/>
    </row>
    <row r="53" ht="14.25" customHeight="1" s="866">
      <c r="B53" s="1314" t="n"/>
      <c r="C53" s="1314" t="n"/>
      <c r="D53" s="1314" t="n"/>
      <c r="E53" s="1314" t="n"/>
      <c r="F53" s="1314" t="n"/>
      <c r="G53" s="1314" t="n"/>
      <c r="H53" s="1314" t="n"/>
      <c r="I53" s="1314" t="n"/>
      <c r="J53" s="1314" t="n"/>
      <c r="K53" s="1314" t="n"/>
      <c r="L53" s="1314" t="n"/>
    </row>
    <row r="54" ht="14.25" customHeight="1" s="866">
      <c r="B54" s="1314" t="n"/>
      <c r="C54" s="1314" t="n"/>
      <c r="D54" s="1314" t="n"/>
      <c r="E54" s="1314" t="n"/>
      <c r="F54" s="1314" t="n"/>
      <c r="G54" s="1314" t="n"/>
      <c r="H54" s="1314" t="n"/>
      <c r="I54" s="1314" t="n"/>
      <c r="J54" s="1314" t="n"/>
      <c r="K54" s="1314" t="n"/>
      <c r="L54" s="1314" t="n"/>
    </row>
  </sheetData>
  <dataValidations count="1">
    <dataValidation sqref="H21:H44" showDropDown="0" showInputMessage="0" showErrorMessage="0" allowBlank="1" type="list" errorStyle="stop" operator="between">
      <formula1>"Onshore,Offshore"</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0.xml><?xml version="1.0" encoding="utf-8"?>
<worksheet xmlns="http://schemas.openxmlformats.org/spreadsheetml/2006/main">
  <sheetPr filterMode="0">
    <tabColor rgb="FF1F4E79"/>
    <outlinePr summaryBelow="1" summaryRight="1"/>
    <pageSetUpPr fitToPage="1"/>
  </sheetPr>
  <dimension ref="B2:T6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3" activeCellId="0" sqref="A13"/>
    </sheetView>
  </sheetViews>
  <sheetFormatPr baseColWidth="8" defaultColWidth="8.5390625" defaultRowHeight="14.25" zeroHeight="0" outlineLevelRow="0"/>
  <cols>
    <col width="2" customWidth="1" style="865" min="1" max="1"/>
    <col width="46" customWidth="1" style="865" min="2" max="2"/>
    <col width="38" customWidth="1" style="865" min="3" max="3"/>
    <col width="24" customWidth="1" style="865" min="4" max="4"/>
    <col width="11" customWidth="1" style="865" min="5" max="5"/>
    <col width="11" customWidth="1" style="865" min="6" max="6"/>
    <col width="15" customWidth="1" style="865" min="7" max="7"/>
    <col width="15" customWidth="1" style="865" min="8" max="8"/>
    <col width="15" customWidth="1" style="865" min="9" max="9"/>
    <col width="15" customWidth="1" style="865" min="10" max="10"/>
    <col width="15" customWidth="1" style="865" min="11" max="11"/>
    <col width="9" customWidth="1" style="866" min="12" max="12"/>
    <col width="9" customWidth="1" style="866" min="13" max="13"/>
    <col hidden="1" width="13" customWidth="1" style="865" min="20" max="20"/>
  </cols>
  <sheetData>
    <row r="2" ht="21" customHeight="1" s="866">
      <c r="B2" s="1315" t="inlineStr">
        <is>
          <t>Strategy, Architecture &amp; Data - roles and funding</t>
        </is>
      </c>
      <c r="C2" s="865" t="n"/>
      <c r="D2" s="865" t="n"/>
      <c r="E2" s="865" t="n"/>
      <c r="F2" s="865" t="n"/>
      <c r="G2" s="865" t="n"/>
      <c r="H2" s="865" t="n"/>
      <c r="I2" s="865" t="n"/>
      <c r="J2" s="865" t="n"/>
      <c r="K2" s="865" t="n"/>
      <c r="L2" s="865" t="n"/>
    </row>
    <row r="4" ht="19" customHeight="1" s="866">
      <c r="B4" s="1470" t="inlineStr">
        <is>
          <t>Summary</t>
        </is>
      </c>
      <c r="C4" s="1849" t="n"/>
      <c r="D4" s="1849" t="n"/>
      <c r="E4" s="1849" t="n"/>
      <c r="F4" s="1849" t="n"/>
      <c r="G4" s="1849" t="n"/>
      <c r="H4" s="1849" t="n"/>
      <c r="I4" s="1849" t="n"/>
      <c r="J4" s="1849" t="n"/>
      <c r="K4" s="1849" t="n"/>
      <c r="L4" s="1314" t="n"/>
    </row>
    <row r="5" ht="48" customHeight="1" s="866">
      <c r="B5" s="1320" t="inlineStr">
        <is>
          <t>Grouping</t>
        </is>
      </c>
      <c r="C5" s="1320" t="inlineStr">
        <is>
          <t>Roles</t>
        </is>
      </c>
      <c r="D5" s="1320" t="inlineStr">
        <is>
          <t>Filled</t>
        </is>
      </c>
      <c r="E5" s="1320" t="inlineStr">
        <is>
          <t>Vacant</t>
        </is>
      </c>
      <c r="F5" s="1320" t="inlineStr">
        <is>
          <t>Paused</t>
        </is>
      </c>
      <c r="G5" s="1320" t="inlineStr">
        <is>
          <t>Planned spend ($m)</t>
        </is>
      </c>
      <c r="H5" s="1320" t="inlineStr">
        <is>
          <t>Budget to draw down ($m)</t>
        </is>
      </c>
      <c r="I5" s="1320" t="inlineStr">
        <is>
          <t>Left to fund ($m, + = over budget)</t>
        </is>
      </c>
      <c r="J5" s="1320" t="inlineStr">
        <is>
          <t>Cost - AU ($m)</t>
        </is>
      </c>
      <c r="K5" s="1320" t="inlineStr">
        <is>
          <t>Cost - NZ ($m)</t>
        </is>
      </c>
      <c r="L5" s="1314" t="n"/>
    </row>
    <row r="6" ht="14.25" customHeight="1" s="866">
      <c r="B6" s="1372" t="inlineStr">
        <is>
          <t>Strategy &amp; Architecture</t>
        </is>
      </c>
      <c r="C6" s="1490">
        <f>COUNTIFS('REVIEW - Complete Role Mapping'!$AJ$2:$AJ$528,"COE SA&amp;D")-COUNTIFS('REVIEW - Complete Role Mapping'!$AJ$2:$AJ$528,"COE SA&amp;D",'REVIEW - Complete Role Mapping'!$G$2:$G$528,"Group Data")</f>
        <v>16</v>
      </c>
      <c r="D6" s="1490">
        <f>COUNTIFS('REVIEW - Complete Role Mapping'!$AJ$2:$AJ$528,"COE SA&amp;D",'REVIEW - Complete Role Mapping'!$AK$2:$AK$528,"Filled")-COUNTIFS('REVIEW - Complete Role Mapping'!$AJ$2:$AJ$528,"COE SA&amp;D",'REVIEW - Complete Role Mapping'!$G$2:$G$528,"Group Data",'REVIEW - Complete Role Mapping'!$AK$2:$AK$528,"Filled")</f>
        <v>9</v>
      </c>
      <c r="E6" s="1490">
        <f>COUNTIFS('REVIEW - Complete Role Mapping'!$AJ$2:$AJ$528,"COE SA&amp;D",'REVIEW - Complete Role Mapping'!$AK$2:$AK$528,"Vacant")-COUNTIFS('REVIEW - Complete Role Mapping'!$AJ$2:$AJ$528,"COE SA&amp;D",'REVIEW - Complete Role Mapping'!$G$2:$G$528,"Group Data",'REVIEW - Complete Role Mapping'!$AK$2:$AK$528,"Vacant")</f>
        <v>7</v>
      </c>
      <c r="F6" s="1490">
        <f>COUNTIFS($F$22:$F$50,"Paused")-COUNTIFS($D$22:$D$50,"Group Data",$F$22:$F$50,"Paused")</f>
        <v>0</v>
      </c>
      <c r="G6" s="1323">
        <f>(SUMIFS('REVIEW - Complete Role Mapping'!$AA$2:$AA$528,'REVIEW - Complete Role Mapping'!$AJ$2:$AJ$528,"COE SA&amp;D")-SUMIFS('REVIEW - Complete Role Mapping'!$AA$2:$AA$528,'REVIEW - Complete Role Mapping'!$AJ$2:$AJ$528,"COE SA&amp;D",'REVIEW - Complete Role Mapping'!$G$2:$G$528,"Group Data"))/1000000</f>
        <v>3.958617086</v>
      </c>
      <c r="H6" s="1323">
        <f>C15</f>
        <v>3.4</v>
      </c>
      <c r="I6" s="1935">
        <f>$G6-$H6</f>
        <v>0.558617086</v>
      </c>
      <c r="J6" s="1323">
        <f>SUMIFS($T$22:$T$50,$E$22:$E$50,"&lt;&gt;NZ")-SUMIFS($T$22:$T$50,$D$22:$D$50,"Group Data",$E$22:$E$50,"&lt;&gt;NZ")</f>
        <v>3.26474855</v>
      </c>
      <c r="K6" s="1323">
        <f>SUMIFS($T$22:$T$50,$E$22:$E$50,"NZ")-SUMIFS($T$22:$T$50,$D$22:$D$50,"Group Data",$E$22:$E$50,"NZ")</f>
        <v>0.693868536</v>
      </c>
      <c r="L6" s="1314" t="n"/>
    </row>
    <row r="7" ht="14.25" customHeight="1" s="866">
      <c r="B7" s="1372" t="inlineStr">
        <is>
          <t>Data</t>
        </is>
      </c>
      <c r="C7" s="1490">
        <f>COUNTIFS('REVIEW - Complete Role Mapping'!$AJ$2:$AJ$528,"COE SA&amp;D",'REVIEW - Complete Role Mapping'!$G$2:$G$528,"Group Data")</f>
        <v>10</v>
      </c>
      <c r="D7" s="1490">
        <f>COUNTIFS('REVIEW - Complete Role Mapping'!$AJ$2:$AJ$528,"COE SA&amp;D",'REVIEW - Complete Role Mapping'!$G$2:$G$528,"Group Data",'REVIEW - Complete Role Mapping'!$AK$2:$AK$528,"Filled")</f>
        <v>8</v>
      </c>
      <c r="E7" s="1490">
        <f>COUNTIFS('REVIEW - Complete Role Mapping'!$AJ$2:$AJ$528,"COE SA&amp;D",'REVIEW - Complete Role Mapping'!$G$2:$G$528,"Group Data",'REVIEW - Complete Role Mapping'!$AK$2:$AK$528,"Vacant")</f>
        <v>2</v>
      </c>
      <c r="F7" s="1490">
        <f>COUNTIFS($D$22:$D$50,"Group Data",$F$22:$F$50,"Paused")</f>
        <v>0</v>
      </c>
      <c r="G7" s="1323">
        <f>(SUMIFS('REVIEW - Complete Role Mapping'!$AA$2:$AA$528,'REVIEW - Complete Role Mapping'!$AJ$2:$AJ$528,"COE SA&amp;D",'REVIEW - Complete Role Mapping'!$G$2:$G$528,"Group Data"))/1000000</f>
        <v>2.570876966</v>
      </c>
      <c r="H7" s="1323">
        <f>C16</f>
        <v>2</v>
      </c>
      <c r="I7" s="1935">
        <f>$G7-$H7</f>
        <v>0.570876966</v>
      </c>
      <c r="J7" s="1323">
        <f>SUMIFS($T$22:$T$50,$D$22:$D$50,"Group Data",$E$22:$E$50,"&lt;&gt;NZ")</f>
        <v>2.42113055</v>
      </c>
      <c r="K7" s="1323">
        <f>SUMIFS($T$22:$T$50,$D$22:$D$50,"Group Data",$E$22:$E$50,"NZ")</f>
        <v>0.149746416</v>
      </c>
      <c r="L7" s="1314" t="n"/>
    </row>
    <row r="8" ht="14.25" customHeight="1" s="866">
      <c r="B8" s="1476" t="inlineStr">
        <is>
          <t>Total</t>
        </is>
      </c>
      <c r="C8" s="1491">
        <f>SUM(C6:C7)</f>
        <v>26</v>
      </c>
      <c r="D8" s="1491">
        <f>SUM(D6:D7)</f>
        <v>17</v>
      </c>
      <c r="E8" s="1491">
        <f>SUM(E6:E7)</f>
        <v>9</v>
      </c>
      <c r="F8" s="1491">
        <f>SUM(F6:F7)</f>
        <v>0</v>
      </c>
      <c r="G8" s="1492">
        <f>SUM(G6:G7)</f>
        <v>6.529494052</v>
      </c>
      <c r="H8" s="1492">
        <f>SUM(H6:H7)</f>
        <v>5.4</v>
      </c>
      <c r="I8" s="1936">
        <f>$G8-$H8</f>
        <v>1.129494052</v>
      </c>
      <c r="J8" s="1492">
        <f>SUM(J6:J7)</f>
        <v>5.6858791</v>
      </c>
      <c r="K8" s="1492">
        <f>SUM(K6:K7)</f>
        <v>0.843614952</v>
      </c>
      <c r="L8" s="1314" t="n"/>
    </row>
    <row r="9" ht="74" customHeight="1" s="866">
      <c r="B9" s="1950" t="inlineStr">
        <is>
          <t>These are centres of excellence, funded by allocation rather than priced by an archetype, so there is no archetype cost to compare against. The actual cost after decisions for these groups is on 3.4 COE Detail and on the working tab.</t>
        </is>
      </c>
      <c r="C9" s="1314" t="n"/>
      <c r="D9" s="1314" t="n"/>
      <c r="E9" s="1314" t="n"/>
      <c r="F9" s="1314" t="n"/>
      <c r="G9" s="1314" t="n"/>
      <c r="H9" s="1314" t="n"/>
      <c r="I9" s="1314" t="n"/>
      <c r="J9" s="1314" t="n"/>
      <c r="K9" s="1314" t="n"/>
      <c r="L9" s="1314" t="n"/>
    </row>
    <row r="10" ht="14.25" customHeight="1" s="866">
      <c r="B10" s="1369" t="inlineStr">
        <is>
          <t>Portfolios funded (3.1 Cost Bridge)</t>
        </is>
      </c>
      <c r="C10" s="1493">
        <f>COUNTA(Lists!$AS$2:$AS$11)</f>
        <v>10</v>
      </c>
      <c r="D10" s="1314" t="n"/>
      <c r="E10" s="1314" t="n"/>
      <c r="F10" s="1314" t="n"/>
      <c r="G10" s="1314" t="n"/>
      <c r="H10" s="1314" t="n"/>
      <c r="I10" s="1314" t="n"/>
      <c r="J10" s="1314" t="n"/>
      <c r="K10" s="1314" t="n"/>
      <c r="L10" s="1314" t="n"/>
    </row>
    <row r="11" ht="14.25" customHeight="1" s="866">
      <c r="B11" s="1369" t="inlineStr">
        <is>
          <t>Domain Architect allocation per portfolio (FTE - 0.2 Data Config)</t>
        </is>
      </c>
      <c r="C11" s="1494">
        <f>'0.2 Data Config'!$K$8</f>
        <v>0.5</v>
      </c>
      <c r="D11" s="1314" t="n"/>
      <c r="E11" s="1314" t="n"/>
      <c r="F11" s="1314" t="n"/>
      <c r="G11" s="1314" t="n"/>
      <c r="H11" s="1314" t="n"/>
      <c r="I11" s="1314" t="n"/>
      <c r="J11" s="1314" t="n"/>
      <c r="K11" s="1314" t="n"/>
      <c r="L11" s="1314" t="n"/>
    </row>
    <row r="12" ht="14.25" customHeight="1" s="866">
      <c r="B12" s="1369" t="inlineStr">
        <is>
          <t>Number of Domain Architects funded by Portfolios</t>
        </is>
      </c>
      <c r="C12" s="1494">
        <f>C10*C11</f>
        <v>5</v>
      </c>
      <c r="D12" s="1314" t="n"/>
      <c r="E12" s="1314" t="n"/>
      <c r="F12" s="1314" t="n"/>
      <c r="G12" s="1314" t="n"/>
      <c r="H12" s="1314" t="n"/>
      <c r="I12" s="1314" t="n"/>
      <c r="J12" s="1314" t="n"/>
      <c r="K12" s="1314" t="n"/>
      <c r="L12" s="1314" t="n"/>
    </row>
    <row r="13" ht="14.25" customHeight="1" s="866">
      <c r="B13" s="1369" t="inlineStr">
        <is>
          <t>Domain Architect funding from portfolio overheads ($m)</t>
        </is>
      </c>
      <c r="C13" s="1503">
        <f>COUNTA(Lists!$AS$2:$AS$11)*'0.2 Data Config'!$L$8</f>
        <v>1.4</v>
      </c>
      <c r="D13" s="1314" t="n"/>
      <c r="E13" s="1314" t="n"/>
      <c r="F13" s="1314" t="n"/>
      <c r="G13" s="1314" t="n"/>
      <c r="H13" s="1314" t="n"/>
      <c r="I13" s="1314" t="n"/>
      <c r="J13" s="1314" t="n"/>
      <c r="K13" s="1314" t="n"/>
      <c r="L13" s="1314" t="n"/>
    </row>
    <row r="14" ht="14.25" customHeight="1" s="866">
      <c r="B14" s="1369" t="inlineStr">
        <is>
          <t>COE - Strategy Architecture allocation ($m) - 0.2 Data Config</t>
        </is>
      </c>
      <c r="C14" s="1323">
        <f>'0.2 Data Config'!$E$6</f>
        <v>2</v>
      </c>
      <c r="D14" s="1314" t="n"/>
      <c r="E14" s="1314" t="n"/>
      <c r="F14" s="1314" t="n"/>
      <c r="G14" s="1314" t="n"/>
      <c r="H14" s="1314" t="n"/>
      <c r="I14" s="1314" t="n"/>
      <c r="J14" s="1314" t="n"/>
      <c r="K14" s="1314" t="n"/>
      <c r="L14" s="1314" t="n"/>
    </row>
    <row r="15" ht="14.25" customHeight="1" s="866">
      <c r="B15" s="1372" t="inlineStr">
        <is>
          <t>Total Strategy &amp; Architecture budget ($m)</t>
        </is>
      </c>
      <c r="C15" s="1496">
        <f>C14+C13</f>
        <v>3.4</v>
      </c>
      <c r="D15" s="1314" t="n"/>
      <c r="E15" s="1314" t="n"/>
      <c r="F15" s="1314" t="n"/>
      <c r="G15" s="1314" t="n"/>
      <c r="H15" s="1314" t="n"/>
      <c r="I15" s="1314" t="n"/>
      <c r="J15" s="1314" t="n"/>
      <c r="K15" s="1314" t="n"/>
      <c r="L15" s="1314" t="n"/>
    </row>
    <row r="16" ht="14.25" customHeight="1" s="866">
      <c r="B16" s="1369" t="inlineStr">
        <is>
          <t>COE - Data allocation ($m) - 0.2 Data Config</t>
        </is>
      </c>
      <c r="C16" s="1323">
        <f>'0.2 Data Config'!$E$10</f>
        <v>2</v>
      </c>
      <c r="D16" s="1314" t="n"/>
      <c r="E16" s="1314" t="n"/>
      <c r="F16" s="1314" t="n"/>
      <c r="G16" s="1314" t="n"/>
      <c r="H16" s="1314" t="n"/>
      <c r="I16" s="1314" t="n"/>
      <c r="J16" s="1314" t="n"/>
      <c r="K16" s="1314" t="n"/>
      <c r="L16" s="1314" t="n"/>
    </row>
    <row r="17" ht="14.25" customHeight="1" s="866">
      <c r="B17" s="1372" t="inlineStr">
        <is>
          <t>Total budget to draw down ($m)</t>
        </is>
      </c>
      <c r="C17" s="1496">
        <f>C15+C16</f>
        <v>5.4</v>
      </c>
      <c r="D17" s="1314" t="n"/>
      <c r="E17" s="1314" t="n"/>
      <c r="F17" s="1314" t="n"/>
      <c r="G17" s="1314" t="n"/>
      <c r="H17" s="1314" t="n"/>
      <c r="I17" s="1314" t="n"/>
      <c r="J17" s="1314" t="n"/>
      <c r="K17" s="1314" t="n"/>
      <c r="L17" s="1314" t="n"/>
      <c r="M17" s="865" t="n"/>
      <c r="N17" s="865" t="n"/>
      <c r="O17" s="865" t="n"/>
      <c r="P17" s="865" t="n"/>
      <c r="Q17" s="865" t="n"/>
      <c r="R17" s="865" t="n"/>
      <c r="S17" s="865" t="n"/>
      <c r="T17" s="865" t="n"/>
    </row>
    <row r="18" ht="14.25" customHeight="1" s="866">
      <c r="B18" s="1369" t="inlineStr">
        <is>
          <t>Paused roles - cost if released ($m)</t>
        </is>
      </c>
      <c r="C18" s="1323">
        <f>SUMIFS($G$22:$G$50,$F$22:$F$50,"Paused")/1000000</f>
        <v>0</v>
      </c>
      <c r="D18" s="1360" t="n"/>
      <c r="E18" s="1360" t="n"/>
      <c r="F18" s="1360" t="n"/>
      <c r="G18" s="1360" t="n"/>
      <c r="H18" s="1360" t="n"/>
      <c r="I18" s="1360" t="n"/>
      <c r="J18" s="1360" t="n"/>
      <c r="K18" s="1314" t="n"/>
      <c r="L18" s="1314" t="n"/>
      <c r="M18" s="865" t="n"/>
      <c r="N18" s="865" t="n"/>
      <c r="O18" s="865" t="n"/>
      <c r="P18" s="865" t="n"/>
      <c r="Q18" s="865" t="n"/>
      <c r="R18" s="865" t="n"/>
      <c r="S18" s="865" t="n"/>
      <c r="T18" s="865" t="n"/>
    </row>
    <row r="19" ht="14.25" customHeight="1" s="866">
      <c r="B19" s="1531" t="inlineStr">
        <is>
          <t>Offshore discount in the AU / NZ split ($m)</t>
        </is>
      </c>
      <c r="C19" s="1488" t="n"/>
      <c r="D19" s="1488" t="n"/>
      <c r="E19" s="1488" t="n"/>
      <c r="F19" s="1360" t="n"/>
      <c r="G19" s="1769">
        <f>G8-J8-K8</f>
        <v>0</v>
      </c>
      <c r="H19" s="1360" t="n"/>
      <c r="I19" s="1489" t="n"/>
      <c r="J19" s="1497" t="n"/>
      <c r="K19" s="1314" t="n"/>
      <c r="L19" s="1314" t="n"/>
      <c r="M19" s="865" t="n"/>
      <c r="N19" s="865" t="n"/>
      <c r="O19" s="865" t="n"/>
      <c r="P19" s="865" t="n"/>
      <c r="Q19" s="865" t="n"/>
      <c r="R19" s="865" t="n"/>
      <c r="S19" s="865" t="n"/>
      <c r="T19" s="865" t="n"/>
    </row>
    <row r="20" ht="19" customHeight="1" s="866">
      <c r="B20" s="1470" t="inlineStr">
        <is>
          <t>Roles</t>
        </is>
      </c>
      <c r="C20" s="1527" t="n"/>
      <c r="D20" s="1527" t="n"/>
      <c r="E20" s="1527" t="n"/>
      <c r="F20" s="1866" t="n"/>
      <c r="G20" s="1527" t="n"/>
      <c r="H20" s="1866" t="n"/>
      <c r="I20" s="1489" t="n"/>
      <c r="J20" s="1497" t="n"/>
      <c r="K20" s="1314" t="n"/>
      <c r="L20" s="1314" t="n"/>
      <c r="M20" s="865" t="n"/>
      <c r="N20" s="865" t="n"/>
      <c r="O20" s="865" t="n"/>
      <c r="P20" s="865" t="n"/>
      <c r="Q20" s="865" t="n"/>
      <c r="R20" s="865" t="n"/>
      <c r="S20" s="865" t="n"/>
      <c r="T20" s="865" t="n"/>
    </row>
    <row r="21" ht="48" customHeight="1" s="866">
      <c r="B21" s="1320" t="inlineStr">
        <is>
          <t>Name</t>
        </is>
      </c>
      <c r="C21" s="1320" t="inlineStr">
        <is>
          <t>Position Title</t>
        </is>
      </c>
      <c r="D21" s="1320" t="inlineStr">
        <is>
          <t>Department</t>
        </is>
      </c>
      <c r="E21" s="1320" t="inlineStr">
        <is>
          <t>Country</t>
        </is>
      </c>
      <c r="F21" s="1320" t="inlineStr">
        <is>
          <t>Status</t>
        </is>
      </c>
      <c r="G21" s="1320" t="inlineStr">
        <is>
          <t>Cost if hired ($)</t>
        </is>
      </c>
      <c r="H21" s="1320" t="inlineStr">
        <is>
          <t>On/Off</t>
        </is>
      </c>
      <c r="I21" s="1489" t="n"/>
      <c r="J21" s="1497" t="n"/>
      <c r="K21" s="1314" t="n"/>
      <c r="L21" s="1314" t="n"/>
      <c r="M21" s="865" t="n"/>
      <c r="N21" s="865" t="n"/>
      <c r="O21" s="865" t="n"/>
      <c r="P21" s="865" t="n"/>
      <c r="Q21" s="865" t="n"/>
      <c r="R21" s="865" t="n"/>
      <c r="S21" s="865" t="n"/>
      <c r="T21" s="865" t="n"/>
    </row>
    <row r="22" ht="14.25" customHeight="1" s="866">
      <c r="B22" s="1369" t="str">
        <f>'REVIEW - Complete Role Mapping'!$B$282</f>
        <v>Craig Ambrose</v>
      </c>
      <c r="C22" s="1498" t="str">
        <f>'REVIEW - Complete Role Mapping'!$C$282</f>
        <v>Domain Architect - Group Functions</v>
      </c>
      <c r="D22" s="1369" t="str">
        <f>'REVIEW - Complete Role Mapping'!$G$282</f>
        <v>Architecture</v>
      </c>
      <c r="E22" s="1369" t="str">
        <f>'REVIEW - Complete Role Mapping'!$M$282</f>
        <v>NZ</v>
      </c>
      <c r="F22" s="1499" t="str">
        <f>'REVIEW - Complete Role Mapping'!$AK$282</f>
        <v>Filled</v>
      </c>
      <c r="G22" s="1488" t="n"/>
      <c r="H22" s="1358" t="inlineStr">
        <is>
          <t>Onshore</t>
        </is>
      </c>
      <c r="I22" s="1489" t="n"/>
      <c r="J22" s="1497" t="n"/>
      <c r="K22" s="1314" t="n"/>
      <c r="L22" s="1314" t="n"/>
      <c r="M22" s="865" t="n"/>
      <c r="N22" s="865" t="n"/>
      <c r="O22" s="865" t="n"/>
      <c r="P22" s="865" t="n"/>
      <c r="Q22" s="865" t="n"/>
      <c r="R22" s="865" t="n"/>
      <c r="S22" s="865" t="n"/>
      <c r="T22" s="1500">
        <f>(IF($F22="Paused",0,'REVIEW - Complete Role Mapping'!$AA$282/1000000))*IF($H22="Offshore",0.4,1)</f>
        <v>0.242741304</v>
      </c>
    </row>
    <row r="23" ht="14.25" customHeight="1" s="866">
      <c r="B23" s="1369" t="str">
        <f>'REVIEW - Complete Role Mapping'!$B$287</f>
        <v>Joel Vijayakumar</v>
      </c>
      <c r="C23" s="1498" t="str">
        <f>'REVIEW - Complete Role Mapping'!$C$287</f>
        <v>Delivery Manager, Strategy, Architecture &amp; Data</v>
      </c>
      <c r="D23" s="1369" t="str">
        <f>'REVIEW - Complete Role Mapping'!$G$287</f>
        <v>Delivery, SADA</v>
      </c>
      <c r="E23" s="1369" t="str">
        <f>'REVIEW - Complete Role Mapping'!$M$287</f>
        <v>Australia</v>
      </c>
      <c r="F23" s="1499" t="str">
        <f>'REVIEW - Complete Role Mapping'!$AK$287</f>
        <v>Filled</v>
      </c>
      <c r="G23" s="1488" t="n"/>
      <c r="H23" s="1358" t="inlineStr">
        <is>
          <t>Onshore</t>
        </is>
      </c>
      <c r="I23" s="1489" t="n"/>
      <c r="J23" s="1497" t="n"/>
      <c r="K23" s="1314" t="n"/>
      <c r="L23" s="1314" t="n"/>
      <c r="M23" s="865" t="n"/>
      <c r="N23" s="865" t="n"/>
      <c r="O23" s="865" t="n"/>
      <c r="P23" s="865" t="n"/>
      <c r="Q23" s="865" t="n"/>
      <c r="R23" s="865" t="n"/>
      <c r="S23" s="865" t="n"/>
      <c r="T23" s="1500">
        <f>(IF($F23="Paused",0,'REVIEW - Complete Role Mapping'!$AA$287/1000000))*IF($H23="Offshore",0.4,1)</f>
        <v>0.3690886</v>
      </c>
    </row>
    <row r="24" ht="14.25" customHeight="1" s="866">
      <c r="B24" s="1369" t="str">
        <f>'REVIEW - Complete Role Mapping'!$B$288</f>
        <v>John Forde</v>
      </c>
      <c r="C24" s="1498" t="str">
        <f>'REVIEW - Complete Role Mapping'!$C$288</f>
        <v>Enterprise Architect</v>
      </c>
      <c r="D24" s="1369" t="str">
        <f>'REVIEW - Complete Role Mapping'!$G$288</f>
        <v>Architecture</v>
      </c>
      <c r="E24" s="1369" t="str">
        <f>'REVIEW - Complete Role Mapping'!$M$288</f>
        <v>NZ</v>
      </c>
      <c r="F24" s="1499" t="str">
        <f>'REVIEW - Complete Role Mapping'!$AK$288</f>
        <v>Filled</v>
      </c>
      <c r="G24" s="1488" t="n"/>
      <c r="H24" s="1358" t="inlineStr">
        <is>
          <t>Onshore</t>
        </is>
      </c>
      <c r="I24" s="1489" t="n"/>
      <c r="J24" s="1497" t="n"/>
      <c r="K24" s="1314" t="n"/>
      <c r="L24" s="1314" t="n"/>
      <c r="M24" s="865" t="n"/>
      <c r="N24" s="865" t="n"/>
      <c r="O24" s="865" t="n"/>
      <c r="P24" s="865" t="n"/>
      <c r="Q24" s="865" t="n"/>
      <c r="R24" s="865" t="n"/>
      <c r="S24" s="865" t="n"/>
      <c r="T24" s="1500">
        <f>(IF($F24="Paused",0,'REVIEW - Complete Role Mapping'!$AA$288/1000000))*IF($H24="Offshore",0.4,1)</f>
        <v>0.214270248</v>
      </c>
    </row>
    <row r="25" ht="14.25" customHeight="1" s="866">
      <c r="B25" s="1369" t="str">
        <f>'REVIEW - Complete Role Mapping'!$B$291</f>
        <v>Lynn Yiew</v>
      </c>
      <c r="C25" s="1498" t="str">
        <f>'REVIEW - Complete Role Mapping'!$C$291</f>
        <v>Data Governance Specialist</v>
      </c>
      <c r="D25" s="1369" t="str">
        <f>'REVIEW - Complete Role Mapping'!$G$291</f>
        <v>Group Data</v>
      </c>
      <c r="E25" s="1369" t="str">
        <f>'REVIEW - Complete Role Mapping'!$M$291</f>
        <v>NZ</v>
      </c>
      <c r="F25" s="1499" t="str">
        <f>'REVIEW - Complete Role Mapping'!$AK$291</f>
        <v>Filled</v>
      </c>
      <c r="G25" s="1488" t="n"/>
      <c r="H25" s="1358" t="inlineStr">
        <is>
          <t>Onshore</t>
        </is>
      </c>
      <c r="I25" s="1489" t="n"/>
      <c r="J25" s="1497" t="n"/>
      <c r="K25" s="1314" t="n"/>
      <c r="L25" s="1314" t="n"/>
      <c r="M25" s="865" t="n"/>
      <c r="N25" s="865" t="n"/>
      <c r="O25" s="865" t="n"/>
      <c r="P25" s="865" t="n"/>
      <c r="Q25" s="865" t="n"/>
      <c r="R25" s="865" t="n"/>
      <c r="S25" s="865" t="n"/>
      <c r="T25" s="1500">
        <f>(IF($F25="Paused",0,'REVIEW - Complete Role Mapping'!$AA$291/1000000))*IF($H25="Offshore",0.4,1)</f>
        <v>0.149746416</v>
      </c>
    </row>
    <row r="26" ht="14.25" customHeight="1" s="866">
      <c r="B26" s="1369" t="str">
        <f>'REVIEW - Complete Role Mapping'!$B$292</f>
        <v>Mike Gilbert</v>
      </c>
      <c r="C26" s="1498" t="str">
        <f>'REVIEW - Complete Role Mapping'!$C$292</f>
        <v>Domain Architect - CFE &amp; Infrastructure </v>
      </c>
      <c r="D26" s="1369" t="str">
        <f>'REVIEW - Complete Role Mapping'!$G$292</f>
        <v>Architecture</v>
      </c>
      <c r="E26" s="1369" t="str">
        <f>'REVIEW - Complete Role Mapping'!$M$292</f>
        <v>NZ</v>
      </c>
      <c r="F26" s="1499" t="str">
        <f>'REVIEW - Complete Role Mapping'!$AK$292</f>
        <v>Filled</v>
      </c>
      <c r="G26" s="1488" t="n"/>
      <c r="H26" s="1358" t="inlineStr">
        <is>
          <t>Onshore</t>
        </is>
      </c>
      <c r="I26" s="1489" t="n"/>
      <c r="J26" s="1497" t="n"/>
      <c r="K26" s="1314" t="n"/>
      <c r="L26" s="1314" t="n"/>
      <c r="M26" s="865" t="n"/>
      <c r="N26" s="865" t="n"/>
      <c r="O26" s="865" t="n"/>
      <c r="P26" s="865" t="n"/>
      <c r="Q26" s="865" t="n"/>
      <c r="R26" s="865" t="n"/>
      <c r="S26" s="865" t="n"/>
      <c r="T26" s="1500">
        <f>(IF($F26="Paused",0,'REVIEW - Complete Role Mapping'!$AA$292/1000000))*IF($H26="Offshore",0.4,1)</f>
        <v>0.236856984</v>
      </c>
    </row>
    <row r="27" ht="14.25" customHeight="1" s="866">
      <c r="B27" s="1369" t="str">
        <f>'REVIEW - Complete Role Mapping'!$B$293</f>
        <v>Milan Patel</v>
      </c>
      <c r="C27" s="1498" t="str">
        <f>'REVIEW - Complete Role Mapping'!$C$293</f>
        <v>Platform Architect</v>
      </c>
      <c r="D27" s="1369" t="str">
        <f>'REVIEW - Complete Role Mapping'!$G$293</f>
        <v>Group Data</v>
      </c>
      <c r="E27" s="1369" t="str">
        <f>'REVIEW - Complete Role Mapping'!$M$293</f>
        <v>Australia</v>
      </c>
      <c r="F27" s="1499" t="str">
        <f>'REVIEW - Complete Role Mapping'!$AK$293</f>
        <v>Filled</v>
      </c>
      <c r="G27" s="1488" t="n"/>
      <c r="H27" s="1358" t="inlineStr">
        <is>
          <t>Onshore</t>
        </is>
      </c>
      <c r="I27" s="1489" t="n"/>
      <c r="J27" s="1497" t="n"/>
      <c r="K27" s="1314" t="n"/>
      <c r="L27" s="1314" t="n"/>
      <c r="M27" s="865" t="n"/>
      <c r="N27" s="865" t="n"/>
      <c r="O27" s="865" t="n"/>
      <c r="P27" s="865" t="n"/>
      <c r="Q27" s="865" t="n"/>
      <c r="R27" s="865" t="n"/>
      <c r="S27" s="865" t="n"/>
      <c r="T27" s="1500">
        <f>(IF($F27="Paused",0,'REVIEW - Complete Role Mapping'!$AA$293/1000000))*IF($H27="Offshore",0.4,1)</f>
        <v>0.2655849</v>
      </c>
    </row>
    <row r="28" ht="14.25" customHeight="1" s="866">
      <c r="B28" s="1369" t="str">
        <f>'REVIEW - Complete Role Mapping'!$B$294</f>
        <v>Mitchell Clarke</v>
      </c>
      <c r="C28" s="1498" t="str">
        <f>'REVIEW - Complete Role Mapping'!$C$294</f>
        <v>Snr Data Governance Specialist</v>
      </c>
      <c r="D28" s="1369" t="str">
        <f>'REVIEW - Complete Role Mapping'!$G$294</f>
        <v>Group Data</v>
      </c>
      <c r="E28" s="1369" t="str">
        <f>'REVIEW - Complete Role Mapping'!$M$294</f>
        <v>Australia</v>
      </c>
      <c r="F28" s="1499" t="str">
        <f>'REVIEW - Complete Role Mapping'!$AK$294</f>
        <v>Filled</v>
      </c>
      <c r="G28" s="1488" t="n"/>
      <c r="H28" s="1358" t="inlineStr">
        <is>
          <t>Onshore</t>
        </is>
      </c>
      <c r="I28" s="1489" t="n"/>
      <c r="J28" s="1497" t="n"/>
      <c r="K28" s="1314" t="n"/>
      <c r="L28" s="1314" t="n"/>
      <c r="M28" s="865" t="n"/>
      <c r="N28" s="865" t="n"/>
      <c r="O28" s="865" t="n"/>
      <c r="P28" s="865" t="n"/>
      <c r="Q28" s="865" t="n"/>
      <c r="R28" s="865" t="n"/>
      <c r="S28" s="865" t="n"/>
      <c r="T28" s="1500">
        <f>(IF($F28="Paused",0,'REVIEW - Complete Role Mapping'!$AA$294/1000000))*IF($H28="Offshore",0.4,1)</f>
        <v>0.2259888</v>
      </c>
    </row>
    <row r="29" ht="14.25" customHeight="1" s="866">
      <c r="B29" s="1369" t="str">
        <f>'REVIEW - Complete Role Mapping'!$B$299</f>
        <v>Raymond Bai</v>
      </c>
      <c r="C29" s="1498" t="str">
        <f>'REVIEW - Complete Role Mapping'!$C$299</f>
        <v>Data Adoption Specialist</v>
      </c>
      <c r="D29" s="1369" t="str">
        <f>'REVIEW - Complete Role Mapping'!$G$299</f>
        <v>Group Data</v>
      </c>
      <c r="E29" s="1369" t="str">
        <f>'REVIEW - Complete Role Mapping'!$M$299</f>
        <v>Australia</v>
      </c>
      <c r="F29" s="1499" t="str">
        <f>'REVIEW - Complete Role Mapping'!$AK$299</f>
        <v>Filled</v>
      </c>
      <c r="G29" s="1488" t="n"/>
      <c r="H29" s="1358" t="inlineStr">
        <is>
          <t>Onshore</t>
        </is>
      </c>
      <c r="I29" s="1489" t="n"/>
      <c r="J29" s="1497" t="n"/>
      <c r="K29" s="1314" t="n"/>
      <c r="L29" s="1314" t="n"/>
      <c r="M29" s="865" t="n"/>
      <c r="N29" s="865" t="n"/>
      <c r="O29" s="865" t="n"/>
      <c r="P29" s="865" t="n"/>
      <c r="Q29" s="865" t="n"/>
      <c r="R29" s="865" t="n"/>
      <c r="S29" s="865" t="n"/>
      <c r="T29" s="1500">
        <f>(IF($F29="Paused",0,'REVIEW - Complete Role Mapping'!$AA$299/1000000))*IF($H29="Offshore",0.4,1)</f>
        <v>0.1758729</v>
      </c>
    </row>
    <row r="30" ht="14.25" customHeight="1" s="866">
      <c r="B30" s="1369" t="str">
        <f>'REVIEW - Complete Role Mapping'!$B$300</f>
        <v>Renosh Matthew Thomas</v>
      </c>
      <c r="C30" s="1498" t="str">
        <f>'REVIEW - Complete Role Mapping'!$C$300</f>
        <v>Data Enablement Lead</v>
      </c>
      <c r="D30" s="1369" t="str">
        <f>'REVIEW - Complete Role Mapping'!$G$300</f>
        <v>Group Data</v>
      </c>
      <c r="E30" s="1369" t="str">
        <f>'REVIEW - Complete Role Mapping'!$M$300</f>
        <v>Australia</v>
      </c>
      <c r="F30" s="1499" t="str">
        <f>'REVIEW - Complete Role Mapping'!$AK$300</f>
        <v>Filled</v>
      </c>
      <c r="G30" s="1314" t="n"/>
      <c r="H30" s="1358" t="inlineStr">
        <is>
          <t>Onshore</t>
        </is>
      </c>
      <c r="I30" s="1314" t="n"/>
      <c r="J30" s="1314" t="n"/>
      <c r="K30" s="1314" t="n"/>
      <c r="L30" s="1314" t="n"/>
      <c r="M30" s="865" t="n"/>
      <c r="N30" s="865" t="n"/>
      <c r="O30" s="865" t="n"/>
      <c r="P30" s="865" t="n"/>
      <c r="Q30" s="865" t="n"/>
      <c r="R30" s="865" t="n"/>
      <c r="S30" s="865" t="n"/>
      <c r="T30" s="1500">
        <f>(IF($F30="Paused",0,'REVIEW - Complete Role Mapping'!$AA$300/1000000))*IF($H30="Offshore",0.4,1)</f>
        <v>0.2270568</v>
      </c>
    </row>
    <row r="31" ht="14.25" customHeight="1" s="866">
      <c r="B31" s="1369" t="str">
        <f>'REVIEW - Complete Role Mapping'!$B$302</f>
        <v>ring fenced</v>
      </c>
      <c r="C31" s="1498" t="str">
        <f>'REVIEW - Complete Role Mapping'!$C$302</f>
        <v>Enterprise Architect</v>
      </c>
      <c r="D31" s="1369" t="str">
        <f>'REVIEW - Complete Role Mapping'!$G$302</f>
        <v>Architecture</v>
      </c>
      <c r="E31" s="1369" t="str">
        <f>'REVIEW - Complete Role Mapping'!$M$302</f>
        <v>Australia</v>
      </c>
      <c r="F31" s="1499" t="str">
        <f>'REVIEW - Complete Role Mapping'!$AK$302</f>
        <v>Filled</v>
      </c>
      <c r="G31" s="1314" t="n"/>
      <c r="H31" s="1358" t="inlineStr">
        <is>
          <t>Onshore</t>
        </is>
      </c>
      <c r="I31" s="1314" t="n"/>
      <c r="J31" s="1314" t="n"/>
      <c r="K31" s="1314" t="n"/>
      <c r="L31" s="1314" t="n"/>
      <c r="M31" s="865" t="n"/>
      <c r="N31" s="865" t="n"/>
      <c r="O31" s="865" t="n"/>
      <c r="P31" s="865" t="n"/>
      <c r="Q31" s="865" t="n"/>
      <c r="R31" s="865" t="n"/>
      <c r="S31" s="865" t="n"/>
      <c r="T31" s="1500">
        <f>(IF($F31="Paused",0,'REVIEW - Complete Role Mapping'!$AA$302/1000000))*IF($H31="Offshore",0.4,1)</f>
        <v>0.27581025</v>
      </c>
    </row>
    <row r="32" ht="14.25" customHeight="1" s="866">
      <c r="B32" s="1369" t="str">
        <f>'REVIEW - Complete Role Mapping'!$B$303</f>
        <v>ring fenced</v>
      </c>
      <c r="C32" s="1498" t="str">
        <f>'REVIEW - Complete Role Mapping'!$C$303</f>
        <v>Domain Architect - Customer &amp; Digital Tech</v>
      </c>
      <c r="D32" s="1369" t="str">
        <f>'REVIEW - Complete Role Mapping'!$G$303</f>
        <v>Architecture</v>
      </c>
      <c r="E32" s="1369" t="str">
        <f>'REVIEW - Complete Role Mapping'!$M$303</f>
        <v>Australia</v>
      </c>
      <c r="F32" s="1499" t="str">
        <f>'REVIEW - Complete Role Mapping'!$AK$303</f>
        <v>Filled</v>
      </c>
      <c r="G32" s="1314" t="n"/>
      <c r="H32" s="1358" t="inlineStr">
        <is>
          <t>Onshore</t>
        </is>
      </c>
      <c r="I32" s="1314" t="n"/>
      <c r="J32" s="1314" t="n"/>
      <c r="K32" s="1314" t="n"/>
      <c r="L32" s="1314" t="n"/>
      <c r="M32" s="865" t="n"/>
      <c r="N32" s="865" t="n"/>
      <c r="O32" s="865" t="n"/>
      <c r="P32" s="865" t="n"/>
      <c r="Q32" s="865" t="n"/>
      <c r="R32" s="865" t="n"/>
      <c r="S32" s="865" t="n"/>
      <c r="T32" s="1500">
        <f>(IF($F32="Paused",0,'REVIEW - Complete Role Mapping'!$AA$303/1000000))*IF($H32="Offshore",0.4,1)</f>
        <v>0.23168925</v>
      </c>
    </row>
    <row r="33" ht="14.25" customHeight="1" s="866">
      <c r="B33" s="1369" t="str">
        <f>'REVIEW - Complete Role Mapping'!$B$304</f>
        <v>ring fenced</v>
      </c>
      <c r="C33" s="1498" t="str">
        <f>'REVIEW - Complete Role Mapping'!$C$304</f>
        <v>Domain Architect - Retail &amp; Z</v>
      </c>
      <c r="D33" s="1369" t="str">
        <f>'REVIEW - Complete Role Mapping'!$G$304</f>
        <v>Architecture</v>
      </c>
      <c r="E33" s="1369" t="str">
        <f>'REVIEW - Complete Role Mapping'!$M$304</f>
        <v>Australia</v>
      </c>
      <c r="F33" s="1499" t="str">
        <f>'REVIEW - Complete Role Mapping'!$AK$304</f>
        <v>Filled</v>
      </c>
      <c r="G33" s="1501" t="n"/>
      <c r="H33" s="1358" t="inlineStr">
        <is>
          <t>Onshore</t>
        </is>
      </c>
      <c r="I33" s="1314" t="n"/>
      <c r="J33" s="1314" t="n"/>
      <c r="K33" s="1314" t="n"/>
      <c r="L33" s="1314" t="n"/>
      <c r="M33" s="865" t="n"/>
      <c r="N33" s="865" t="n"/>
      <c r="O33" s="865" t="n"/>
      <c r="P33" s="865" t="n"/>
      <c r="Q33" s="865" t="n"/>
      <c r="R33" s="865" t="n"/>
      <c r="S33" s="865" t="n"/>
      <c r="T33" s="1500">
        <f>(IF($F33="Paused",0,'REVIEW - Complete Role Mapping'!$AA$304/1000000))*IF($H33="Offshore",0.4,1)</f>
        <v>0.23168925</v>
      </c>
    </row>
    <row r="34" ht="14.25" customHeight="1" s="866">
      <c r="B34" s="1369" t="str">
        <f>'REVIEW - Complete Role Mapping'!$B$305</f>
        <v>ring fenced</v>
      </c>
      <c r="C34" s="1498" t="str">
        <f>'REVIEW - Complete Role Mapping'!$C$305</f>
        <v>Domain Architect - TDD</v>
      </c>
      <c r="D34" s="1369" t="str">
        <f>'REVIEW - Complete Role Mapping'!$G$305</f>
        <v>Architecture</v>
      </c>
      <c r="E34" s="1369" t="str">
        <f>'REVIEW - Complete Role Mapping'!$M$305</f>
        <v>Australia</v>
      </c>
      <c r="F34" s="1499" t="str">
        <f>'REVIEW - Complete Role Mapping'!$AK$305</f>
        <v>Filled</v>
      </c>
      <c r="G34" s="1501" t="n"/>
      <c r="H34" s="1358" t="inlineStr">
        <is>
          <t>Onshore</t>
        </is>
      </c>
      <c r="I34" s="1314" t="n"/>
      <c r="J34" s="1314" t="n"/>
      <c r="K34" s="1314" t="n"/>
      <c r="L34" s="1314" t="n"/>
      <c r="M34" s="865" t="n"/>
      <c r="N34" s="865" t="n"/>
      <c r="O34" s="865" t="n"/>
      <c r="P34" s="865" t="n"/>
      <c r="Q34" s="865" t="n"/>
      <c r="R34" s="865" t="n"/>
      <c r="S34" s="865" t="n"/>
      <c r="T34" s="1500">
        <f>(IF($F34="Paused",0,'REVIEW - Complete Role Mapping'!$AA$305/1000000))*IF($H34="Offshore",0.4,1)</f>
        <v>0.23168925</v>
      </c>
    </row>
    <row r="35" ht="14.25" customHeight="1" s="866">
      <c r="B35" s="1369" t="str">
        <f>'REVIEW - Complete Role Mapping'!$B$306</f>
        <v>Roger Blazey</v>
      </c>
      <c r="C35" s="1498" t="str">
        <f>'REVIEW - Complete Role Mapping'!$C$306</f>
        <v>Architect (AI Innovation)</v>
      </c>
      <c r="D35" s="1369" t="str">
        <f>'REVIEW - Complete Role Mapping'!$G$306</f>
        <v>Technology Strategy &amp; AI Capability</v>
      </c>
      <c r="E35" s="1369" t="str">
        <f>'REVIEW - Complete Role Mapping'!$M$306</f>
        <v>Australia</v>
      </c>
      <c r="F35" s="1499" t="str">
        <f>'REVIEW - Complete Role Mapping'!$AK$306</f>
        <v>Filled</v>
      </c>
      <c r="G35" s="1501" t="n"/>
      <c r="H35" s="1358" t="inlineStr">
        <is>
          <t>Onshore</t>
        </is>
      </c>
      <c r="I35" s="1314" t="n"/>
      <c r="J35" s="1314" t="n"/>
      <c r="K35" s="1314" t="n"/>
      <c r="L35" s="1314" t="n"/>
      <c r="M35" s="865" t="n"/>
      <c r="N35" s="865" t="n"/>
      <c r="O35" s="865" t="n"/>
      <c r="P35" s="865" t="n"/>
      <c r="Q35" s="865" t="n"/>
      <c r="R35" s="865" t="n"/>
      <c r="S35" s="865" t="n"/>
      <c r="T35" s="1500">
        <f>(IF($F35="Paused",0,'REVIEW - Complete Role Mapping'!$AA$306/1000000))*IF($H35="Offshore",0.4,1)</f>
        <v>0.25024575</v>
      </c>
    </row>
    <row r="36" ht="14.25" customHeight="1" s="866">
      <c r="B36" s="1369" t="str">
        <f>'REVIEW - Complete Role Mapping'!$B$309</f>
        <v>Sanjay Tikoo</v>
      </c>
      <c r="C36" s="1498" t="str">
        <f>'REVIEW - Complete Role Mapping'!$C$309</f>
        <v>Principal, Data Architecture &amp; Governance</v>
      </c>
      <c r="D36" s="1369" t="str">
        <f>'REVIEW - Complete Role Mapping'!$G$309</f>
        <v>Group Data</v>
      </c>
      <c r="E36" s="1369" t="str">
        <f>'REVIEW - Complete Role Mapping'!$M$309</f>
        <v>Australia</v>
      </c>
      <c r="F36" s="1499" t="str">
        <f>'REVIEW - Complete Role Mapping'!$AK$309</f>
        <v>Filled</v>
      </c>
      <c r="G36" s="1501" t="n"/>
      <c r="H36" s="1358" t="inlineStr">
        <is>
          <t>Onshore</t>
        </is>
      </c>
      <c r="I36" s="1314" t="n"/>
      <c r="J36" s="1314" t="n"/>
      <c r="K36" s="1314" t="n"/>
      <c r="L36" s="1314" t="n"/>
      <c r="M36" s="865" t="n"/>
      <c r="N36" s="865" t="n"/>
      <c r="O36" s="865" t="n"/>
      <c r="P36" s="865" t="n"/>
      <c r="Q36" s="865" t="n"/>
      <c r="R36" s="865" t="n"/>
      <c r="S36" s="865" t="n"/>
      <c r="T36" s="1500">
        <f>(IF($F36="Paused",0,'REVIEW - Complete Role Mapping'!$AA$309/1000000))*IF($H36="Offshore",0.4,1)</f>
        <v>0.389125</v>
      </c>
    </row>
    <row r="37" ht="14.25" customHeight="1" s="866">
      <c r="B37" s="1369" t="str">
        <f>'REVIEW - Complete Role Mapping'!$B$321</f>
        <v>Vacant</v>
      </c>
      <c r="C37" s="1498" t="str">
        <f>'REVIEW - Complete Role Mapping'!$C$321</f>
        <v>Data Governance Lead</v>
      </c>
      <c r="D37" s="1369" t="str">
        <f>'REVIEW - Complete Role Mapping'!$G$321</f>
        <v>Group Data</v>
      </c>
      <c r="E37" s="1369" t="str">
        <f>'REVIEW - Complete Role Mapping'!$M$321</f>
        <v>australia</v>
      </c>
      <c r="F37" s="1499" t="str">
        <f>'REVIEW - Complete Role Mapping'!$AK$321</f>
        <v>Vacant</v>
      </c>
      <c r="G37" s="1504">
        <f>'REVIEW - Complete Role Mapping'!$AA$321</f>
        <v>389606.1</v>
      </c>
      <c r="H37" s="1358" t="inlineStr">
        <is>
          <t>Onshore</t>
        </is>
      </c>
      <c r="I37" s="1314" t="n"/>
      <c r="J37" s="1314" t="n"/>
      <c r="K37" s="1314" t="n"/>
      <c r="L37" s="1314" t="n"/>
      <c r="M37" s="865" t="n"/>
      <c r="N37" s="865" t="n"/>
      <c r="O37" s="865" t="n"/>
      <c r="P37" s="865" t="n"/>
      <c r="Q37" s="865" t="n"/>
      <c r="R37" s="865" t="n"/>
      <c r="S37" s="865" t="n"/>
      <c r="T37" s="1500">
        <f>(IF($F37="Paused",0,'REVIEW - Complete Role Mapping'!$AA$321/1000000))*IF($H37="Offshore",0.4,1)</f>
        <v>0.3896061</v>
      </c>
    </row>
    <row r="38" ht="14.25" customHeight="1" s="866">
      <c r="B38" s="1369" t="str">
        <f>'REVIEW - Complete Role Mapping'!$B$322</f>
        <v>Vacant</v>
      </c>
      <c r="C38" s="1498" t="str">
        <f>'REVIEW - Complete Role Mapping'!$C$322</f>
        <v>Head of Architecture</v>
      </c>
      <c r="D38" s="1369" t="str">
        <f>'REVIEW - Complete Role Mapping'!$G$322</f>
        <v>Architecture</v>
      </c>
      <c r="E38" s="1369" t="str">
        <f>'REVIEW - Complete Role Mapping'!$M$322</f>
        <v>Australia</v>
      </c>
      <c r="F38" s="1499" t="str">
        <f>'REVIEW - Complete Role Mapping'!$AK$322</f>
        <v>Vacant</v>
      </c>
      <c r="G38" s="1504">
        <f>'REVIEW - Complete Role Mapping'!$AA$322</f>
        <v>334972.95</v>
      </c>
      <c r="H38" s="1358" t="inlineStr">
        <is>
          <t>Onshore</t>
        </is>
      </c>
      <c r="I38" s="1314" t="n"/>
      <c r="J38" s="1314" t="n"/>
      <c r="K38" s="1314" t="n"/>
      <c r="L38" s="1314" t="n"/>
      <c r="M38" s="865" t="n"/>
      <c r="N38" s="865" t="n"/>
      <c r="O38" s="865" t="n"/>
      <c r="P38" s="865" t="n"/>
      <c r="Q38" s="865" t="n"/>
      <c r="R38" s="865" t="n"/>
      <c r="S38" s="865" t="n"/>
      <c r="T38" s="1500">
        <f>(IF($F38="Paused",0,'REVIEW - Complete Role Mapping'!$AA$322/1000000))*IF($H38="Offshore",0.4,1)</f>
        <v>0.33497295</v>
      </c>
    </row>
    <row r="39" ht="14.25" customHeight="1" s="866">
      <c r="B39" s="1369" t="str">
        <f>'REVIEW - Complete Role Mapping'!$B$323</f>
        <v>Vacant</v>
      </c>
      <c r="C39" s="1498" t="str">
        <f>'REVIEW - Complete Role Mapping'!$C$323</f>
        <v>Head of Technology Strategy &amp; AI Capability</v>
      </c>
      <c r="D39" s="1369" t="str">
        <f>'REVIEW - Complete Role Mapping'!$G$323</f>
        <v>Technology Strategy &amp; AI Capability</v>
      </c>
      <c r="E39" s="1369" t="str">
        <f>'REVIEW - Complete Role Mapping'!$M$323</f>
        <v>Australia</v>
      </c>
      <c r="F39" s="1499" t="str">
        <f>'REVIEW - Complete Role Mapping'!$AK$323</f>
        <v>Vacant</v>
      </c>
      <c r="G39" s="1311">
        <f>'REVIEW - Complete Role Mapping'!$AA$323</f>
        <v>333020.25</v>
      </c>
      <c r="H39" s="1358" t="inlineStr">
        <is>
          <t>Onshore</t>
        </is>
      </c>
      <c r="I39" s="865" t="n"/>
      <c r="J39" s="865" t="n"/>
      <c r="K39" s="865" t="n"/>
      <c r="L39" s="865" t="n"/>
      <c r="M39" s="865" t="n"/>
      <c r="N39" s="865" t="n"/>
      <c r="O39" s="865" t="n"/>
      <c r="P39" s="865" t="n"/>
      <c r="Q39" s="865" t="n"/>
      <c r="R39" s="865" t="n"/>
      <c r="S39" s="865" t="n"/>
      <c r="T39" s="1500">
        <f>(IF($F39="Paused",0,'REVIEW - Complete Role Mapping'!$AA$323/1000000))*IF($H39="Offshore",0.4,1)</f>
        <v>0.33302025</v>
      </c>
    </row>
    <row r="40" ht="14.25" customHeight="1" s="866">
      <c r="B40" s="1369" t="str">
        <f>'REVIEW - Complete Role Mapping'!$B$324</f>
        <v>Vacant</v>
      </c>
      <c r="C40" s="1498" t="str">
        <f>'REVIEW - Complete Role Mapping'!$C$324</f>
        <v>Senior Communications Advisor</v>
      </c>
      <c r="D40" s="1369" t="str">
        <f>'REVIEW - Complete Role Mapping'!$G$324</f>
        <v>na</v>
      </c>
      <c r="E40" s="1369" t="str">
        <f>'REVIEW - Complete Role Mapping'!$M$324</f>
        <v>Australia</v>
      </c>
      <c r="F40" s="1499" t="str">
        <f>'REVIEW - Complete Role Mapping'!$AK$324</f>
        <v>Vacant</v>
      </c>
      <c r="G40" s="1501">
        <f>'REVIEW - Complete Role Mapping'!$AA$324</f>
        <v>186900</v>
      </c>
      <c r="H40" s="1358" t="inlineStr">
        <is>
          <t>Onshore</t>
        </is>
      </c>
      <c r="I40" s="865" t="n"/>
      <c r="J40" s="865" t="n"/>
      <c r="K40" s="865" t="n"/>
      <c r="L40" s="865" t="n"/>
      <c r="M40" s="865" t="n"/>
      <c r="N40" s="865" t="n"/>
      <c r="O40" s="865" t="n"/>
      <c r="P40" s="865" t="n"/>
      <c r="Q40" s="865" t="n"/>
      <c r="R40" s="865" t="n"/>
      <c r="S40" s="865" t="n"/>
      <c r="T40" s="1500">
        <f>(IF($F40="Paused",0,'REVIEW - Complete Role Mapping'!$AA$324/1000000))*IF($H40="Offshore",0.4,1)</f>
        <v>0.1869</v>
      </c>
    </row>
    <row r="41" ht="14.25" customHeight="1" s="866">
      <c r="B41" s="1369" t="str">
        <f>'REVIEW - Complete Role Mapping'!$B$325</f>
        <v>Vacant</v>
      </c>
      <c r="C41" s="1498" t="str">
        <f>'REVIEW - Complete Role Mapping'!$C$325</f>
        <v>AI Capability Lead</v>
      </c>
      <c r="D41" s="1369" t="str">
        <f>'REVIEW - Complete Role Mapping'!$G$325</f>
        <v>Technology Strategy &amp; AI Capability</v>
      </c>
      <c r="E41" s="1369" t="str">
        <f>'REVIEW - Complete Role Mapping'!$M$325</f>
        <v>Australia</v>
      </c>
      <c r="F41" s="1499" t="str">
        <f>'REVIEW - Complete Role Mapping'!$AK$325</f>
        <v>Vacant</v>
      </c>
      <c r="G41" s="1501">
        <f>'REVIEW - Complete Role Mapping'!$AA$325</f>
        <v>275810.25</v>
      </c>
      <c r="H41" s="1358" t="inlineStr">
        <is>
          <t>Onshore</t>
        </is>
      </c>
      <c r="I41" s="865" t="n"/>
      <c r="J41" s="865" t="n"/>
      <c r="K41" s="865" t="n"/>
      <c r="L41" s="865" t="n"/>
      <c r="M41" s="865" t="n"/>
      <c r="N41" s="865" t="n"/>
      <c r="O41" s="865" t="n"/>
      <c r="P41" s="865" t="n"/>
      <c r="Q41" s="865" t="n"/>
      <c r="R41" s="865" t="n"/>
      <c r="S41" s="865" t="n"/>
      <c r="T41" s="1500">
        <f>(IF($F41="Paused",0,'REVIEW - Complete Role Mapping'!$AA$325/1000000))*IF($H41="Offshore",0.4,1)</f>
        <v>0.27581025</v>
      </c>
    </row>
    <row r="42" ht="14.25" customHeight="1" s="866">
      <c r="B42" s="1369" t="str">
        <f>'REVIEW - Complete Role Mapping'!$B$326</f>
        <v>Vacant</v>
      </c>
      <c r="C42" s="1498" t="str">
        <f>'REVIEW - Complete Role Mapping'!$C$326</f>
        <v>Enterprise Process Lead</v>
      </c>
      <c r="D42" s="1369" t="str">
        <f>'REVIEW - Complete Role Mapping'!$G$326</f>
        <v>Technology Strategy &amp; AI Capability</v>
      </c>
      <c r="E42" s="1369" t="str">
        <f>'REVIEW - Complete Role Mapping'!$M$326</f>
        <v>Australia</v>
      </c>
      <c r="F42" s="1499" t="str">
        <f>'REVIEW - Complete Role Mapping'!$AK$326</f>
        <v>Vacant</v>
      </c>
      <c r="G42" s="1501">
        <f>'REVIEW - Complete Role Mapping'!$AA$326</f>
        <v>202853.25</v>
      </c>
      <c r="H42" s="1358" t="inlineStr">
        <is>
          <t>Onshore</t>
        </is>
      </c>
      <c r="I42" s="865" t="n"/>
      <c r="J42" s="865" t="n"/>
      <c r="K42" s="865" t="n"/>
      <c r="L42" s="865" t="n"/>
      <c r="M42" s="865" t="n"/>
      <c r="N42" s="865" t="n"/>
      <c r="O42" s="865" t="n"/>
      <c r="P42" s="865" t="n"/>
      <c r="Q42" s="865" t="n"/>
      <c r="R42" s="865" t="n"/>
      <c r="S42" s="865" t="n"/>
      <c r="T42" s="1500">
        <f>(IF($F42="Paused",0,'REVIEW - Complete Role Mapping'!$AA$326/1000000))*IF($H42="Offshore",0.4,1)</f>
        <v>0.20285325</v>
      </c>
    </row>
    <row r="43" ht="14.25" customHeight="1" s="866">
      <c r="B43" s="1369" t="str">
        <f>'REVIEW - Complete Role Mapping'!$B$327</f>
        <v>Vacant</v>
      </c>
      <c r="C43" s="1498" t="str">
        <f>'REVIEW - Complete Role Mapping'!$C$327</f>
        <v>EnterpriseProcess Analyst</v>
      </c>
      <c r="D43" s="1369" t="str">
        <f>'REVIEW - Complete Role Mapping'!$G$327</f>
        <v>Technology Strategy &amp; AI Capability</v>
      </c>
      <c r="E43" s="1369" t="str">
        <f>'REVIEW - Complete Role Mapping'!$M$327</f>
        <v>Australia</v>
      </c>
      <c r="F43" s="1499" t="str">
        <f>'REVIEW - Complete Role Mapping'!$AK$327</f>
        <v>Vacant</v>
      </c>
      <c r="G43" s="1501">
        <f>'REVIEW - Complete Role Mapping'!$AA$327</f>
        <v>170489.75</v>
      </c>
      <c r="H43" s="1358" t="inlineStr">
        <is>
          <t>Onshore</t>
        </is>
      </c>
      <c r="I43" s="865" t="n"/>
      <c r="J43" s="865" t="n"/>
      <c r="K43" s="865" t="n"/>
      <c r="L43" s="865" t="n"/>
      <c r="M43" s="865" t="n"/>
      <c r="N43" s="865" t="n"/>
      <c r="O43" s="865" t="n"/>
      <c r="P43" s="865" t="n"/>
      <c r="Q43" s="865" t="n"/>
      <c r="R43" s="865" t="n"/>
      <c r="S43" s="865" t="n"/>
      <c r="T43" s="1500">
        <f>(IF($F43="Paused",0,'REVIEW - Complete Role Mapping'!$AA$327/1000000))*IF($H43="Offshore",0.4,1)</f>
        <v>0.17048975</v>
      </c>
    </row>
    <row r="44" ht="14.25" customHeight="1" s="866">
      <c r="B44" s="1369" t="str">
        <f>'REVIEW - Complete Role Mapping'!$B$328</f>
        <v>Vacant</v>
      </c>
      <c r="C44" s="1498" t="str">
        <f>'REVIEW - Complete Role Mapping'!$C$328</f>
        <v>Strategy Analyst</v>
      </c>
      <c r="D44" s="1369" t="str">
        <f>'REVIEW - Complete Role Mapping'!$G$328</f>
        <v>Technology Strategy &amp; AI Capability</v>
      </c>
      <c r="E44" s="1369" t="str">
        <f>'REVIEW - Complete Role Mapping'!$M$328</f>
        <v>Australia</v>
      </c>
      <c r="F44" s="1499" t="str">
        <f>'REVIEW - Complete Role Mapping'!$AK$328</f>
        <v>Vacant</v>
      </c>
      <c r="G44" s="1501">
        <f>'REVIEW - Complete Role Mapping'!$AA$328</f>
        <v>170489.75</v>
      </c>
      <c r="H44" s="1358" t="inlineStr">
        <is>
          <t>Onshore</t>
        </is>
      </c>
      <c r="I44" s="865" t="n"/>
      <c r="J44" s="865" t="n"/>
      <c r="K44" s="865" t="n"/>
      <c r="L44" s="865" t="n"/>
      <c r="M44" s="865" t="n"/>
      <c r="N44" s="865" t="n"/>
      <c r="O44" s="865" t="n"/>
      <c r="P44" s="865" t="n"/>
      <c r="Q44" s="865" t="n"/>
      <c r="R44" s="865" t="n"/>
      <c r="S44" s="865" t="n"/>
      <c r="T44" s="1500">
        <f>(IF($F44="Paused",0,'REVIEW - Complete Role Mapping'!$AA$328/1000000))*IF($H44="Offshore",0.4,1)</f>
        <v>0.17048975</v>
      </c>
    </row>
    <row r="45" ht="14.25" customHeight="1" s="866">
      <c r="B45" s="1369" t="str">
        <f>'REVIEW - Complete Role Mapping'!$B$283</f>
        <v>Deepali Mahajan</v>
      </c>
      <c r="C45" s="1498" t="str">
        <f>'REVIEW - Complete Role Mapping'!$C$283</f>
        <v>Data Operations Manager</v>
      </c>
      <c r="D45" s="1369" t="str">
        <f>'REVIEW - Complete Role Mapping'!$G$283</f>
        <v>Group Data</v>
      </c>
      <c r="E45" s="1369" t="str">
        <f>'REVIEW - Complete Role Mapping'!$M$283</f>
        <v>Australia</v>
      </c>
      <c r="F45" s="1499" t="str">
        <f>'REVIEW - Complete Role Mapping'!$AK$283</f>
        <v>Filled</v>
      </c>
      <c r="G45" s="1501">
        <f>'REVIEW - Complete Role Mapping'!$AA$283</f>
        <v>295918.45</v>
      </c>
      <c r="H45" s="1358" t="inlineStr">
        <is>
          <t>Onshore</t>
        </is>
      </c>
      <c r="I45" s="865" t="n"/>
      <c r="J45" s="865" t="n"/>
      <c r="K45" s="865" t="n"/>
      <c r="L45" s="865" t="n"/>
      <c r="M45" s="865" t="n"/>
      <c r="N45" s="865" t="n"/>
      <c r="O45" s="865" t="n"/>
      <c r="P45" s="865" t="n"/>
      <c r="Q45" s="865" t="n"/>
      <c r="R45" s="865" t="n"/>
      <c r="S45" s="865" t="n"/>
      <c r="T45" s="1500">
        <f>(IF($F45="Paused",0,'REVIEW - Complete Role Mapping'!$AA$283/1000000))*IF($H45="Offshore",0.4,1)</f>
        <v>0.29591845</v>
      </c>
    </row>
    <row r="46" ht="14.25" customHeight="1" s="866">
      <c r="B46" s="1369" t="str">
        <f>'REVIEW - Complete Role Mapping'!$B$301</f>
        <v>Rihan Schalkwyk</v>
      </c>
      <c r="C46" s="1498" t="str">
        <f>'REVIEW - Complete Role Mapping'!$C$301</f>
        <v>Senior Business Analyst</v>
      </c>
      <c r="D46" s="1369" t="str">
        <f>'REVIEW - Complete Role Mapping'!$G$301</f>
        <v>Group Data</v>
      </c>
      <c r="E46" s="1369" t="str">
        <f>'REVIEW - Complete Role Mapping'!$M$301</f>
        <v>Australia</v>
      </c>
      <c r="F46" s="1499" t="str">
        <f>'REVIEW - Complete Role Mapping'!$AK$301</f>
        <v>Filled</v>
      </c>
      <c r="G46" s="1501">
        <f>'REVIEW - Complete Role Mapping'!$AA$301</f>
        <v>249124.35</v>
      </c>
      <c r="H46" s="1358" t="inlineStr">
        <is>
          <t>Onshore</t>
        </is>
      </c>
      <c r="I46" s="865" t="n"/>
      <c r="J46" s="865" t="n"/>
      <c r="K46" s="865" t="n"/>
      <c r="L46" s="865" t="n"/>
      <c r="M46" s="865" t="n"/>
      <c r="N46" s="865" t="n"/>
      <c r="O46" s="865" t="n"/>
      <c r="P46" s="865" t="n"/>
      <c r="Q46" s="865" t="n"/>
      <c r="R46" s="865" t="n"/>
      <c r="S46" s="865" t="n"/>
      <c r="T46" s="1500">
        <f>(IF($F46="Paused",0,'REVIEW - Complete Role Mapping'!$AA$301/1000000))*IF($H46="Offshore",0.4,1)</f>
        <v>0.24912435</v>
      </c>
    </row>
    <row r="47" ht="14.25" customHeight="1" s="866">
      <c r="B47" s="1369" t="str">
        <f>'REVIEW - Complete Role Mapping'!$B$313</f>
        <v>Vacant</v>
      </c>
      <c r="C47" s="1498" t="str">
        <f>'REVIEW - Complete Role Mapping'!$C$313</f>
        <v>Service Transition Lead</v>
      </c>
      <c r="D47" s="1369" t="str">
        <f>'REVIEW - Complete Role Mapping'!$G$313</f>
        <v>Group Data</v>
      </c>
      <c r="E47" s="1369" t="str">
        <f>'REVIEW - Complete Role Mapping'!$M$313</f>
        <v>Australia</v>
      </c>
      <c r="F47" s="1499" t="str">
        <f>'REVIEW - Complete Role Mapping'!$AK$313</f>
        <v>Vacant</v>
      </c>
      <c r="G47" s="1501">
        <f>'REVIEW - Complete Role Mapping'!$AA$313</f>
        <v>202853.25</v>
      </c>
      <c r="H47" s="1358" t="inlineStr">
        <is>
          <t>Onshore</t>
        </is>
      </c>
      <c r="I47" s="865" t="n"/>
      <c r="J47" s="865" t="n"/>
      <c r="K47" s="865" t="n"/>
      <c r="L47" s="865" t="n"/>
      <c r="M47" s="865" t="n"/>
      <c r="N47" s="865" t="n"/>
      <c r="O47" s="865" t="n"/>
      <c r="P47" s="865" t="n"/>
      <c r="Q47" s="865" t="n"/>
      <c r="R47" s="865" t="n"/>
      <c r="S47" s="865" t="n"/>
      <c r="T47" s="1500">
        <f>(IF($F47="Paused",0,'REVIEW - Complete Role Mapping'!$AA$313/1000000))*IF($H47="Offshore",0.4,1)</f>
        <v>0.20285325</v>
      </c>
    </row>
    <row r="48" ht="14.25" customHeight="1" s="866">
      <c r="B48" s="1369" t="n"/>
      <c r="C48" s="1498" t="n"/>
      <c r="D48" s="1369" t="n"/>
      <c r="E48" s="1369" t="n"/>
      <c r="F48" s="1499" t="n"/>
      <c r="G48" s="1501" t="n"/>
      <c r="H48" s="1927" t="n"/>
      <c r="I48" s="865" t="n"/>
      <c r="J48" s="865" t="n"/>
      <c r="K48" s="865" t="n"/>
      <c r="L48" s="865" t="n"/>
      <c r="M48" s="865" t="n"/>
      <c r="N48" s="865" t="n"/>
      <c r="O48" s="865" t="n"/>
      <c r="P48" s="865" t="n"/>
      <c r="Q48" s="865" t="n"/>
      <c r="R48" s="865" t="n"/>
      <c r="S48" s="865" t="n"/>
      <c r="T48" s="1500" t="n"/>
    </row>
    <row r="49" ht="14.25" customHeight="1" s="866">
      <c r="B49" s="1369" t="n"/>
      <c r="C49" s="1498" t="n"/>
      <c r="D49" s="1369" t="n"/>
      <c r="E49" s="1369" t="n"/>
      <c r="F49" s="1499" t="n"/>
      <c r="G49" s="1501" t="n"/>
      <c r="H49" s="1927" t="n"/>
      <c r="I49" s="865" t="n"/>
      <c r="J49" s="865" t="n"/>
      <c r="K49" s="865" t="n"/>
      <c r="L49" s="865" t="n"/>
      <c r="M49" s="865" t="n"/>
      <c r="N49" s="865" t="n"/>
      <c r="O49" s="865" t="n"/>
      <c r="P49" s="865" t="n"/>
      <c r="Q49" s="865" t="n"/>
      <c r="R49" s="865" t="n"/>
      <c r="S49" s="865" t="n"/>
      <c r="T49" s="1500" t="n"/>
    </row>
    <row r="50" ht="14.25" customHeight="1" s="866">
      <c r="B50" s="1369" t="n"/>
      <c r="C50" s="1498" t="n"/>
      <c r="D50" s="1369" t="n"/>
      <c r="E50" s="1369" t="n"/>
      <c r="F50" s="1499" t="n"/>
      <c r="G50" s="1501" t="n"/>
      <c r="H50" s="1927" t="n"/>
      <c r="I50" s="865" t="n"/>
      <c r="J50" s="865" t="n"/>
      <c r="K50" s="865" t="n"/>
      <c r="L50" s="865" t="n"/>
      <c r="M50" s="865" t="n"/>
      <c r="N50" s="865" t="n"/>
      <c r="O50" s="865" t="n"/>
      <c r="P50" s="865" t="n"/>
      <c r="Q50" s="865" t="n"/>
      <c r="R50" s="865" t="n"/>
      <c r="S50" s="865" t="n"/>
      <c r="T50" s="1500" t="n"/>
    </row>
    <row r="51" ht="14.25" customHeight="1" s="866">
      <c r="B51" s="1369" t="inlineStr">
        <is>
          <t>Check - roles listed vs counted (must be 0)</t>
        </is>
      </c>
      <c r="C51" s="1490">
        <f>COUNTA(B22:B50)-C8</f>
        <v>0</v>
      </c>
      <c r="D51" s="865" t="n"/>
      <c r="E51" s="865" t="n"/>
      <c r="F51" s="865" t="n"/>
      <c r="G51" s="865" t="n"/>
      <c r="H51" s="865" t="n"/>
      <c r="I51" s="865" t="n"/>
      <c r="J51" s="865" t="n"/>
      <c r="K51" s="865" t="n"/>
      <c r="L51" s="865" t="n"/>
      <c r="M51" s="865" t="n"/>
      <c r="N51" s="865" t="n"/>
      <c r="O51" s="865" t="n"/>
      <c r="P51" s="865" t="n"/>
      <c r="Q51" s="865" t="n"/>
      <c r="R51" s="865" t="n"/>
      <c r="S51" s="865" t="n"/>
      <c r="T51" s="865" t="n"/>
    </row>
    <row r="53" ht="14.25" customHeight="1" s="866">
      <c r="B53" s="1937" t="n"/>
      <c r="C53" s="865" t="n"/>
      <c r="D53" s="865" t="n"/>
      <c r="E53" s="865" t="n"/>
      <c r="F53" s="865" t="n"/>
      <c r="G53" s="865" t="n"/>
      <c r="H53" s="865" t="n"/>
      <c r="I53" s="865" t="n"/>
      <c r="J53" s="865" t="n"/>
      <c r="K53" s="865" t="n"/>
      <c r="L53" s="865" t="n"/>
      <c r="M53" s="865" t="n"/>
      <c r="N53" s="865" t="n"/>
      <c r="O53" s="865" t="n"/>
      <c r="P53" s="865" t="n"/>
      <c r="Q53" s="865" t="n"/>
      <c r="R53" s="865" t="n"/>
      <c r="S53" s="865" t="n"/>
      <c r="T53" s="865" t="n"/>
    </row>
    <row r="54" ht="14.25" customHeight="1" s="866">
      <c r="B54" s="1314" t="n"/>
      <c r="C54" s="1314" t="n"/>
      <c r="D54" s="1314" t="n"/>
      <c r="E54" s="1314" t="n"/>
      <c r="F54" s="1314" t="n"/>
      <c r="G54" s="1314" t="n"/>
      <c r="H54" s="1314" t="n"/>
      <c r="I54" s="1314" t="n"/>
      <c r="J54" s="1314" t="n"/>
      <c r="K54" s="1314" t="n"/>
      <c r="L54" s="1314" t="n"/>
      <c r="M54" s="865" t="n"/>
      <c r="N54" s="865" t="n"/>
      <c r="O54" s="865" t="n"/>
      <c r="P54" s="865" t="n"/>
      <c r="Q54" s="865" t="n"/>
      <c r="R54" s="865" t="n"/>
      <c r="S54" s="865" t="n"/>
      <c r="T54" s="865" t="n"/>
    </row>
    <row r="55" ht="28.5" customHeight="1" s="866">
      <c r="B55" s="1938" t="n"/>
      <c r="C55" s="1314" t="n"/>
      <c r="D55" s="1314" t="n"/>
      <c r="E55" s="1314" t="n"/>
      <c r="F55" s="1314" t="n"/>
      <c r="G55" s="1314" t="n"/>
      <c r="H55" s="1314" t="n"/>
      <c r="I55" s="1314" t="n"/>
      <c r="J55" s="1314" t="n"/>
      <c r="K55" s="1314" t="n"/>
      <c r="L55" s="1314" t="n"/>
      <c r="M55" s="865" t="n"/>
      <c r="N55" s="865" t="n"/>
      <c r="O55" s="865" t="n"/>
      <c r="P55" s="865" t="n"/>
      <c r="Q55" s="865" t="n"/>
      <c r="R55" s="865" t="n"/>
      <c r="S55" s="865" t="n"/>
      <c r="T55" s="865" t="n"/>
    </row>
    <row r="56" ht="14.25" customHeight="1" s="866">
      <c r="B56" s="1314" t="n"/>
      <c r="C56" s="1314" t="n"/>
      <c r="D56" s="1314" t="n"/>
      <c r="E56" s="1314" t="n"/>
      <c r="F56" s="1314" t="n"/>
      <c r="G56" s="1314" t="n"/>
      <c r="H56" s="1314" t="n"/>
      <c r="I56" s="1314" t="n"/>
      <c r="J56" s="1314" t="n"/>
      <c r="K56" s="1314" t="n"/>
      <c r="L56" s="1314" t="n"/>
      <c r="M56" s="865" t="n"/>
      <c r="N56" s="865" t="n"/>
      <c r="O56" s="865" t="n"/>
      <c r="P56" s="865" t="n"/>
      <c r="Q56" s="865" t="n"/>
      <c r="R56" s="865" t="n"/>
      <c r="S56" s="865" t="n"/>
      <c r="T56" s="865" t="n"/>
    </row>
    <row r="57" ht="14.25" customHeight="1" s="866">
      <c r="B57" s="1314" t="n"/>
      <c r="C57" s="1314" t="n"/>
      <c r="D57" s="1314" t="n"/>
      <c r="E57" s="1314" t="n"/>
      <c r="F57" s="1314" t="n"/>
      <c r="G57" s="1314" t="n"/>
      <c r="H57" s="1314" t="n"/>
      <c r="I57" s="1314" t="n"/>
      <c r="J57" s="1314" t="n"/>
      <c r="K57" s="1314" t="n"/>
      <c r="L57" s="1314" t="n"/>
      <c r="M57" s="865" t="n"/>
      <c r="N57" s="865" t="n"/>
      <c r="O57" s="865" t="n"/>
      <c r="P57" s="865" t="n"/>
      <c r="Q57" s="865" t="n"/>
      <c r="R57" s="865" t="n"/>
      <c r="S57" s="865" t="n"/>
      <c r="T57" s="865" t="n"/>
    </row>
    <row r="58" ht="14.25" customHeight="1" s="866">
      <c r="B58" s="1314" t="n"/>
      <c r="C58" s="1314" t="n"/>
      <c r="D58" s="1314" t="n"/>
      <c r="E58" s="1314" t="n"/>
      <c r="F58" s="1314" t="n"/>
      <c r="G58" s="1314" t="n"/>
      <c r="H58" s="1314" t="n"/>
      <c r="I58" s="1314" t="n"/>
      <c r="J58" s="1314" t="n"/>
      <c r="K58" s="1314" t="n"/>
      <c r="L58" s="1314" t="n"/>
      <c r="M58" s="865" t="n"/>
      <c r="N58" s="865" t="n"/>
      <c r="O58" s="865" t="n"/>
      <c r="P58" s="865" t="n"/>
      <c r="Q58" s="865" t="n"/>
      <c r="R58" s="865" t="n"/>
      <c r="S58" s="865" t="n"/>
      <c r="T58" s="865" t="n"/>
    </row>
    <row r="59" ht="14.25" customHeight="1" s="866">
      <c r="B59" s="1314" t="n"/>
      <c r="C59" s="1314" t="n"/>
      <c r="D59" s="1314" t="n"/>
      <c r="E59" s="1314" t="n"/>
      <c r="F59" s="1314" t="n"/>
      <c r="G59" s="1314" t="n"/>
      <c r="H59" s="1314" t="n"/>
      <c r="I59" s="1314" t="n"/>
      <c r="J59" s="1314" t="n"/>
      <c r="K59" s="1314" t="n"/>
      <c r="L59" s="1314" t="n"/>
      <c r="M59" s="865" t="n"/>
      <c r="N59" s="865" t="n"/>
      <c r="O59" s="865" t="n"/>
      <c r="P59" s="865" t="n"/>
      <c r="Q59" s="865" t="n"/>
      <c r="R59" s="865" t="n"/>
      <c r="S59" s="865" t="n"/>
      <c r="T59" s="865" t="n"/>
    </row>
    <row r="60" ht="14.25" customHeight="1" s="866">
      <c r="B60" s="1314" t="n"/>
      <c r="C60" s="1314" t="n"/>
      <c r="D60" s="1314" t="n"/>
      <c r="E60" s="1314" t="n"/>
      <c r="F60" s="1314" t="n"/>
      <c r="G60" s="1314" t="n"/>
      <c r="H60" s="1314" t="n"/>
      <c r="I60" s="1314" t="n"/>
      <c r="J60" s="1314" t="n"/>
      <c r="K60" s="1314" t="n"/>
      <c r="L60" s="1314" t="n"/>
      <c r="M60" s="865" t="n"/>
      <c r="N60" s="865" t="n"/>
      <c r="O60" s="865" t="n"/>
      <c r="P60" s="865" t="n"/>
      <c r="Q60" s="865" t="n"/>
      <c r="R60" s="865" t="n"/>
      <c r="S60" s="865" t="n"/>
      <c r="T60" s="865" t="n"/>
    </row>
  </sheetData>
  <dataValidations count="1">
    <dataValidation sqref="H22:H50" showDropDown="0" showInputMessage="0" showErrorMessage="0" allowBlank="1" type="list" errorStyle="stop" operator="between">
      <formula1>"Onshore,Offshore"</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1.xml><?xml version="1.0" encoding="utf-8"?>
<worksheet xmlns="http://schemas.openxmlformats.org/spreadsheetml/2006/main">
  <sheetPr filterMode="0">
    <tabColor rgb="FF1F4E79"/>
    <outlinePr summaryBelow="1" summaryRight="1"/>
    <pageSetUpPr fitToPage="1"/>
  </sheetPr>
  <dimension ref="B2:T80"/>
  <sheetViews>
    <sheetView showFormulas="0" showGridLines="0" showRowColHeaders="1" showZeros="1" rightToLeft="0" tabSelected="0" showOutlineSymbols="1" defaultGridColor="1" view="normal" topLeftCell="A1" colorId="64" zoomScale="60" zoomScaleNormal="60" zoomScalePageLayoutView="100" workbookViewId="0">
      <selection pane="topLeft" activeCell="F59" activeCellId="0" sqref="F59"/>
    </sheetView>
  </sheetViews>
  <sheetFormatPr baseColWidth="8" defaultColWidth="8.5390625" defaultRowHeight="14.25" zeroHeight="0" outlineLevelRow="0"/>
  <cols>
    <col width="2" customWidth="1" style="865" min="1" max="1"/>
    <col width="46" customWidth="1" style="865" min="2" max="2"/>
    <col width="38" customWidth="1" style="865" min="3" max="3"/>
    <col width="24" customWidth="1" style="865" min="4" max="4"/>
    <col width="11" customWidth="1" style="865" min="5" max="5"/>
    <col width="11" customWidth="1" style="865" min="6" max="6"/>
    <col width="15" customWidth="1" style="865" min="7" max="7"/>
    <col width="15" customWidth="1" style="865" min="8" max="8"/>
    <col width="15" customWidth="1" style="865" min="9" max="9"/>
    <col width="15" customWidth="1" style="865" min="10" max="10"/>
    <col width="15" customWidth="1" style="865" min="11" max="11"/>
    <col width="9" customWidth="1" style="866" min="12" max="12"/>
    <col width="9" customWidth="1" style="866" min="13" max="13"/>
    <col hidden="1" width="13" customWidth="1" style="865" min="20" max="20"/>
  </cols>
  <sheetData>
    <row r="2" ht="21" customHeight="1" s="866">
      <c r="B2" s="1826" t="inlineStr">
        <is>
          <t>Cyber, Risk &amp; Service Operations - roles and funding</t>
        </is>
      </c>
      <c r="C2" s="865" t="n"/>
      <c r="D2" s="865" t="n"/>
      <c r="E2" s="865" t="n"/>
      <c r="F2" s="865" t="n"/>
      <c r="G2" s="865" t="n"/>
      <c r="H2" s="865" t="n"/>
      <c r="I2" s="865" t="n"/>
      <c r="J2" s="865" t="n"/>
    </row>
    <row r="4" ht="19" customHeight="1" s="866">
      <c r="B4" s="1505" t="inlineStr">
        <is>
          <t>Summary</t>
        </is>
      </c>
      <c r="C4" s="1867" t="n"/>
      <c r="D4" s="1867" t="n"/>
      <c r="E4" s="1867" t="n"/>
      <c r="F4" s="1867" t="n"/>
      <c r="G4" s="1867" t="n"/>
      <c r="H4" s="1867" t="n"/>
      <c r="I4" s="1867" t="n"/>
      <c r="J4" s="1867" t="n"/>
    </row>
    <row r="5" ht="48" customHeight="1" s="866">
      <c r="B5" s="1320" t="inlineStr">
        <is>
          <t>Grouping</t>
        </is>
      </c>
      <c r="C5" s="1827" t="inlineStr">
        <is>
          <t>Roles</t>
        </is>
      </c>
      <c r="D5" s="1827" t="inlineStr">
        <is>
          <t>Filled</t>
        </is>
      </c>
      <c r="E5" s="1827" t="inlineStr">
        <is>
          <t>Vacant</t>
        </is>
      </c>
      <c r="F5" s="1827" t="inlineStr">
        <is>
          <t>Planned spend ($m)</t>
        </is>
      </c>
      <c r="G5" s="1827" t="inlineStr">
        <is>
          <t>Budget to draw down ($m)</t>
        </is>
      </c>
      <c r="H5" s="1827" t="inlineStr">
        <is>
          <t>Left to fund ($m, + = over budget)</t>
        </is>
      </c>
      <c r="I5" s="1320" t="inlineStr">
        <is>
          <t>Cost - AU ($m)</t>
        </is>
      </c>
      <c r="J5" s="1320" t="inlineStr">
        <is>
          <t>Cost - NZ ($m)</t>
        </is>
      </c>
    </row>
    <row r="6" ht="14.25" customHeight="1" s="866">
      <c r="B6" s="1372" t="inlineStr">
        <is>
          <t>Cyber &amp; Risk</t>
        </is>
      </c>
      <c r="C6" s="1490">
        <f>COUNTIFS('REVIEW - Complete Role Mapping'!$AJ$2:$AJ$528,"COE Cyber")-COUNTIFS('REVIEW - Complete Role Mapping'!$AJ$2:$AJ$528,"COE Cyber",'REVIEW - Complete Role Mapping'!$G$2:$G$528,"Service Op &amp; Assurance")</f>
        <v>25</v>
      </c>
      <c r="D6" s="1490">
        <f>COUNTIFS('REVIEW - Complete Role Mapping'!$AJ$2:$AJ$528,"COE Cyber",'REVIEW - Complete Role Mapping'!$AK$2:$AK$528,"Filled")-COUNTIFS('REVIEW - Complete Role Mapping'!$AJ$2:$AJ$528,"COE Cyber",'REVIEW - Complete Role Mapping'!$G$2:$G$528,"Service Op &amp; Assurance",'REVIEW - Complete Role Mapping'!$AK$2:$AK$528,"Filled")</f>
        <v>25</v>
      </c>
      <c r="E6" s="1490">
        <f>COUNTIFS('REVIEW - Complete Role Mapping'!$AJ$2:$AJ$528,"COE Cyber",'REVIEW - Complete Role Mapping'!$AK$2:$AK$528,"Vacant")-COUNTIFS('REVIEW - Complete Role Mapping'!$AJ$2:$AJ$528,"COE Cyber",'REVIEW - Complete Role Mapping'!$G$2:$G$528,"Service Op &amp; Assurance",'REVIEW - Complete Role Mapping'!$AK$2:$AK$528,"Vacant")</f>
        <v>0</v>
      </c>
      <c r="F6" s="1323">
        <f>(SUMIFS('REVIEW - Complete Role Mapping'!$AA$2:$AA$528,'REVIEW - Complete Role Mapping'!$AJ$2:$AJ$528,"COE Cyber")-SUMIFS('REVIEW - Complete Role Mapping'!$AA$2:$AA$528,'REVIEW - Complete Role Mapping'!$AJ$2:$AJ$528,"COE Cyber",'REVIEW - Complete Role Mapping'!$G$2:$G$528,"Service Op &amp; Assurance"))/1000000</f>
        <v>5.974388914</v>
      </c>
      <c r="G6" s="1339">
        <f>$C$14</f>
        <v>4</v>
      </c>
      <c r="H6" s="1506">
        <f>$F6-$G6</f>
        <v>1.974388914</v>
      </c>
      <c r="I6" s="1323">
        <f>SUMIFS($T$19:$T$70,$E$19:$E$70,"&lt;&gt;NZ")-SUMIFS($T$19:$T$70,$D$19:$D$70,"Service Op &amp; Assurance",$E$19:$E$70,"&lt;&gt;NZ")</f>
        <v>5.29336225</v>
      </c>
      <c r="J6" s="1323">
        <f>SUMIFS($T$19:$T$70,$E$19:$E$70,"NZ")-SUMIFS($T$19:$T$70,$D$19:$D$70,"Service Op &amp; Assurance",$E$19:$E$70,"NZ")</f>
        <v>0.681026664</v>
      </c>
    </row>
    <row r="7" ht="14.25" customHeight="1" s="866">
      <c r="B7" s="1372" t="inlineStr">
        <is>
          <t>Service Operations</t>
        </is>
      </c>
      <c r="C7" s="1490">
        <f>COUNTIFS('REVIEW - Complete Role Mapping'!$AJ$2:$AJ$528,"COE Cyber",'REVIEW - Complete Role Mapping'!$G$2:$G$528,"Service Op &amp; Assurance")</f>
        <v>21</v>
      </c>
      <c r="D7" s="1490">
        <f>COUNTIFS('REVIEW - Complete Role Mapping'!$AJ$2:$AJ$528,"COE Cyber",'REVIEW - Complete Role Mapping'!$G$2:$G$528,"Service Op &amp; Assurance",'REVIEW - Complete Role Mapping'!$AK$2:$AK$528,"Filled")</f>
        <v>17</v>
      </c>
      <c r="E7" s="1490">
        <f>COUNTIFS('REVIEW - Complete Role Mapping'!$AJ$2:$AJ$528,"COE Cyber",'REVIEW - Complete Role Mapping'!$G$2:$G$528,"Service Op &amp; Assurance",'REVIEW - Complete Role Mapping'!$AK$2:$AK$528,"Vacant")</f>
        <v>4</v>
      </c>
      <c r="F7" s="1323">
        <f>(SUMIFS('REVIEW - Complete Role Mapping'!$AA$2:$AA$528,'REVIEW - Complete Role Mapping'!$AJ$2:$AJ$528,"COE Cyber",'REVIEW - Complete Role Mapping'!$G$2:$G$528,"Service Op &amp; Assurance"))/1000000</f>
        <v>3.92346938</v>
      </c>
      <c r="G7" s="1803" t="n">
        <v>0</v>
      </c>
      <c r="H7" s="1506">
        <f>$F7-$G7</f>
        <v>3.92346938</v>
      </c>
      <c r="I7" s="1323">
        <f>SUMIFS($T$19:$T$70,$D$19:$D$70,"Service Op &amp; Assurance",$E$19:$E$70,"&lt;&gt;NZ")</f>
        <v>3.5464988</v>
      </c>
      <c r="J7" s="1323">
        <f>SUMIFS($T$19:$T$70,$D$19:$D$70,"Service Op &amp; Assurance",$E$19:$E$70,"NZ")</f>
        <v>0.37697058</v>
      </c>
    </row>
    <row r="8" ht="14.25" customHeight="1" s="866">
      <c r="B8" s="1939" t="inlineStr">
        <is>
          <t>Total</t>
        </is>
      </c>
      <c r="C8" s="1940">
        <f>SUM(C6:C7)</f>
        <v>46</v>
      </c>
      <c r="D8" s="1940">
        <f>SUM(D6:D7)</f>
        <v>42</v>
      </c>
      <c r="E8" s="1940">
        <f>SUM(E6:E7)</f>
        <v>4</v>
      </c>
      <c r="F8" s="1941">
        <f>SUM(F6:F7)</f>
        <v>9.897858294</v>
      </c>
      <c r="G8" s="1924">
        <f>C14</f>
        <v>4</v>
      </c>
      <c r="H8" s="1941">
        <f>$F8-$G8</f>
        <v>5.897858294</v>
      </c>
      <c r="I8" s="1942">
        <f>SUM(I6:I7)</f>
        <v>8.83986105</v>
      </c>
      <c r="J8" s="1942">
        <f>SUM(J6:J7)</f>
        <v>1.057997244</v>
      </c>
    </row>
    <row r="9" ht="74" customHeight="1" s="866">
      <c r="B9" s="1950" t="inlineStr">
        <is>
          <t>These are centres of excellence, funded by allocation rather than priced by an archetype, so there is no archetype cost to compare against. The actual cost after decisions for these groups is on 3.4 COE Detail and on the working tab.</t>
        </is>
      </c>
    </row>
    <row r="10" ht="14.25" customHeight="1" s="866">
      <c r="B10" s="1470" t="inlineStr">
        <is>
          <t>Funding buckets to draw down</t>
        </is>
      </c>
      <c r="C10" s="1497" t="n"/>
      <c r="D10" s="1314" t="n"/>
      <c r="E10" s="865" t="n"/>
      <c r="F10" s="865" t="n"/>
      <c r="G10" s="865" t="n"/>
      <c r="H10" s="865" t="n"/>
      <c r="I10" s="865" t="n"/>
      <c r="J10" s="865" t="n"/>
    </row>
    <row r="11" ht="14.25" customHeight="1" s="866">
      <c r="B11" s="1369" t="inlineStr">
        <is>
          <t>COE - Cyber allocation ($m) - 0.2 Data Config</t>
        </is>
      </c>
      <c r="C11" s="1323">
        <f>'0.2 Data Config'!$E$7</f>
        <v>0</v>
      </c>
      <c r="D11" s="1314" t="n"/>
      <c r="E11" s="865" t="n"/>
      <c r="F11" s="865" t="n"/>
      <c r="G11" s="865" t="n"/>
      <c r="H11" s="865" t="n"/>
      <c r="I11" s="865" t="n"/>
      <c r="J11" s="865" t="n"/>
    </row>
    <row r="12" ht="14.25" customHeight="1" s="866">
      <c r="B12" s="1369" t="inlineStr">
        <is>
          <t>TDD Cyber budget ($m) - 0.2 Data Config</t>
        </is>
      </c>
      <c r="C12" s="1323">
        <f>'0.2 Data Config'!$E$23</f>
        <v>3.5</v>
      </c>
      <c r="D12" s="1314" t="n"/>
      <c r="E12" s="865" t="n"/>
      <c r="F12" s="865" t="n"/>
      <c r="G12" s="865" t="n"/>
      <c r="H12" s="865" t="n"/>
      <c r="I12" s="865" t="n"/>
      <c r="J12" s="865" t="n"/>
    </row>
    <row r="13" ht="14.25" customHeight="1" s="866">
      <c r="B13" s="1369" t="inlineStr">
        <is>
          <t>Cyber CapEx - Monitoring ($m) - input</t>
        </is>
      </c>
      <c r="C13" s="1804" t="n">
        <v>0.5</v>
      </c>
      <c r="D13" s="1314" t="n"/>
      <c r="E13" s="865" t="n"/>
      <c r="F13" s="865" t="n"/>
      <c r="G13" s="865" t="n"/>
      <c r="H13" s="865" t="n"/>
      <c r="I13" s="865" t="n"/>
      <c r="J13" s="865" t="n"/>
    </row>
    <row r="14" ht="14.25" customHeight="1" s="866">
      <c r="B14" s="1372" t="inlineStr">
        <is>
          <t>Total budget to draw down ($m)</t>
        </is>
      </c>
      <c r="C14" s="1496">
        <f>SUM(C11:C13)</f>
        <v>4</v>
      </c>
      <c r="D14" s="1314" t="n"/>
      <c r="E14" s="865" t="n"/>
      <c r="F14" s="865" t="n"/>
      <c r="G14" s="865" t="n"/>
      <c r="H14" s="865" t="n"/>
      <c r="I14" s="865" t="n"/>
      <c r="J14" s="865" t="n"/>
    </row>
    <row r="15" ht="14.25" customHeight="1" s="866">
      <c r="B15" s="1372" t="inlineStr">
        <is>
          <t>Left to fund ($m)</t>
        </is>
      </c>
      <c r="C15" s="1943">
        <f>F8-C14</f>
        <v>5.897858294</v>
      </c>
      <c r="D15" s="1314" t="n"/>
      <c r="E15" s="865" t="n"/>
      <c r="F15" s="865" t="n"/>
      <c r="G15" s="865" t="n"/>
      <c r="H15" s="865" t="n"/>
      <c r="I15" s="865" t="n"/>
      <c r="J15" s="865" t="n"/>
    </row>
    <row r="16" ht="14.25" customHeight="1" s="866">
      <c r="B16" s="1314" t="n"/>
      <c r="C16" s="1314" t="n"/>
      <c r="D16" s="1314" t="n"/>
      <c r="E16" s="865" t="n"/>
      <c r="F16" s="865" t="n"/>
      <c r="G16" s="865" t="n"/>
      <c r="H16" s="865" t="n"/>
      <c r="I16" s="865" t="n"/>
      <c r="J16" s="865" t="n"/>
    </row>
    <row r="17" ht="19" customHeight="1" s="866">
      <c r="B17" s="1505" t="inlineStr">
        <is>
          <t>Roles</t>
        </is>
      </c>
      <c r="C17" s="1867" t="n"/>
      <c r="D17" s="1867" t="n"/>
      <c r="E17" s="1867" t="n"/>
      <c r="F17" s="1867" t="n"/>
      <c r="G17" s="1867" t="n"/>
      <c r="H17" s="1944" t="n"/>
      <c r="I17" s="1944" t="n"/>
      <c r="J17" s="1944" t="n"/>
      <c r="K17" s="1816" t="n"/>
      <c r="L17" s="865" t="n"/>
      <c r="M17" s="865" t="n"/>
      <c r="N17" s="865" t="n"/>
      <c r="O17" s="865" t="n"/>
      <c r="P17" s="865" t="n"/>
      <c r="Q17" s="865" t="n"/>
      <c r="R17" s="865" t="n"/>
      <c r="S17" s="865" t="n"/>
      <c r="T17" s="865" t="n"/>
    </row>
    <row r="18" ht="34" customHeight="1" s="866">
      <c r="B18" s="1320" t="inlineStr">
        <is>
          <t>Name</t>
        </is>
      </c>
      <c r="C18" s="1320" t="inlineStr">
        <is>
          <t>Position Title</t>
        </is>
      </c>
      <c r="D18" s="1320" t="inlineStr">
        <is>
          <t>Department</t>
        </is>
      </c>
      <c r="E18" s="1320" t="inlineStr">
        <is>
          <t>Country</t>
        </is>
      </c>
      <c r="F18" s="1320" t="inlineStr">
        <is>
          <t>Status</t>
        </is>
      </c>
      <c r="G18" s="1320" t="inlineStr">
        <is>
          <t>Cost if hired ($)</t>
        </is>
      </c>
      <c r="H18" s="1360" t="n"/>
      <c r="I18" s="1360" t="n"/>
      <c r="J18" s="1360" t="n"/>
      <c r="K18" s="865" t="n"/>
      <c r="L18" s="865" t="n"/>
      <c r="M18" s="865" t="n"/>
      <c r="N18" s="865" t="n"/>
      <c r="O18" s="865" t="n"/>
      <c r="P18" s="865" t="n"/>
      <c r="Q18" s="865" t="n"/>
      <c r="R18" s="865" t="n"/>
      <c r="S18" s="865" t="n"/>
      <c r="T18" s="865" t="n"/>
    </row>
    <row r="19" ht="14.25" customHeight="1" s="866">
      <c r="B19" s="1369" t="str">
        <f>'REVIEW - Complete Role Mapping'!$B$193</f>
        <v>Ashley Mueller</v>
      </c>
      <c r="C19" s="1498" t="str">
        <f>'REVIEW - Complete Role Mapping'!$C$193</f>
        <v>Lead - Service Assurance</v>
      </c>
      <c r="D19" s="1369" t="str">
        <f>'REVIEW - Complete Role Mapping'!$G$193</f>
        <v>Service Op &amp; Assurance</v>
      </c>
      <c r="E19" s="1369" t="str">
        <f>'REVIEW - Complete Role Mapping'!$M$193</f>
        <v>NZ</v>
      </c>
      <c r="F19" s="1499" t="str">
        <f>'REVIEW - Complete Role Mapping'!$AK$193</f>
        <v>Filled</v>
      </c>
      <c r="G19" s="1488" t="n"/>
      <c r="H19" s="1360" t="n"/>
      <c r="I19" s="1489" t="n"/>
      <c r="J19" s="1497" t="n"/>
      <c r="K19" s="1314" t="n"/>
      <c r="L19" s="1314" t="n"/>
      <c r="M19" s="865" t="n"/>
      <c r="N19" s="865" t="n"/>
      <c r="O19" s="865" t="n"/>
      <c r="P19" s="865" t="n"/>
      <c r="Q19" s="865" t="n"/>
      <c r="R19" s="865" t="n"/>
      <c r="S19" s="865" t="n"/>
      <c r="T19" s="1500">
        <f>('REVIEW - Complete Role Mapping'!$AA$193/1000000)</f>
        <v>0.189974796</v>
      </c>
    </row>
    <row r="20" ht="14.25" customHeight="1" s="866">
      <c r="B20" s="1369" t="str">
        <f>'REVIEW - Complete Role Mapping'!$B$194</f>
        <v>Belinda Hoskens</v>
      </c>
      <c r="C20" s="1498" t="str">
        <f>'REVIEW - Complete Role Mapping'!$C$194</f>
        <v>Technology Support Engineer</v>
      </c>
      <c r="D20" s="1369" t="str">
        <f>'REVIEW - Complete Role Mapping'!$G$194</f>
        <v>Service Op &amp; Assurance</v>
      </c>
      <c r="E20" s="1369" t="str">
        <f>'REVIEW - Complete Role Mapping'!$M$194</f>
        <v>Australia</v>
      </c>
      <c r="F20" s="1499" t="str">
        <f>'REVIEW - Complete Role Mapping'!$AK$194</f>
        <v>Filled</v>
      </c>
      <c r="G20" s="1488" t="n"/>
      <c r="H20" s="1360" t="n"/>
      <c r="I20" s="1489" t="n"/>
      <c r="J20" s="1497" t="n"/>
      <c r="K20" s="1314" t="n"/>
      <c r="L20" s="1314" t="n"/>
      <c r="M20" s="865" t="n"/>
      <c r="N20" s="865" t="n"/>
      <c r="O20" s="865" t="n"/>
      <c r="P20" s="865" t="n"/>
      <c r="Q20" s="865" t="n"/>
      <c r="R20" s="865" t="n"/>
      <c r="S20" s="865" t="n"/>
      <c r="T20" s="1500">
        <f>('REVIEW - Complete Role Mapping'!$AA$194/1000000)</f>
        <v>0.1621395</v>
      </c>
    </row>
    <row r="21" ht="14.25" customHeight="1" s="866">
      <c r="B21" s="1369" t="str">
        <f>'REVIEW - Complete Role Mapping'!$B$195</f>
        <v>Brian Gates</v>
      </c>
      <c r="C21" s="1498" t="str">
        <f>'REVIEW - Complete Role Mapping'!$C$195</f>
        <v>Manager Risk &amp; Resilience</v>
      </c>
      <c r="D21" s="1369" t="str">
        <f>'REVIEW - Complete Role Mapping'!$G$195</f>
        <v>Cyber Risk</v>
      </c>
      <c r="E21" s="1369" t="str">
        <f>'REVIEW - Complete Role Mapping'!$M$195</f>
        <v>Australia</v>
      </c>
      <c r="F21" s="1499" t="str">
        <f>'REVIEW - Complete Role Mapping'!$AK$195</f>
        <v>Filled</v>
      </c>
      <c r="G21" s="1488" t="n"/>
      <c r="H21" s="1360" t="n"/>
      <c r="I21" s="1489" t="n"/>
      <c r="J21" s="1497" t="n"/>
      <c r="K21" s="1314" t="n"/>
      <c r="L21" s="1314" t="n"/>
      <c r="M21" s="865" t="n"/>
      <c r="N21" s="865" t="n"/>
      <c r="O21" s="865" t="n"/>
      <c r="P21" s="865" t="n"/>
      <c r="Q21" s="865" t="n"/>
      <c r="R21" s="865" t="n"/>
      <c r="S21" s="865" t="n"/>
      <c r="T21" s="1500">
        <f>('REVIEW - Complete Role Mapping'!$AA$195/1000000)</f>
        <v>0.2870432</v>
      </c>
    </row>
    <row r="22" ht="14.25" customHeight="1" s="866">
      <c r="B22" s="1369" t="str">
        <f>'REVIEW - Complete Role Mapping'!$B$196</f>
        <v>Cameron Watman</v>
      </c>
      <c r="C22" s="1498" t="str">
        <f>'REVIEW - Complete Role Mapping'!$C$196</f>
        <v>Engineer - IDAM</v>
      </c>
      <c r="D22" s="1369" t="str">
        <f>'REVIEW - Complete Role Mapping'!$G$196</f>
        <v>Cyber Strat &amp; Tech</v>
      </c>
      <c r="E22" s="1369" t="str">
        <f>'REVIEW - Complete Role Mapping'!$M$196</f>
        <v>Australia</v>
      </c>
      <c r="F22" s="1499" t="str">
        <f>'REVIEW - Complete Role Mapping'!$AK$196</f>
        <v>Filled</v>
      </c>
      <c r="G22" s="1488" t="n"/>
      <c r="H22" s="1360" t="n"/>
      <c r="I22" s="1489" t="n"/>
      <c r="J22" s="1497" t="n"/>
      <c r="K22" s="1314" t="n"/>
      <c r="L22" s="1314" t="n"/>
      <c r="M22" s="865" t="n"/>
      <c r="N22" s="865" t="n"/>
      <c r="O22" s="865" t="n"/>
      <c r="P22" s="865" t="n"/>
      <c r="Q22" s="865" t="n"/>
      <c r="R22" s="865" t="n"/>
      <c r="S22" s="865" t="n"/>
      <c r="T22" s="1500">
        <f>('REVIEW - Complete Role Mapping'!$AA$196/1000000)</f>
        <v>0.1731329</v>
      </c>
    </row>
    <row r="23" ht="14.25" customHeight="1" s="866">
      <c r="B23" s="1369" t="str">
        <f>'REVIEW - Complete Role Mapping'!$B$197</f>
        <v>Catherine Gire</v>
      </c>
      <c r="C23" s="1498" t="str">
        <f>'REVIEW - Complete Role Mapping'!$C$197</f>
        <v>Cyber Technical Business Analyst</v>
      </c>
      <c r="D23" s="1369" t="str">
        <f>'REVIEW - Complete Role Mapping'!$G$197</f>
        <v>Cyber Strat &amp; Tech</v>
      </c>
      <c r="E23" s="1369" t="str">
        <f>'REVIEW - Complete Role Mapping'!$M$197</f>
        <v>Australia</v>
      </c>
      <c r="F23" s="1499" t="str">
        <f>'REVIEW - Complete Role Mapping'!$AK$197</f>
        <v>Filled</v>
      </c>
      <c r="G23" s="1488" t="n"/>
      <c r="H23" s="1360" t="n"/>
      <c r="I23" s="1489" t="n"/>
      <c r="J23" s="1497" t="n"/>
      <c r="K23" s="1314" t="n"/>
      <c r="L23" s="1314" t="n"/>
      <c r="M23" s="865" t="n"/>
      <c r="N23" s="865" t="n"/>
      <c r="O23" s="865" t="n"/>
      <c r="P23" s="865" t="n"/>
      <c r="Q23" s="865" t="n"/>
      <c r="R23" s="865" t="n"/>
      <c r="S23" s="865" t="n"/>
      <c r="T23" s="1500">
        <f>('REVIEW - Complete Role Mapping'!$AA$197/1000000)</f>
        <v>0.2271636</v>
      </c>
    </row>
    <row r="24" ht="14.25" customHeight="1" s="866">
      <c r="B24" s="1369" t="str">
        <f>'REVIEW - Complete Role Mapping'!$B$198</f>
        <v>Chris Lyons</v>
      </c>
      <c r="C24" s="1498" t="str">
        <f>'REVIEW - Complete Role Mapping'!$C$198</f>
        <v>Cyber Security Architect</v>
      </c>
      <c r="D24" s="1369" t="str">
        <f>'REVIEW - Complete Role Mapping'!$G$198</f>
        <v>Cyber Strat &amp; Tech</v>
      </c>
      <c r="E24" s="1369" t="str">
        <f>'REVIEW - Complete Role Mapping'!$M$198</f>
        <v>Australia</v>
      </c>
      <c r="F24" s="1499" t="str">
        <f>'REVIEW - Complete Role Mapping'!$AK$198</f>
        <v>Filled</v>
      </c>
      <c r="G24" s="1488" t="n"/>
      <c r="H24" s="1360" t="n"/>
      <c r="I24" s="1489" t="n"/>
      <c r="J24" s="1497" t="n"/>
      <c r="K24" s="1314" t="n"/>
      <c r="L24" s="1314" t="n"/>
      <c r="M24" s="865" t="n"/>
      <c r="N24" s="865" t="n"/>
      <c r="O24" s="865" t="n"/>
      <c r="P24" s="865" t="n"/>
      <c r="Q24" s="865" t="n"/>
      <c r="R24" s="865" t="n"/>
      <c r="S24" s="865" t="n"/>
      <c r="T24" s="1500">
        <f>('REVIEW - Complete Role Mapping'!$AA$198/1000000)</f>
        <v>0.28335375</v>
      </c>
    </row>
    <row r="25" ht="14.25" customHeight="1" s="866">
      <c r="B25" s="1369" t="str">
        <f>'REVIEW - Complete Role Mapping'!$B$199</f>
        <v>Chris Rojas</v>
      </c>
      <c r="C25" s="1498" t="str">
        <f>'REVIEW - Complete Role Mapping'!$C$199</f>
        <v>Manager, Customer Support Operations</v>
      </c>
      <c r="D25" s="1369" t="str">
        <f>'REVIEW - Complete Role Mapping'!$G$199</f>
        <v>Service Op &amp; Assurance</v>
      </c>
      <c r="E25" s="1369" t="str">
        <f>'REVIEW - Complete Role Mapping'!$M$199</f>
        <v>Australia</v>
      </c>
      <c r="F25" s="1499" t="str">
        <f>'REVIEW - Complete Role Mapping'!$AK$199</f>
        <v>Filled</v>
      </c>
      <c r="G25" s="1488" t="n"/>
      <c r="H25" s="1360" t="n"/>
      <c r="I25" s="1489" t="n"/>
      <c r="J25" s="1497" t="n"/>
      <c r="K25" s="1314" t="n"/>
      <c r="L25" s="1314" t="n"/>
      <c r="M25" s="865" t="n"/>
      <c r="N25" s="865" t="n"/>
      <c r="O25" s="865" t="n"/>
      <c r="P25" s="865" t="n"/>
      <c r="Q25" s="865" t="n"/>
      <c r="R25" s="865" t="n"/>
      <c r="S25" s="865" t="n"/>
      <c r="T25" s="1500">
        <f>('REVIEW - Complete Role Mapping'!$AA$199/1000000)</f>
        <v>0.24330375</v>
      </c>
    </row>
    <row r="26" ht="14.25" customHeight="1" s="866">
      <c r="B26" s="1369" t="str">
        <f>'REVIEW - Complete Role Mapping'!$B$200</f>
        <v>Dan Balsamo</v>
      </c>
      <c r="C26" s="1498" t="str">
        <f>'REVIEW - Complete Role Mapping'!$C$200</f>
        <v>Senior Cyber Project Manager</v>
      </c>
      <c r="D26" s="1369" t="str">
        <f>'REVIEW - Complete Role Mapping'!$G$200</f>
        <v>Cyber Strat &amp; Tech</v>
      </c>
      <c r="E26" s="1369" t="str">
        <f>'REVIEW - Complete Role Mapping'!$M$200</f>
        <v>Australia</v>
      </c>
      <c r="F26" s="1499" t="str">
        <f>'REVIEW - Complete Role Mapping'!$AK$200</f>
        <v>Filled</v>
      </c>
      <c r="G26" s="1488" t="n"/>
      <c r="H26" s="1360" t="n"/>
      <c r="I26" s="1489" t="n"/>
      <c r="J26" s="1497" t="n"/>
      <c r="K26" s="1314" t="n"/>
      <c r="L26" s="1314" t="n"/>
      <c r="M26" s="865" t="n"/>
      <c r="N26" s="865" t="n"/>
      <c r="O26" s="865" t="n"/>
      <c r="P26" s="865" t="n"/>
      <c r="Q26" s="865" t="n"/>
      <c r="R26" s="865" t="n"/>
      <c r="S26" s="865" t="n"/>
      <c r="T26" s="1500">
        <f>('REVIEW - Complete Role Mapping'!$AA$200/1000000)</f>
        <v>0.25857615</v>
      </c>
    </row>
    <row r="27" ht="14.25" customHeight="1" s="866">
      <c r="B27" s="1369" t="str">
        <f>'REVIEW - Complete Role Mapping'!$B$201</f>
        <v>Daniel Jolley</v>
      </c>
      <c r="C27" s="1498" t="str">
        <f>'REVIEW - Complete Role Mapping'!$C$201</f>
        <v>Tech Support Technician</v>
      </c>
      <c r="D27" s="1369" t="str">
        <f>'REVIEW - Complete Role Mapping'!$G$201</f>
        <v>Service Op &amp; Assurance</v>
      </c>
      <c r="E27" s="1369" t="str">
        <f>'REVIEW - Complete Role Mapping'!$M$201</f>
        <v>Australia</v>
      </c>
      <c r="F27" s="1499" t="str">
        <f>'REVIEW - Complete Role Mapping'!$AK$201</f>
        <v>Filled</v>
      </c>
      <c r="G27" s="1488" t="n"/>
      <c r="H27" s="1360" t="n"/>
      <c r="I27" s="1489" t="n"/>
      <c r="J27" s="1497" t="n"/>
      <c r="K27" s="1314" t="n"/>
      <c r="L27" s="1314" t="n"/>
      <c r="M27" s="865" t="n"/>
      <c r="N27" s="865" t="n"/>
      <c r="O27" s="865" t="n"/>
      <c r="P27" s="865" t="n"/>
      <c r="Q27" s="865" t="n"/>
      <c r="R27" s="865" t="n"/>
      <c r="S27" s="865" t="n"/>
      <c r="T27" s="1500">
        <f>('REVIEW - Complete Role Mapping'!$AA$201/1000000)</f>
        <v>0.1158515</v>
      </c>
    </row>
    <row r="28" ht="28.5" customHeight="1" s="866">
      <c r="B28" s="1369" t="str">
        <f>'REVIEW - Complete Role Mapping'!$B$202</f>
        <v>Darren Koller</v>
      </c>
      <c r="C28" s="1498" t="str">
        <f>'REVIEW - Complete Role Mapping'!$C$202</f>
        <v>Manager, Service Management &amp; Major Incident Mgmt Lead</v>
      </c>
      <c r="D28" s="1369" t="str">
        <f>'REVIEW - Complete Role Mapping'!$G$202</f>
        <v>Service Op &amp; Assurance</v>
      </c>
      <c r="E28" s="1369" t="str">
        <f>'REVIEW - Complete Role Mapping'!$M$202</f>
        <v>Australia</v>
      </c>
      <c r="F28" s="1499" t="str">
        <f>'REVIEW - Complete Role Mapping'!$AK$202</f>
        <v>Filled</v>
      </c>
      <c r="G28" s="1488" t="n"/>
      <c r="H28" s="1360" t="n"/>
      <c r="I28" s="1489" t="n"/>
      <c r="J28" s="1497" t="n"/>
      <c r="K28" s="1314" t="n"/>
      <c r="L28" s="1314" t="n"/>
      <c r="M28" s="865" t="n"/>
      <c r="N28" s="865" t="n"/>
      <c r="O28" s="865" t="n"/>
      <c r="P28" s="865" t="n"/>
      <c r="Q28" s="865" t="n"/>
      <c r="R28" s="865" t="n"/>
      <c r="S28" s="865" t="n"/>
      <c r="T28" s="1500">
        <f>('REVIEW - Complete Role Mapping'!$AA$202/1000000)</f>
        <v>0.27494325</v>
      </c>
    </row>
    <row r="29" ht="14.25" customHeight="1" s="866">
      <c r="B29" s="1369" t="str">
        <f>'REVIEW - Complete Role Mapping'!$B$203</f>
        <v>Darshan Suvama</v>
      </c>
      <c r="C29" s="1498" t="str">
        <f>'REVIEW - Complete Role Mapping'!$C$203</f>
        <v>Cyber Offensive Security Lead</v>
      </c>
      <c r="D29" s="1369" t="str">
        <f>'REVIEW - Complete Role Mapping'!$G$203</f>
        <v>Cyber Strat &amp; Tech</v>
      </c>
      <c r="E29" s="1369" t="str">
        <f>'REVIEW - Complete Role Mapping'!$M$203</f>
        <v>Australia</v>
      </c>
      <c r="F29" s="1499" t="str">
        <f>'REVIEW - Complete Role Mapping'!$AK$203</f>
        <v>Filled</v>
      </c>
      <c r="G29" s="1488" t="n"/>
      <c r="H29" s="1360" t="n"/>
      <c r="I29" s="1489" t="n"/>
      <c r="J29" s="1497" t="n"/>
      <c r="K29" s="1314" t="n"/>
      <c r="L29" s="1314" t="n"/>
      <c r="M29" s="865" t="n"/>
      <c r="N29" s="865" t="n"/>
      <c r="O29" s="865" t="n"/>
      <c r="P29" s="865" t="n"/>
      <c r="Q29" s="865" t="n"/>
      <c r="R29" s="865" t="n"/>
      <c r="S29" s="865" t="n"/>
      <c r="T29" s="1500">
        <f>('REVIEW - Complete Role Mapping'!$AA$203/1000000)</f>
        <v>0.2853429</v>
      </c>
    </row>
    <row r="30" ht="14.25" customHeight="1" s="866">
      <c r="B30" s="1369" t="str">
        <f>'REVIEW - Complete Role Mapping'!$B$204</f>
        <v>Diya Thomas</v>
      </c>
      <c r="C30" s="1498" t="str">
        <f>'REVIEW - Complete Role Mapping'!$C$204</f>
        <v>Manager Cyber Security GRC</v>
      </c>
      <c r="D30" s="1369" t="str">
        <f>'REVIEW - Complete Role Mapping'!$G$204</f>
        <v>Cyber GRC</v>
      </c>
      <c r="E30" s="1369" t="str">
        <f>'REVIEW - Complete Role Mapping'!$M$204</f>
        <v>Australia</v>
      </c>
      <c r="F30" s="1499" t="str">
        <f>'REVIEW - Complete Role Mapping'!$AK$204</f>
        <v>Filled</v>
      </c>
      <c r="G30" s="1488" t="n"/>
      <c r="H30" s="1360" t="n"/>
      <c r="I30" s="1489" t="n"/>
      <c r="J30" s="1497" t="n"/>
      <c r="K30" s="1314" t="n"/>
      <c r="L30" s="1314" t="n"/>
      <c r="M30" s="865" t="n"/>
      <c r="N30" s="865" t="n"/>
      <c r="O30" s="865" t="n"/>
      <c r="P30" s="865" t="n"/>
      <c r="Q30" s="865" t="n"/>
      <c r="R30" s="865" t="n"/>
      <c r="S30" s="865" t="n"/>
      <c r="T30" s="1500">
        <f>('REVIEW - Complete Role Mapping'!$AA$204/1000000)</f>
        <v>0.2870432</v>
      </c>
    </row>
    <row r="31" ht="14.25" customHeight="1" s="866">
      <c r="B31" s="1369" t="str">
        <f>'REVIEW - Complete Role Mapping'!$B$205</f>
        <v>Ethan Lamhert (FT)</v>
      </c>
      <c r="C31" s="1498" t="str">
        <f>'REVIEW - Complete Role Mapping'!$C$205</f>
        <v>Tech Support Technician</v>
      </c>
      <c r="D31" s="1369" t="str">
        <f>'REVIEW - Complete Role Mapping'!$G$205</f>
        <v>Service Op &amp; Assurance</v>
      </c>
      <c r="E31" s="1369" t="str">
        <f>'REVIEW - Complete Role Mapping'!$M$205</f>
        <v>NZ</v>
      </c>
      <c r="F31" s="1499" t="str">
        <f>'REVIEW - Complete Role Mapping'!$AK$205</f>
        <v>Filled</v>
      </c>
      <c r="G31" s="1488" t="n"/>
      <c r="H31" s="1360" t="n"/>
      <c r="I31" s="1489" t="n"/>
      <c r="J31" s="1497" t="n"/>
      <c r="K31" s="1314" t="n"/>
      <c r="L31" s="1314" t="n"/>
      <c r="M31" s="865" t="n"/>
      <c r="N31" s="865" t="n"/>
      <c r="O31" s="865" t="n"/>
      <c r="P31" s="865" t="n"/>
      <c r="Q31" s="865" t="n"/>
      <c r="R31" s="865" t="n"/>
      <c r="S31" s="865" t="n"/>
      <c r="T31" s="1500">
        <f>('REVIEW - Complete Role Mapping'!$AA$205/1000000)</f>
        <v>0.089758</v>
      </c>
    </row>
    <row r="32" ht="14.25" customHeight="1" s="866">
      <c r="B32" s="1369" t="str">
        <f>'REVIEW - Complete Role Mapping'!$B$206</f>
        <v>Iwan Wibisono</v>
      </c>
      <c r="C32" s="1498" t="str">
        <f>'REVIEW - Complete Role Mapping'!$C$206</f>
        <v>Engineer - IDAM</v>
      </c>
      <c r="D32" s="1369" t="str">
        <f>'REVIEW - Complete Role Mapping'!$G$206</f>
        <v>Cyber Strat &amp; Tech</v>
      </c>
      <c r="E32" s="1369" t="str">
        <f>'REVIEW - Complete Role Mapping'!$M$206</f>
        <v>Australia</v>
      </c>
      <c r="F32" s="1499" t="str">
        <f>'REVIEW - Complete Role Mapping'!$AK$206</f>
        <v>Filled</v>
      </c>
      <c r="G32" s="1488" t="n"/>
      <c r="H32" s="1360" t="n"/>
      <c r="I32" s="1489" t="n"/>
      <c r="J32" s="1497" t="n"/>
      <c r="K32" s="1314" t="n"/>
      <c r="L32" s="1314" t="n"/>
      <c r="M32" s="865" t="n"/>
      <c r="N32" s="865" t="n"/>
      <c r="O32" s="865" t="n"/>
      <c r="P32" s="865" t="n"/>
      <c r="Q32" s="865" t="n"/>
      <c r="R32" s="865" t="n"/>
      <c r="S32" s="865" t="n"/>
      <c r="T32" s="1500">
        <f>('REVIEW - Complete Role Mapping'!$AA$206/1000000)</f>
        <v>0.2156826</v>
      </c>
    </row>
    <row r="33" ht="14.25" customHeight="1" s="866">
      <c r="B33" s="1369" t="str">
        <f>'REVIEW - Complete Role Mapping'!$B$207</f>
        <v>Jack Jenkins</v>
      </c>
      <c r="C33" s="1498" t="str">
        <f>'REVIEW - Complete Role Mapping'!$C$207</f>
        <v>Asset Analyst</v>
      </c>
      <c r="D33" s="1369" t="str">
        <f>'REVIEW - Complete Role Mapping'!$G$207</f>
        <v>Service Op &amp; Assurance</v>
      </c>
      <c r="E33" s="1369" t="str">
        <f>'REVIEW - Complete Role Mapping'!$M$207</f>
        <v>Australia</v>
      </c>
      <c r="F33" s="1499" t="str">
        <f>'REVIEW - Complete Role Mapping'!$AK$207</f>
        <v>Filled</v>
      </c>
      <c r="G33" s="1488" t="n"/>
      <c r="H33" s="1360" t="n"/>
      <c r="I33" s="1489" t="n"/>
      <c r="J33" s="1497" t="n"/>
      <c r="K33" s="1314" t="n"/>
      <c r="L33" s="1314" t="n"/>
      <c r="M33" s="865" t="n"/>
      <c r="N33" s="865" t="n"/>
      <c r="O33" s="865" t="n"/>
      <c r="P33" s="865" t="n"/>
      <c r="Q33" s="865" t="n"/>
      <c r="R33" s="865" t="n"/>
      <c r="S33" s="865" t="n"/>
      <c r="T33" s="1500">
        <f>('REVIEW - Complete Role Mapping'!$AA$207/1000000)</f>
        <v>0.13900865</v>
      </c>
    </row>
    <row r="34" ht="14.25" customHeight="1" s="866">
      <c r="B34" s="1369" t="str">
        <f>'REVIEW - Complete Role Mapping'!$B$208</f>
        <v>James Byrne</v>
      </c>
      <c r="C34" s="1498" t="str">
        <f>'REVIEW - Complete Role Mapping'!$C$208</f>
        <v>Head of Cyber Strategy &amp; Technology</v>
      </c>
      <c r="D34" s="1369" t="str">
        <f>'REVIEW - Complete Role Mapping'!$G$208</f>
        <v>Cyber Strat &amp; Tech</v>
      </c>
      <c r="E34" s="1369" t="str">
        <f>'REVIEW - Complete Role Mapping'!$M$208</f>
        <v>Australia</v>
      </c>
      <c r="F34" s="1499" t="str">
        <f>'REVIEW - Complete Role Mapping'!$AK$208</f>
        <v>Filled</v>
      </c>
      <c r="G34" s="1488" t="n"/>
      <c r="H34" s="1360" t="n"/>
      <c r="I34" s="1489" t="n"/>
      <c r="J34" s="1497" t="n"/>
      <c r="K34" s="1314" t="n"/>
      <c r="L34" s="1314" t="n"/>
      <c r="M34" s="865" t="n"/>
      <c r="N34" s="865" t="n"/>
      <c r="O34" s="865" t="n"/>
      <c r="P34" s="865" t="n"/>
      <c r="Q34" s="865" t="n"/>
      <c r="R34" s="865" t="n"/>
      <c r="S34" s="865" t="n"/>
      <c r="T34" s="1500">
        <f>('REVIEW - Complete Role Mapping'!$AA$208/1000000)</f>
        <v>0.3825877</v>
      </c>
    </row>
    <row r="35" ht="14.25" customHeight="1" s="866">
      <c r="B35" s="1369" t="str">
        <f>'REVIEW - Complete Role Mapping'!$B$209</f>
        <v>Jas Mann</v>
      </c>
      <c r="C35" s="1498" t="str">
        <f>'REVIEW - Complete Role Mapping'!$C$209</f>
        <v>Technology Support Engineer</v>
      </c>
      <c r="D35" s="1369" t="str">
        <f>'REVIEW - Complete Role Mapping'!$G$209</f>
        <v>Service Op &amp; Assurance</v>
      </c>
      <c r="E35" s="1369" t="str">
        <f>'REVIEW - Complete Role Mapping'!$M$209</f>
        <v>Australia</v>
      </c>
      <c r="F35" s="1499" t="str">
        <f>'REVIEW - Complete Role Mapping'!$AK$209</f>
        <v>Filled</v>
      </c>
      <c r="G35" s="1488" t="n"/>
      <c r="H35" s="1360" t="n"/>
      <c r="I35" s="1489" t="n"/>
      <c r="J35" s="1497" t="n"/>
      <c r="K35" s="1314" t="n"/>
      <c r="L35" s="1314" t="n"/>
      <c r="M35" s="865" t="n"/>
      <c r="N35" s="865" t="n"/>
      <c r="O35" s="865" t="n"/>
      <c r="P35" s="865" t="n"/>
      <c r="Q35" s="865" t="n"/>
      <c r="R35" s="865" t="n"/>
      <c r="S35" s="865" t="n"/>
      <c r="T35" s="1500">
        <f>('REVIEW - Complete Role Mapping'!$AA$209/1000000)</f>
        <v>0.1468855</v>
      </c>
    </row>
    <row r="36" ht="14.25" customHeight="1" s="866">
      <c r="B36" s="1369" t="str">
        <f>'REVIEW - Complete Role Mapping'!$B$210</f>
        <v>Joe Nahma</v>
      </c>
      <c r="C36" s="1498" t="str">
        <f>'REVIEW - Complete Role Mapping'!$C$210</f>
        <v>Manager Identity &amp; Access Management</v>
      </c>
      <c r="D36" s="1369" t="str">
        <f>'REVIEW - Complete Role Mapping'!$G$210</f>
        <v>Cyber Strat &amp; Tech</v>
      </c>
      <c r="E36" s="1369" t="str">
        <f>'REVIEW - Complete Role Mapping'!$M$210</f>
        <v>Australia</v>
      </c>
      <c r="F36" s="1499" t="str">
        <f>'REVIEW - Complete Role Mapping'!$AK$210</f>
        <v>Filled</v>
      </c>
      <c r="G36" s="1488" t="n"/>
      <c r="H36" s="1360" t="n"/>
      <c r="I36" s="1489" t="n"/>
      <c r="J36" s="1497" t="n"/>
      <c r="K36" s="1314" t="n"/>
      <c r="L36" s="1314" t="n"/>
      <c r="M36" s="865" t="n"/>
      <c r="N36" s="865" t="n"/>
      <c r="O36" s="865" t="n"/>
      <c r="P36" s="865" t="n"/>
      <c r="Q36" s="865" t="n"/>
      <c r="R36" s="865" t="n"/>
      <c r="S36" s="865" t="n"/>
      <c r="T36" s="1500">
        <f>('REVIEW - Complete Role Mapping'!$AA$210/1000000)</f>
        <v>0.25870965</v>
      </c>
    </row>
    <row r="37" ht="14.25" customHeight="1" s="866">
      <c r="B37" s="1369" t="str">
        <f>'REVIEW - Complete Role Mapping'!$B$211</f>
        <v>Kaaviya Salai Manimudian</v>
      </c>
      <c r="C37" s="1498" t="str">
        <f>'REVIEW - Complete Role Mapping'!$C$211</f>
        <v>Graduate</v>
      </c>
      <c r="D37" s="1369" t="str">
        <f>'REVIEW - Complete Role Mapping'!$G$211</f>
        <v>Service Op &amp; Assurance</v>
      </c>
      <c r="E37" s="1369" t="str">
        <f>'REVIEW - Complete Role Mapping'!$M$211</f>
        <v>Australia</v>
      </c>
      <c r="F37" s="1499" t="str">
        <f>'REVIEW - Complete Role Mapping'!$AK$211</f>
        <v>Filled</v>
      </c>
      <c r="G37" s="1488" t="n"/>
      <c r="H37" s="1360" t="n"/>
      <c r="I37" s="1489" t="n"/>
      <c r="J37" s="1497" t="n"/>
      <c r="K37" s="1314" t="n"/>
      <c r="L37" s="1314" t="n"/>
      <c r="M37" s="865" t="n"/>
      <c r="N37" s="865" t="n"/>
      <c r="O37" s="865" t="n"/>
      <c r="P37" s="865" t="n"/>
      <c r="Q37" s="865" t="n"/>
      <c r="R37" s="865" t="n"/>
      <c r="S37" s="865" t="n"/>
      <c r="T37" s="1500">
        <f>('REVIEW - Complete Role Mapping'!$AA$211/1000000)</f>
        <v>0.110075</v>
      </c>
    </row>
    <row r="38" ht="14.25" customHeight="1" s="866">
      <c r="B38" s="1369" t="str">
        <f>'REVIEW - Complete Role Mapping'!$B$212</f>
        <v>Kevin Sheerin</v>
      </c>
      <c r="C38" s="1498" t="str">
        <f>'REVIEW - Complete Role Mapping'!$C$212</f>
        <v>Cyber Architecture Lead</v>
      </c>
      <c r="D38" s="1369" t="str">
        <f>'REVIEW - Complete Role Mapping'!$G$212</f>
        <v>Cyber Strat &amp; Tech</v>
      </c>
      <c r="E38" s="1369" t="str">
        <f>'REVIEW - Complete Role Mapping'!$M$212</f>
        <v>Australia</v>
      </c>
      <c r="F38" s="1499" t="str">
        <f>'REVIEW - Complete Role Mapping'!$AK$212</f>
        <v>Filled</v>
      </c>
      <c r="G38" s="1488" t="n"/>
      <c r="H38" s="1360" t="n"/>
      <c r="I38" s="1489" t="n"/>
      <c r="J38" s="1497" t="n"/>
      <c r="K38" s="1314" t="n"/>
      <c r="L38" s="1314" t="n"/>
      <c r="M38" s="865" t="n"/>
      <c r="N38" s="865" t="n"/>
      <c r="O38" s="865" t="n"/>
      <c r="P38" s="865" t="n"/>
      <c r="Q38" s="865" t="n"/>
      <c r="R38" s="865" t="n"/>
      <c r="S38" s="865" t="n"/>
      <c r="T38" s="1500">
        <f>('REVIEW - Complete Role Mapping'!$AA$212/1000000)</f>
        <v>0.28498245</v>
      </c>
    </row>
    <row r="39" ht="14.25" customHeight="1" s="866">
      <c r="B39" s="1369" t="str">
        <f>'REVIEW - Complete Role Mapping'!$B$213</f>
        <v>Lisa Ng</v>
      </c>
      <c r="C39" s="1498" t="str">
        <f>'REVIEW - Complete Role Mapping'!$C$213</f>
        <v>Cyber Security Analyst</v>
      </c>
      <c r="D39" s="1369" t="str">
        <f>'REVIEW - Complete Role Mapping'!$G$213</f>
        <v>Cyber Sec Ops</v>
      </c>
      <c r="E39" s="1369" t="str">
        <f>'REVIEW - Complete Role Mapping'!$M$213</f>
        <v>NZ</v>
      </c>
      <c r="F39" s="1499" t="str">
        <f>'REVIEW - Complete Role Mapping'!$AK$213</f>
        <v>Filled</v>
      </c>
      <c r="G39" s="1488" t="n"/>
      <c r="H39" s="1360" t="n"/>
      <c r="I39" s="1489" t="n"/>
      <c r="J39" s="1497" t="n"/>
      <c r="K39" s="1314" t="n"/>
      <c r="L39" s="1314" t="n"/>
      <c r="M39" s="865" t="n"/>
      <c r="N39" s="865" t="n"/>
      <c r="O39" s="865" t="n"/>
      <c r="P39" s="865" t="n"/>
      <c r="Q39" s="865" t="n"/>
      <c r="R39" s="865" t="n"/>
      <c r="S39" s="865" t="n"/>
      <c r="T39" s="1500">
        <f>('REVIEW - Complete Role Mapping'!$AA$213/1000000)</f>
        <v>0.147800064</v>
      </c>
    </row>
    <row r="40" ht="14.25" customHeight="1" s="866">
      <c r="B40" s="1369" t="str">
        <f>'REVIEW - Complete Role Mapping'!$B$214</f>
        <v>Lynda Niewidok</v>
      </c>
      <c r="C40" s="1498" t="str">
        <f>'REVIEW - Complete Role Mapping'!$C$214</f>
        <v>Lead - Service Desk</v>
      </c>
      <c r="D40" s="1369" t="str">
        <f>'REVIEW - Complete Role Mapping'!$G$214</f>
        <v>Service Op &amp; Assurance</v>
      </c>
      <c r="E40" s="1369" t="str">
        <f>'REVIEW - Complete Role Mapping'!$M$214</f>
        <v>Australia</v>
      </c>
      <c r="F40" s="1499" t="str">
        <f>'REVIEW - Complete Role Mapping'!$AK$214</f>
        <v>Filled</v>
      </c>
      <c r="G40" s="1488" t="n"/>
      <c r="H40" s="1360" t="n"/>
      <c r="I40" s="1489" t="n"/>
      <c r="J40" s="1497" t="n"/>
      <c r="K40" s="1314" t="n"/>
      <c r="L40" s="1314" t="n"/>
      <c r="M40" s="865" t="n"/>
      <c r="N40" s="865" t="n"/>
      <c r="O40" s="865" t="n"/>
      <c r="P40" s="865" t="n"/>
      <c r="Q40" s="865" t="n"/>
      <c r="R40" s="865" t="n"/>
      <c r="S40" s="865" t="n"/>
      <c r="T40" s="1500">
        <f>('REVIEW - Complete Role Mapping'!$AA$214/1000000)</f>
        <v>0.203988</v>
      </c>
    </row>
    <row r="41" ht="14.25" customHeight="1" s="866">
      <c r="B41" s="1369" t="str">
        <f>'REVIEW - Complete Role Mapping'!$B$215</f>
        <v>Mark Pearson</v>
      </c>
      <c r="C41" s="1498" t="str">
        <f>'REVIEW - Complete Role Mapping'!$C$215</f>
        <v>Lead - Technology Support</v>
      </c>
      <c r="D41" s="1369" t="str">
        <f>'REVIEW - Complete Role Mapping'!$G$215</f>
        <v>Service Op &amp; Assurance</v>
      </c>
      <c r="E41" s="1369" t="str">
        <f>'REVIEW - Complete Role Mapping'!$M$215</f>
        <v>Australia</v>
      </c>
      <c r="F41" s="1499" t="str">
        <f>'REVIEW - Complete Role Mapping'!$AK$215</f>
        <v>Filled</v>
      </c>
      <c r="G41" s="1488" t="n"/>
      <c r="H41" s="1360" t="n"/>
      <c r="I41" s="1489" t="n"/>
      <c r="J41" s="1497" t="n"/>
      <c r="K41" s="1314" t="n"/>
      <c r="L41" s="1314" t="n"/>
      <c r="M41" s="865" t="n"/>
      <c r="N41" s="865" t="n"/>
      <c r="O41" s="865" t="n"/>
      <c r="P41" s="865" t="n"/>
      <c r="Q41" s="865" t="n"/>
      <c r="R41" s="865" t="n"/>
      <c r="S41" s="865" t="n"/>
      <c r="T41" s="1500">
        <f>('REVIEW - Complete Role Mapping'!$AA$215/1000000)</f>
        <v>0.20384115</v>
      </c>
    </row>
    <row r="42" ht="14.25" customHeight="1" s="866">
      <c r="B42" s="1369" t="str">
        <f>'REVIEW - Complete Role Mapping'!$B$216</f>
        <v>Mary-Grace Rivera</v>
      </c>
      <c r="C42" s="1498" t="str">
        <f>'REVIEW - Complete Role Mapping'!$C$216</f>
        <v>Lead, Service Management</v>
      </c>
      <c r="D42" s="1369" t="str">
        <f>'REVIEW - Complete Role Mapping'!$G$216</f>
        <v>Service Op &amp; Assurance</v>
      </c>
      <c r="E42" s="1369" t="str">
        <f>'REVIEW - Complete Role Mapping'!$M$216</f>
        <v>Australia</v>
      </c>
      <c r="F42" s="1499" t="str">
        <f>'REVIEW - Complete Role Mapping'!$AK$216</f>
        <v>Filled</v>
      </c>
      <c r="G42" s="1488" t="n"/>
      <c r="H42" s="1360" t="n"/>
      <c r="I42" s="1489" t="n"/>
      <c r="J42" s="1497" t="n"/>
      <c r="K42" s="1314" t="n"/>
      <c r="L42" s="1314" t="n"/>
      <c r="M42" s="865" t="n"/>
      <c r="N42" s="865" t="n"/>
      <c r="O42" s="865" t="n"/>
      <c r="P42" s="865" t="n"/>
      <c r="Q42" s="865" t="n"/>
      <c r="R42" s="865" t="n"/>
      <c r="S42" s="865" t="n"/>
      <c r="T42" s="1500">
        <f>('REVIEW - Complete Role Mapping'!$AA$216/1000000)</f>
        <v>0.1809703</v>
      </c>
    </row>
    <row r="43" ht="14.25" customHeight="1" s="866">
      <c r="B43" s="1369" t="str">
        <f>'REVIEW - Complete Role Mapping'!$B$217</f>
        <v>Mick Collins</v>
      </c>
      <c r="C43" s="1498" t="str">
        <f>'REVIEW - Complete Role Mapping'!$C$217</f>
        <v>Manager, Service Performance &amp; Assurance</v>
      </c>
      <c r="D43" s="1369" t="str">
        <f>'REVIEW - Complete Role Mapping'!$G$217</f>
        <v>Service Op &amp; Assurance</v>
      </c>
      <c r="E43" s="1369" t="str">
        <f>'REVIEW - Complete Role Mapping'!$M$217</f>
        <v>Australia</v>
      </c>
      <c r="F43" s="1499" t="str">
        <f>'REVIEW - Complete Role Mapping'!$AK$217</f>
        <v>Filled</v>
      </c>
      <c r="G43" s="1488" t="n"/>
      <c r="H43" s="1360" t="n"/>
      <c r="I43" s="1489" t="n"/>
      <c r="J43" s="1497" t="n"/>
      <c r="K43" s="1314" t="n"/>
      <c r="L43" s="1314" t="n"/>
      <c r="M43" s="865" t="n"/>
      <c r="N43" s="865" t="n"/>
      <c r="O43" s="865" t="n"/>
      <c r="P43" s="865" t="n"/>
      <c r="Q43" s="865" t="n"/>
      <c r="R43" s="865" t="n"/>
      <c r="S43" s="865" t="n"/>
      <c r="T43" s="1500">
        <f>('REVIEW - Complete Role Mapping'!$AA$217/1000000)</f>
        <v>0.27207045</v>
      </c>
    </row>
    <row r="44" ht="14.25" customHeight="1" s="866">
      <c r="B44" s="1369" t="str">
        <f>'REVIEW - Complete Role Mapping'!$B$218</f>
        <v>Nischal Bhusal</v>
      </c>
      <c r="C44" s="1498" t="str">
        <f>'REVIEW - Complete Role Mapping'!$C$218</f>
        <v>Cyber Security Analyst</v>
      </c>
      <c r="D44" s="1369" t="str">
        <f>'REVIEW - Complete Role Mapping'!$G$218</f>
        <v>Cyber Sec Ops</v>
      </c>
      <c r="E44" s="1369" t="str">
        <f>'REVIEW - Complete Role Mapping'!$M$218</f>
        <v>Australia</v>
      </c>
      <c r="F44" s="1499" t="str">
        <f>'REVIEW - Complete Role Mapping'!$AK$218</f>
        <v>Filled</v>
      </c>
      <c r="G44" s="1488" t="n"/>
      <c r="H44" s="1360" t="n"/>
      <c r="I44" s="1489" t="n"/>
      <c r="J44" s="1497" t="n"/>
      <c r="K44" s="1314" t="n"/>
      <c r="L44" s="1314" t="n"/>
      <c r="M44" s="865" t="n"/>
      <c r="N44" s="865" t="n"/>
      <c r="O44" s="865" t="n"/>
      <c r="P44" s="865" t="n"/>
      <c r="Q44" s="865" t="n"/>
      <c r="R44" s="865" t="n"/>
      <c r="S44" s="865" t="n"/>
      <c r="T44" s="1500">
        <f>('REVIEW - Complete Role Mapping'!$AA$218/1000000)</f>
        <v>0.2156292</v>
      </c>
    </row>
    <row r="45" ht="14.25" customHeight="1" s="866">
      <c r="B45" s="1369" t="str">
        <f>'REVIEW - Complete Role Mapping'!$B$219</f>
        <v>Pooja Kuperkar</v>
      </c>
      <c r="C45" s="1498" t="str">
        <f>'REVIEW - Complete Role Mapping'!$C$219</f>
        <v>Cyber GRC Analyst</v>
      </c>
      <c r="D45" s="1369" t="str">
        <f>'REVIEW - Complete Role Mapping'!$G$219</f>
        <v>Cyber GRC</v>
      </c>
      <c r="E45" s="1369" t="str">
        <f>'REVIEW - Complete Role Mapping'!$M$219</f>
        <v>Australia</v>
      </c>
      <c r="F45" s="1499" t="str">
        <f>'REVIEW - Complete Role Mapping'!$AK$219</f>
        <v>Filled</v>
      </c>
      <c r="G45" s="1488" t="n"/>
      <c r="H45" s="1360" t="n"/>
      <c r="I45" s="1489" t="n"/>
      <c r="J45" s="1497" t="n"/>
      <c r="K45" s="1314" t="n"/>
      <c r="L45" s="1314" t="n"/>
      <c r="M45" s="865" t="n"/>
      <c r="N45" s="865" t="n"/>
      <c r="O45" s="865" t="n"/>
      <c r="P45" s="865" t="n"/>
      <c r="Q45" s="865" t="n"/>
      <c r="R45" s="865" t="n"/>
      <c r="S45" s="865" t="n"/>
      <c r="T45" s="1500">
        <f>('REVIEW - Complete Role Mapping'!$AA$219/1000000)</f>
        <v>0.20344065</v>
      </c>
    </row>
    <row r="46" ht="14.25" customHeight="1" s="866">
      <c r="B46" s="1369" t="str">
        <f>'REVIEW - Complete Role Mapping'!$B$220</f>
        <v>Prashanth Chandran</v>
      </c>
      <c r="C46" s="1498" t="str">
        <f>'REVIEW - Complete Role Mapping'!$C$220</f>
        <v>Senior Cyber GRC Specialist</v>
      </c>
      <c r="D46" s="1369" t="str">
        <f>'REVIEW - Complete Role Mapping'!$G$220</f>
        <v>Cyber GRC</v>
      </c>
      <c r="E46" s="1369" t="str">
        <f>'REVIEW - Complete Role Mapping'!$M$220</f>
        <v>Australia</v>
      </c>
      <c r="F46" s="1499" t="str">
        <f>'REVIEW - Complete Role Mapping'!$AK$220</f>
        <v>Filled</v>
      </c>
      <c r="G46" s="1488" t="n"/>
      <c r="H46" s="1360" t="n"/>
      <c r="I46" s="1489" t="n"/>
      <c r="J46" s="1497" t="n"/>
      <c r="K46" s="1314" t="n"/>
      <c r="L46" s="1314" t="n"/>
      <c r="M46" s="865" t="n"/>
      <c r="N46" s="865" t="n"/>
      <c r="O46" s="865" t="n"/>
      <c r="P46" s="865" t="n"/>
      <c r="Q46" s="865" t="n"/>
      <c r="R46" s="865" t="n"/>
      <c r="S46" s="865" t="n"/>
      <c r="T46" s="1500">
        <f>('REVIEW - Complete Role Mapping'!$AA$220/1000000)</f>
        <v>0.220275</v>
      </c>
    </row>
    <row r="47" ht="14.25" customHeight="1" s="866">
      <c r="B47" s="1369" t="str">
        <f>'REVIEW - Complete Role Mapping'!$B$221</f>
        <v>Rahul Sahni</v>
      </c>
      <c r="C47" s="1498" t="str">
        <f>'REVIEW - Complete Role Mapping'!$C$221</f>
        <v>Cyber Security Architect</v>
      </c>
      <c r="D47" s="1369" t="str">
        <f>'REVIEW - Complete Role Mapping'!$G$221</f>
        <v>Cyber Strat &amp; Tech</v>
      </c>
      <c r="E47" s="1369" t="str">
        <f>'REVIEW - Complete Role Mapping'!$M$221</f>
        <v>Australia</v>
      </c>
      <c r="F47" s="1499" t="str">
        <f>'REVIEW - Complete Role Mapping'!$AK$221</f>
        <v>Filled</v>
      </c>
      <c r="G47" s="1488" t="n"/>
      <c r="H47" s="1360" t="n"/>
      <c r="I47" s="1489" t="n"/>
      <c r="J47" s="1497" t="n"/>
      <c r="K47" s="1314" t="n"/>
      <c r="L47" s="1314" t="n"/>
      <c r="M47" s="865" t="n"/>
      <c r="N47" s="865" t="n"/>
      <c r="O47" s="865" t="n"/>
      <c r="P47" s="865" t="n"/>
      <c r="Q47" s="865" t="n"/>
      <c r="R47" s="865" t="n"/>
      <c r="S47" s="865" t="n"/>
      <c r="T47" s="1500">
        <f>('REVIEW - Complete Role Mapping'!$AA$221/1000000)</f>
        <v>0.2262825</v>
      </c>
    </row>
    <row r="48" ht="14.25" customHeight="1" s="866">
      <c r="B48" s="1369" t="str">
        <f>'REVIEW - Complete Role Mapping'!$B$222</f>
        <v>Rajini Onteddu Reddy</v>
      </c>
      <c r="C48" s="1498" t="str">
        <f>'REVIEW - Complete Role Mapping'!$C$222</f>
        <v>Head of Service Operations &amp; Assurance</v>
      </c>
      <c r="D48" s="1369" t="str">
        <f>'REVIEW - Complete Role Mapping'!$G$222</f>
        <v>Service Op &amp; Assurance</v>
      </c>
      <c r="E48" s="1369" t="str">
        <f>'REVIEW - Complete Role Mapping'!$M$222</f>
        <v>Australia</v>
      </c>
      <c r="F48" s="1499" t="str">
        <f>'REVIEW - Complete Role Mapping'!$AK$222</f>
        <v>Filled</v>
      </c>
      <c r="G48" s="1488" t="n"/>
      <c r="H48" s="1360" t="n"/>
      <c r="I48" s="1489" t="n"/>
      <c r="J48" s="1497" t="n"/>
      <c r="K48" s="1314" t="n"/>
      <c r="L48" s="1314" t="n"/>
      <c r="M48" s="865" t="n"/>
      <c r="N48" s="865" t="n"/>
      <c r="O48" s="865" t="n"/>
      <c r="P48" s="865" t="n"/>
      <c r="Q48" s="865" t="n"/>
      <c r="R48" s="865" t="n"/>
      <c r="S48" s="865" t="n"/>
      <c r="T48" s="1500">
        <f>('REVIEW - Complete Role Mapping'!$AA$222/1000000)</f>
        <v>0.4006714</v>
      </c>
    </row>
    <row r="49" ht="14.25" customHeight="1" s="866">
      <c r="B49" s="1369" t="str">
        <f>'REVIEW - Complete Role Mapping'!$B$223</f>
        <v>Raymond Cheung</v>
      </c>
      <c r="C49" s="1498" t="str">
        <f>'REVIEW - Complete Role Mapping'!$C$223</f>
        <v>Engineer - IDAM</v>
      </c>
      <c r="D49" s="1369" t="str">
        <f>'REVIEW - Complete Role Mapping'!$G$223</f>
        <v>Cyber Strat &amp; Tech</v>
      </c>
      <c r="E49" s="1369" t="str">
        <f>'REVIEW - Complete Role Mapping'!$M$223</f>
        <v>Australia</v>
      </c>
      <c r="F49" s="1499" t="str">
        <f>'REVIEW - Complete Role Mapping'!$AK$223</f>
        <v>Filled</v>
      </c>
      <c r="G49" s="1488" t="n"/>
      <c r="H49" s="1360" t="n"/>
      <c r="I49" s="1489" t="n"/>
      <c r="J49" s="1497" t="n"/>
      <c r="K49" s="1314" t="n"/>
      <c r="L49" s="1314" t="n"/>
      <c r="M49" s="865" t="n"/>
      <c r="N49" s="865" t="n"/>
      <c r="O49" s="865" t="n"/>
      <c r="P49" s="865" t="n"/>
      <c r="Q49" s="865" t="n"/>
      <c r="R49" s="865" t="n"/>
      <c r="S49" s="865" t="n"/>
      <c r="T49" s="1500">
        <f>('REVIEW - Complete Role Mapping'!$AA$223/1000000)</f>
        <v>0.190675</v>
      </c>
    </row>
    <row r="50" ht="14.25" customHeight="1" s="866">
      <c r="B50" s="1369" t="str">
        <f>'REVIEW - Complete Role Mapping'!$B$224</f>
        <v>Remya Pookat</v>
      </c>
      <c r="C50" s="1498" t="str">
        <f>'REVIEW - Complete Role Mapping'!$C$224</f>
        <v>Lead - Change &amp; Release Management</v>
      </c>
      <c r="D50" s="1369" t="str">
        <f>'REVIEW - Complete Role Mapping'!$G$224</f>
        <v>Service Op &amp; Assurance</v>
      </c>
      <c r="E50" s="1369" t="str">
        <f>'REVIEW - Complete Role Mapping'!$M$224</f>
        <v>Australia</v>
      </c>
      <c r="F50" s="1499" t="str">
        <f>'REVIEW - Complete Role Mapping'!$AK$224</f>
        <v>Filled</v>
      </c>
      <c r="G50" s="1488" t="n"/>
      <c r="H50" s="1360" t="n"/>
      <c r="I50" s="1489" t="n"/>
      <c r="J50" s="1497" t="n"/>
      <c r="K50" s="1314" t="n"/>
      <c r="L50" s="1314" t="n"/>
      <c r="M50" s="865" t="n"/>
      <c r="N50" s="865" t="n"/>
      <c r="O50" s="865" t="n"/>
      <c r="P50" s="865" t="n"/>
      <c r="Q50" s="865" t="n"/>
      <c r="R50" s="865" t="n"/>
      <c r="S50" s="865" t="n"/>
      <c r="T50" s="1500">
        <f>('REVIEW - Complete Role Mapping'!$AA$224/1000000)</f>
        <v>0.22087575</v>
      </c>
    </row>
    <row r="51" ht="14.25" customHeight="1" s="866">
      <c r="B51" s="1369" t="str">
        <f>'REVIEW - Complete Role Mapping'!$B$225</f>
        <v>Ritika Salaria</v>
      </c>
      <c r="C51" s="1498" t="str">
        <f>'REVIEW - Complete Role Mapping'!$C$225</f>
        <v>Configuration Analyst</v>
      </c>
      <c r="D51" s="1369" t="str">
        <f>'REVIEW - Complete Role Mapping'!$G$225</f>
        <v>Service Op &amp; Assurance</v>
      </c>
      <c r="E51" s="1369" t="str">
        <f>'REVIEW - Complete Role Mapping'!$M$225</f>
        <v>Australia</v>
      </c>
      <c r="F51" s="1499" t="str">
        <f>'REVIEW - Complete Role Mapping'!$AK$225</f>
        <v>Filled</v>
      </c>
      <c r="G51" s="1488" t="n"/>
      <c r="H51" s="1360" t="n"/>
      <c r="I51" s="1489" t="n"/>
      <c r="J51" s="1497" t="n"/>
      <c r="K51" s="1314" t="n"/>
      <c r="L51" s="1314" t="n"/>
      <c r="M51" s="865" t="n"/>
      <c r="N51" s="865" t="n"/>
      <c r="O51" s="865" t="n"/>
      <c r="P51" s="865" t="n"/>
      <c r="Q51" s="865" t="n"/>
      <c r="R51" s="865" t="n"/>
      <c r="S51" s="865" t="n"/>
      <c r="T51" s="1500">
        <f>('REVIEW - Complete Role Mapping'!$AA$225/1000000)</f>
        <v>0.1731066</v>
      </c>
    </row>
    <row r="52" ht="14.25" customHeight="1" s="866">
      <c r="B52" s="1369" t="str">
        <f>'REVIEW - Complete Role Mapping'!$B$226</f>
        <v>Sameer Pattanaik</v>
      </c>
      <c r="C52" s="1498" t="str">
        <f>'REVIEW - Complete Role Mapping'!$C$226</f>
        <v>Cyber Security Operations Lead</v>
      </c>
      <c r="D52" s="1369" t="str">
        <f>'REVIEW - Complete Role Mapping'!$G$226</f>
        <v>Cyber Sec Ops</v>
      </c>
      <c r="E52" s="1369" t="str">
        <f>'REVIEW - Complete Role Mapping'!$M$226</f>
        <v>NZ</v>
      </c>
      <c r="F52" s="1499" t="str">
        <f>'REVIEW - Complete Role Mapping'!$AK$226</f>
        <v>Filled</v>
      </c>
      <c r="G52" s="1488" t="n"/>
      <c r="H52" s="1360" t="n"/>
      <c r="I52" s="1489" t="n"/>
      <c r="J52" s="1497" t="n"/>
      <c r="K52" s="1314" t="n"/>
      <c r="L52" s="1314" t="n"/>
      <c r="M52" s="865" t="n"/>
      <c r="N52" s="865" t="n"/>
      <c r="O52" s="865" t="n"/>
      <c r="P52" s="865" t="n"/>
      <c r="Q52" s="865" t="n"/>
      <c r="R52" s="865" t="n"/>
      <c r="S52" s="865" t="n"/>
      <c r="T52" s="1500">
        <f>('REVIEW - Complete Role Mapping'!$AA$226/1000000)</f>
        <v>0.21287838</v>
      </c>
    </row>
    <row r="53" ht="14.25" customHeight="1" s="866">
      <c r="B53" s="1369" t="str">
        <f>'REVIEW - Complete Role Mapping'!$B$227</f>
        <v>Shomiya Shayal</v>
      </c>
      <c r="C53" s="1498" t="str">
        <f>'REVIEW - Complete Role Mapping'!$C$227</f>
        <v>Risk &amp; Resilience Lead</v>
      </c>
      <c r="D53" s="1369" t="str">
        <f>'REVIEW - Complete Role Mapping'!$G$227</f>
        <v>Cyber Risk</v>
      </c>
      <c r="E53" s="1369" t="str">
        <f>'REVIEW - Complete Role Mapping'!$M$227</f>
        <v>NZ</v>
      </c>
      <c r="F53" s="1499" t="str">
        <f>'REVIEW - Complete Role Mapping'!$AK$227</f>
        <v>Filled</v>
      </c>
      <c r="G53" s="1488" t="n"/>
      <c r="H53" s="1360" t="n"/>
      <c r="I53" s="1489" t="n"/>
      <c r="J53" s="1497" t="n"/>
      <c r="K53" s="1314" t="n"/>
      <c r="L53" s="1314" t="n"/>
      <c r="M53" s="865" t="n"/>
      <c r="N53" s="865" t="n"/>
      <c r="O53" s="865" t="n"/>
      <c r="P53" s="865" t="n"/>
      <c r="Q53" s="865" t="n"/>
      <c r="R53" s="865" t="n"/>
      <c r="S53" s="865" t="n"/>
      <c r="T53" s="1500">
        <f>('REVIEW - Complete Role Mapping'!$AA$227/1000000)</f>
        <v>0.188515032</v>
      </c>
    </row>
    <row r="54" ht="14.25" customHeight="1" s="866">
      <c r="B54" s="1369" t="str">
        <f>'REVIEW - Complete Role Mapping'!$B$228</f>
        <v>Shruti Manchanda</v>
      </c>
      <c r="C54" s="1498" t="str">
        <f>'REVIEW - Complete Role Mapping'!$C$228</f>
        <v>Cyber GRC Analyst</v>
      </c>
      <c r="D54" s="1369" t="str">
        <f>'REVIEW - Complete Role Mapping'!$G$228</f>
        <v>Cyber GRC</v>
      </c>
      <c r="E54" s="1369" t="str">
        <f>'REVIEW - Complete Role Mapping'!$M$228</f>
        <v>Australia</v>
      </c>
      <c r="F54" s="1499" t="str">
        <f>'REVIEW - Complete Role Mapping'!$AK$228</f>
        <v>Filled</v>
      </c>
      <c r="G54" s="1488" t="n"/>
      <c r="H54" s="1360" t="n"/>
      <c r="I54" s="1489" t="n"/>
      <c r="J54" s="1497" t="n"/>
      <c r="K54" s="1314" t="n"/>
      <c r="L54" s="1314" t="n"/>
      <c r="M54" s="865" t="n"/>
      <c r="N54" s="865" t="n"/>
      <c r="O54" s="865" t="n"/>
      <c r="P54" s="865" t="n"/>
      <c r="Q54" s="865" t="n"/>
      <c r="R54" s="865" t="n"/>
      <c r="S54" s="865" t="n"/>
      <c r="T54" s="1500">
        <f>('REVIEW - Complete Role Mapping'!$AA$228/1000000)</f>
        <v>0.22888575</v>
      </c>
    </row>
    <row r="55" ht="14.25" customHeight="1" s="866">
      <c r="B55" s="1369" t="str">
        <f>'REVIEW - Complete Role Mapping'!$B$229</f>
        <v>Spoilagi Bhutwala</v>
      </c>
      <c r="C55" s="1498" t="str">
        <f>'REVIEW - Complete Role Mapping'!$C$229</f>
        <v>Tech Support Technician</v>
      </c>
      <c r="D55" s="1369" t="str">
        <f>'REVIEW - Complete Role Mapping'!$G$229</f>
        <v>Service Op &amp; Assurance</v>
      </c>
      <c r="E55" s="1369" t="str">
        <f>'REVIEW - Complete Role Mapping'!$M$229</f>
        <v>NZ</v>
      </c>
      <c r="F55" s="1499" t="str">
        <f>'REVIEW - Complete Role Mapping'!$AK$229</f>
        <v>Filled</v>
      </c>
      <c r="G55" s="1488" t="n"/>
      <c r="H55" s="1360" t="n"/>
      <c r="I55" s="1489" t="n"/>
      <c r="J55" s="1497" t="n"/>
      <c r="K55" s="1314" t="n"/>
      <c r="L55" s="1314" t="n"/>
      <c r="M55" s="865" t="n"/>
      <c r="N55" s="865" t="n"/>
      <c r="O55" s="865" t="n"/>
      <c r="P55" s="865" t="n"/>
      <c r="Q55" s="865" t="n"/>
      <c r="R55" s="865" t="n"/>
      <c r="S55" s="865" t="n"/>
      <c r="T55" s="1500">
        <f>('REVIEW - Complete Role Mapping'!$AA$229/1000000)</f>
        <v>0.097237784</v>
      </c>
    </row>
    <row r="56" ht="14.25" customHeight="1" s="866">
      <c r="B56" s="1369" t="str">
        <f>'REVIEW - Complete Role Mapping'!$B$230</f>
        <v>Stafford Dowling</v>
      </c>
      <c r="C56" s="1498" t="str">
        <f>'REVIEW - Complete Role Mapping'!$C$230</f>
        <v>Cyber Security Analyst</v>
      </c>
      <c r="D56" s="1369" t="str">
        <f>'REVIEW - Complete Role Mapping'!$G$230</f>
        <v>Cyber Sec Ops</v>
      </c>
      <c r="E56" s="1369" t="str">
        <f>'REVIEW - Complete Role Mapping'!$M$230</f>
        <v>Australia</v>
      </c>
      <c r="F56" s="1499" t="str">
        <f>'REVIEW - Complete Role Mapping'!$AK$230</f>
        <v>Filled</v>
      </c>
      <c r="G56" s="1488" t="n"/>
      <c r="H56" s="1360" t="n"/>
      <c r="I56" s="1489" t="n"/>
      <c r="J56" s="1497" t="n"/>
      <c r="K56" s="1314" t="n"/>
      <c r="L56" s="1314" t="n"/>
      <c r="M56" s="865" t="n"/>
      <c r="N56" s="865" t="n"/>
      <c r="O56" s="865" t="n"/>
      <c r="P56" s="865" t="n"/>
      <c r="Q56" s="865" t="n"/>
      <c r="R56" s="865" t="n"/>
      <c r="S56" s="865" t="n"/>
      <c r="T56" s="1500">
        <f>('REVIEW - Complete Role Mapping'!$AA$230/1000000)</f>
        <v>0.21871305</v>
      </c>
    </row>
    <row r="57" ht="14.25" customHeight="1" s="866">
      <c r="B57" s="1369" t="str">
        <f>'REVIEW - Complete Role Mapping'!$B$231</f>
        <v>Steven Atcheson</v>
      </c>
      <c r="C57" s="1498" t="str">
        <f>'REVIEW - Complete Role Mapping'!$C$231</f>
        <v>Manager Cyber Security Operations</v>
      </c>
      <c r="D57" s="1369" t="str">
        <f>'REVIEW - Complete Role Mapping'!$G$231</f>
        <v>Cyber Sec Ops</v>
      </c>
      <c r="E57" s="1369" t="str">
        <f>'REVIEW - Complete Role Mapping'!$M$231</f>
        <v>Australia</v>
      </c>
      <c r="F57" s="1499" t="str">
        <f>'REVIEW - Complete Role Mapping'!$AK$231</f>
        <v>Filled</v>
      </c>
      <c r="G57" s="1488" t="n"/>
      <c r="H57" s="1360" t="n"/>
      <c r="I57" s="1489" t="n"/>
      <c r="J57" s="1497" t="n"/>
      <c r="K57" s="1314" t="n"/>
      <c r="L57" s="1314" t="n"/>
      <c r="M57" s="865" t="n"/>
      <c r="N57" s="865" t="n"/>
      <c r="O57" s="865" t="n"/>
      <c r="P57" s="865" t="n"/>
      <c r="Q57" s="865" t="n"/>
      <c r="R57" s="865" t="n"/>
      <c r="S57" s="865" t="n"/>
      <c r="T57" s="1500">
        <f>('REVIEW - Complete Role Mapping'!$AA$231/1000000)</f>
        <v>0.31656865</v>
      </c>
    </row>
    <row r="58" ht="14.25" customHeight="1" s="866">
      <c r="B58" s="1369" t="str">
        <f>'REVIEW - Complete Role Mapping'!$B$232</f>
        <v>Tony Keeler</v>
      </c>
      <c r="C58" s="1498" t="str">
        <f>'REVIEW - Complete Role Mapping'!$C$232</f>
        <v>Cyber Business Analyst</v>
      </c>
      <c r="D58" s="1369" t="str">
        <f>'REVIEW - Complete Role Mapping'!$G$232</f>
        <v>Cyber Strat &amp; Tech</v>
      </c>
      <c r="E58" s="1369" t="str">
        <f>'REVIEW - Complete Role Mapping'!$M$232</f>
        <v>Australia</v>
      </c>
      <c r="F58" s="1499" t="str">
        <f>'REVIEW - Complete Role Mapping'!$AK$232</f>
        <v>Filled</v>
      </c>
      <c r="G58" s="1488" t="n"/>
      <c r="H58" s="1360" t="n"/>
      <c r="I58" s="1489" t="n"/>
      <c r="J58" s="1497" t="n"/>
      <c r="K58" s="1314" t="n"/>
      <c r="L58" s="1314" t="n"/>
      <c r="M58" s="865" t="n"/>
      <c r="N58" s="865" t="n"/>
      <c r="O58" s="865" t="n"/>
      <c r="P58" s="865" t="n"/>
      <c r="Q58" s="865" t="n"/>
      <c r="R58" s="865" t="n"/>
      <c r="S58" s="865" t="n"/>
      <c r="T58" s="1500">
        <f>('REVIEW - Complete Role Mapping'!$AA$232/1000000)</f>
        <v>0.2136</v>
      </c>
    </row>
    <row r="59" ht="14.25" customHeight="1" s="866">
      <c r="B59" s="1369" t="str">
        <f>'REVIEW - Complete Role Mapping'!$B$233</f>
        <v>Vacant</v>
      </c>
      <c r="C59" s="1498" t="str">
        <f>'REVIEW - Complete Role Mapping'!$C$233</f>
        <v>Lead - Problem Management</v>
      </c>
      <c r="D59" s="1369" t="str">
        <f>'REVIEW - Complete Role Mapping'!$G$233</f>
        <v>Service Op &amp; Assurance</v>
      </c>
      <c r="E59" s="1369" t="str">
        <f>'REVIEW - Complete Role Mapping'!$M$233</f>
        <v>Australia</v>
      </c>
      <c r="F59" s="1499" t="str">
        <f>'REVIEW - Complete Role Mapping'!$AK$233</f>
        <v>Vacant</v>
      </c>
      <c r="G59" s="1501">
        <f>'REVIEW - Complete Role Mapping'!$AA$233</f>
        <v>170489.75</v>
      </c>
      <c r="H59" s="1360" t="n"/>
      <c r="I59" s="1489" t="n"/>
      <c r="J59" s="1497" t="n"/>
      <c r="K59" s="1314" t="n"/>
      <c r="L59" s="1314" t="n"/>
      <c r="M59" s="865" t="n"/>
      <c r="N59" s="865" t="n"/>
      <c r="O59" s="865" t="n"/>
      <c r="P59" s="865" t="n"/>
      <c r="Q59" s="865" t="n"/>
      <c r="R59" s="865" t="n"/>
      <c r="S59" s="865" t="n"/>
      <c r="T59" s="1500">
        <f>('REVIEW - Complete Role Mapping'!$AA$233/1000000)</f>
        <v>0.17048975</v>
      </c>
    </row>
    <row r="60" ht="14.25" customHeight="1" s="866">
      <c r="B60" s="1369" t="str">
        <f>'REVIEW - Complete Role Mapping'!$B$234</f>
        <v>Vacant</v>
      </c>
      <c r="C60" s="1498" t="str">
        <f>'REVIEW - Complete Role Mapping'!$C$234</f>
        <v>Lead - Asset &amp; Configuration</v>
      </c>
      <c r="D60" s="1369" t="str">
        <f>'REVIEW - Complete Role Mapping'!$G$234</f>
        <v>Service Op &amp; Assurance</v>
      </c>
      <c r="E60" s="1369" t="str">
        <f>'REVIEW - Complete Role Mapping'!$M$234</f>
        <v>Australia</v>
      </c>
      <c r="F60" s="1499" t="str">
        <f>'REVIEW - Complete Role Mapping'!$AK$234</f>
        <v>Vacant</v>
      </c>
      <c r="G60" s="1501">
        <f>'REVIEW - Complete Role Mapping'!$AA$234</f>
        <v>202853.25</v>
      </c>
      <c r="H60" s="1360" t="n"/>
      <c r="I60" s="1489" t="n"/>
      <c r="J60" s="1497" t="n"/>
      <c r="K60" s="1314" t="n"/>
      <c r="L60" s="1314" t="n"/>
      <c r="M60" s="865" t="n"/>
      <c r="N60" s="865" t="n"/>
      <c r="O60" s="865" t="n"/>
      <c r="P60" s="865" t="n"/>
      <c r="Q60" s="865" t="n"/>
      <c r="R60" s="865" t="n"/>
      <c r="S60" s="865" t="n"/>
      <c r="T60" s="1500">
        <f>('REVIEW - Complete Role Mapping'!$AA$234/1000000)</f>
        <v>0.20285325</v>
      </c>
    </row>
    <row r="61" ht="14.25" customHeight="1" s="866">
      <c r="B61" s="1369" t="str">
        <f>'REVIEW - Complete Role Mapping'!$B$235</f>
        <v>Vacant</v>
      </c>
      <c r="C61" s="1498" t="str">
        <f>'REVIEW - Complete Role Mapping'!$C$235</f>
        <v>Lead - Service Performance &amp; Insights</v>
      </c>
      <c r="D61" s="1369" t="str">
        <f>'REVIEW - Complete Role Mapping'!$G$235</f>
        <v>Service Op &amp; Assurance</v>
      </c>
      <c r="E61" s="1369" t="str">
        <f>'REVIEW - Complete Role Mapping'!$M$235</f>
        <v>Australia</v>
      </c>
      <c r="F61" s="1499" t="str">
        <f>'REVIEW - Complete Role Mapping'!$AK$235</f>
        <v>Vacant</v>
      </c>
      <c r="G61" s="1501">
        <f>'REVIEW - Complete Role Mapping'!$AA$235</f>
        <v>202853.25</v>
      </c>
      <c r="H61" s="1360" t="n"/>
      <c r="I61" s="1489" t="n"/>
      <c r="J61" s="1497" t="n"/>
      <c r="K61" s="1314" t="n"/>
      <c r="L61" s="1314" t="n"/>
      <c r="M61" s="865" t="n"/>
      <c r="N61" s="865" t="n"/>
      <c r="O61" s="865" t="n"/>
      <c r="P61" s="865" t="n"/>
      <c r="Q61" s="865" t="n"/>
      <c r="R61" s="865" t="n"/>
      <c r="S61" s="865" t="n"/>
      <c r="T61" s="1500">
        <f>('REVIEW - Complete Role Mapping'!$AA$235/1000000)</f>
        <v>0.20285325</v>
      </c>
    </row>
    <row r="62" ht="14.25" customHeight="1" s="866">
      <c r="B62" s="1369" t="str">
        <f>'REVIEW - Complete Role Mapping'!$B$236</f>
        <v>Vacant</v>
      </c>
      <c r="C62" s="1498" t="str">
        <f>'REVIEW - Complete Role Mapping'!$C$236</f>
        <v>Tech Support Technician</v>
      </c>
      <c r="D62" s="1369" t="str">
        <f>'REVIEW - Complete Role Mapping'!$G$236</f>
        <v>Service Op &amp; Assurance</v>
      </c>
      <c r="E62" s="1369" t="str">
        <f>'REVIEW - Complete Role Mapping'!$M$236</f>
        <v>Australia</v>
      </c>
      <c r="F62" s="1499" t="str">
        <f>'REVIEW - Complete Role Mapping'!$AK$236</f>
        <v>Vacant</v>
      </c>
      <c r="G62" s="1501">
        <f>'REVIEW - Complete Role Mapping'!$AA$236</f>
        <v>122571.75</v>
      </c>
      <c r="H62" s="1360" t="n"/>
      <c r="I62" s="1489" t="n"/>
      <c r="J62" s="1497" t="n"/>
      <c r="K62" s="1314" t="n"/>
      <c r="L62" s="1314" t="n"/>
      <c r="T62" s="1500">
        <f>('REVIEW - Complete Role Mapping'!$AA$236/1000000)</f>
        <v>0.12257175</v>
      </c>
    </row>
    <row r="63" ht="14.25" customHeight="1" s="866">
      <c r="B63" s="1369" t="str">
        <f>'REVIEW - Complete Role Mapping'!$B$237</f>
        <v>Vanessa Castro</v>
      </c>
      <c r="C63" s="1498" t="str">
        <f>'REVIEW - Complete Role Mapping'!$C$237</f>
        <v>Cyber GRC Analyst</v>
      </c>
      <c r="D63" s="1369" t="str">
        <f>'REVIEW - Complete Role Mapping'!$G$237</f>
        <v>Cyber GRC</v>
      </c>
      <c r="E63" s="1369" t="str">
        <f>'REVIEW - Complete Role Mapping'!$M$237</f>
        <v>NZ</v>
      </c>
      <c r="F63" s="1499" t="str">
        <f>'REVIEW - Complete Role Mapping'!$AK$237</f>
        <v>Filled</v>
      </c>
      <c r="G63" s="1501" t="n"/>
      <c r="H63" s="1360" t="n"/>
      <c r="I63" s="1489" t="n"/>
      <c r="J63" s="1497" t="n"/>
      <c r="K63" s="1314" t="n"/>
      <c r="L63" s="1314" t="n"/>
      <c r="T63" s="1500">
        <f>('REVIEW - Complete Role Mapping'!$AA$237/1000000)</f>
        <v>0.131833188</v>
      </c>
    </row>
    <row r="64" ht="14.25" customHeight="1" s="866">
      <c r="B64" s="1369" t="str">
        <f>'REVIEW - Complete Role Mapping'!$B$238</f>
        <v>Vivienne Vasak</v>
      </c>
      <c r="C64" s="1498" t="str">
        <f>'REVIEW - Complete Role Mapping'!$C$238</f>
        <v>Portfolio Manager Cyber Security</v>
      </c>
      <c r="D64" s="1369" t="str">
        <f>'REVIEW - Complete Role Mapping'!$G$238</f>
        <v>Cyber Strat &amp; Tech</v>
      </c>
      <c r="E64" s="1369" t="str">
        <f>'REVIEW - Complete Role Mapping'!$M$238</f>
        <v>Australia</v>
      </c>
      <c r="F64" s="1499" t="str">
        <f>'REVIEW - Complete Role Mapping'!$AK$238</f>
        <v>Filled</v>
      </c>
      <c r="G64" s="1501" t="n"/>
      <c r="H64" s="1360" t="n"/>
      <c r="I64" s="1489" t="n"/>
      <c r="J64" s="1497" t="n"/>
      <c r="K64" s="1314" t="n"/>
      <c r="L64" s="1314" t="n"/>
      <c r="T64" s="1500">
        <f>('REVIEW - Complete Role Mapping'!$AA$238/1000000)</f>
        <v>0.31567435</v>
      </c>
    </row>
    <row r="65" ht="14.25" customHeight="1" s="866">
      <c r="B65" s="1369" t="n"/>
      <c r="C65" s="1498" t="n"/>
      <c r="D65" s="1369" t="n"/>
      <c r="E65" s="1369" t="n"/>
      <c r="F65" s="1499" t="n"/>
      <c r="G65" s="1501" t="n"/>
      <c r="H65" s="1360" t="n"/>
      <c r="I65" s="1489" t="n"/>
      <c r="J65" s="1497" t="n"/>
      <c r="K65" s="1314" t="n"/>
      <c r="L65" s="1314" t="n"/>
      <c r="T65" s="1500" t="n"/>
    </row>
    <row r="66" ht="14.25" customHeight="1" s="866">
      <c r="B66" s="1369" t="n"/>
      <c r="C66" s="1498" t="n"/>
      <c r="D66" s="1369" t="n"/>
      <c r="E66" s="1369" t="n"/>
      <c r="F66" s="1499" t="n"/>
      <c r="G66" s="1501" t="n"/>
      <c r="H66" s="1360" t="n"/>
      <c r="I66" s="1489" t="n"/>
      <c r="J66" s="1497" t="n"/>
      <c r="K66" s="1314" t="n"/>
      <c r="L66" s="1314" t="n"/>
      <c r="M66" s="865" t="n"/>
      <c r="N66" s="865" t="n"/>
      <c r="O66" s="865" t="n"/>
      <c r="P66" s="865" t="n"/>
      <c r="Q66" s="865" t="n"/>
      <c r="R66" s="865" t="n"/>
      <c r="S66" s="865" t="n"/>
      <c r="T66" s="1500" t="n"/>
    </row>
    <row r="67" ht="14.25" customHeight="1" s="866">
      <c r="B67" s="1369" t="n"/>
      <c r="C67" s="1498" t="n"/>
      <c r="D67" s="1369" t="n"/>
      <c r="E67" s="1369" t="n"/>
      <c r="F67" s="1499" t="n"/>
      <c r="G67" s="1501" t="n"/>
      <c r="H67" s="1314" t="n"/>
      <c r="I67" s="1314" t="n"/>
      <c r="J67" s="1314" t="n"/>
      <c r="K67" s="1314" t="n"/>
      <c r="L67" s="1314" t="n"/>
      <c r="M67" s="865" t="n"/>
      <c r="N67" s="865" t="n"/>
      <c r="O67" s="865" t="n"/>
      <c r="P67" s="865" t="n"/>
      <c r="Q67" s="865" t="n"/>
      <c r="R67" s="865" t="n"/>
      <c r="S67" s="865" t="n"/>
      <c r="T67" s="1500" t="n"/>
    </row>
    <row r="68" ht="14.25" customHeight="1" s="866">
      <c r="B68" s="1369" t="n"/>
      <c r="C68" s="1498" t="n"/>
      <c r="D68" s="1369" t="n"/>
      <c r="E68" s="1369" t="n"/>
      <c r="F68" s="1499" t="n"/>
      <c r="G68" s="1501" t="n"/>
      <c r="H68" s="1314" t="n"/>
      <c r="I68" s="1314" t="n"/>
      <c r="J68" s="1314" t="n"/>
      <c r="K68" s="1314" t="n"/>
      <c r="L68" s="1314" t="n"/>
      <c r="T68" s="1500" t="n"/>
    </row>
    <row r="69" ht="14.25" customHeight="1" s="866">
      <c r="B69" s="1369" t="n"/>
      <c r="C69" s="1498" t="n"/>
      <c r="D69" s="1369" t="n"/>
      <c r="E69" s="1369" t="n"/>
      <c r="F69" s="1499" t="n"/>
      <c r="G69" s="1314" t="n"/>
      <c r="H69" s="1314" t="n"/>
      <c r="I69" s="1314" t="n"/>
      <c r="J69" s="1314" t="n"/>
      <c r="K69" s="1314" t="n"/>
      <c r="L69" s="1314" t="n"/>
      <c r="T69" s="1500" t="n"/>
    </row>
    <row r="70" ht="14.25" customHeight="1" s="866">
      <c r="B70" s="1369" t="n"/>
      <c r="C70" s="1498" t="n"/>
      <c r="D70" s="1369" t="n"/>
      <c r="E70" s="1369" t="n"/>
      <c r="F70" s="1499" t="n"/>
      <c r="G70" s="1314" t="n"/>
      <c r="H70" s="1314" t="n"/>
      <c r="I70" s="1314" t="n"/>
      <c r="J70" s="1314" t="n"/>
      <c r="K70" s="1314" t="n"/>
      <c r="L70" s="1314" t="n"/>
      <c r="M70" s="865" t="n"/>
      <c r="N70" s="865" t="n"/>
      <c r="O70" s="865" t="n"/>
      <c r="P70" s="865" t="n"/>
      <c r="Q70" s="865" t="n"/>
      <c r="R70" s="865" t="n"/>
      <c r="S70" s="865" t="n"/>
      <c r="T70" s="1500" t="n"/>
    </row>
    <row r="71" ht="14.25" customHeight="1" s="866">
      <c r="B71" s="1369" t="inlineStr">
        <is>
          <t>Check - roles listed vs counted (must be 0)</t>
        </is>
      </c>
      <c r="C71" s="1490">
        <f>COUNTA(B19:B70)-C8</f>
        <v>0</v>
      </c>
      <c r="D71" s="1314" t="n"/>
      <c r="E71" s="1314" t="n"/>
      <c r="F71" s="1314" t="n"/>
      <c r="G71" s="1314" t="n"/>
      <c r="H71" s="1314" t="n"/>
      <c r="I71" s="1314" t="n"/>
      <c r="J71" s="1314" t="n"/>
      <c r="K71" s="1314" t="n"/>
      <c r="L71" s="1314" t="n"/>
      <c r="M71" s="865" t="n"/>
      <c r="N71" s="865" t="n"/>
      <c r="O71" s="865" t="n"/>
      <c r="P71" s="865" t="n"/>
      <c r="Q71" s="865" t="n"/>
      <c r="R71" s="865" t="n"/>
      <c r="S71" s="865" t="n"/>
      <c r="T71" s="865" t="n"/>
    </row>
    <row r="72" ht="14.25" customHeight="1" s="866">
      <c r="B72" s="1314" t="n"/>
      <c r="C72" s="1314" t="n"/>
      <c r="D72" s="1314" t="n"/>
      <c r="E72" s="1314" t="n"/>
      <c r="F72" s="1314" t="n"/>
      <c r="G72" s="1314" t="n"/>
      <c r="H72" s="1314" t="n"/>
      <c r="I72" s="1314" t="n"/>
      <c r="J72" s="1314" t="n"/>
      <c r="K72" s="1314" t="n"/>
      <c r="L72" s="1314" t="n"/>
    </row>
    <row r="73" ht="14.25" customHeight="1" s="866">
      <c r="B73" s="1366" t="n"/>
      <c r="C73" s="1314" t="n"/>
      <c r="D73" s="1314" t="n"/>
      <c r="E73" s="1314" t="n"/>
      <c r="F73" s="1314" t="n"/>
      <c r="G73" s="1314" t="n"/>
      <c r="H73" s="1314" t="n"/>
      <c r="I73" s="1314" t="n"/>
      <c r="J73" s="1314" t="n"/>
      <c r="K73" s="1314" t="n"/>
      <c r="L73" s="1314" t="n"/>
      <c r="M73" s="865" t="n"/>
      <c r="N73" s="865" t="n"/>
      <c r="O73" s="865" t="n"/>
      <c r="P73" s="865" t="n"/>
      <c r="Q73" s="865" t="n"/>
      <c r="R73" s="865" t="n"/>
      <c r="S73" s="865" t="n"/>
      <c r="T73" s="865" t="n"/>
    </row>
    <row r="74" ht="14.25" customHeight="1" s="866">
      <c r="B74" s="1314" t="n"/>
      <c r="C74" s="1314" t="n"/>
      <c r="D74" s="1314" t="n"/>
      <c r="E74" s="1314" t="n"/>
      <c r="F74" s="1314" t="n"/>
      <c r="G74" s="1314" t="n"/>
      <c r="H74" s="1314" t="n"/>
      <c r="I74" s="1314" t="n"/>
      <c r="J74" s="1314" t="n"/>
      <c r="K74" s="1314" t="n"/>
      <c r="L74" s="1314" t="n"/>
      <c r="M74" s="865" t="n"/>
      <c r="N74" s="865" t="n"/>
      <c r="O74" s="865" t="n"/>
      <c r="P74" s="865" t="n"/>
      <c r="Q74" s="865" t="n"/>
      <c r="R74" s="865" t="n"/>
      <c r="S74" s="865" t="n"/>
      <c r="T74" s="865" t="n"/>
    </row>
    <row r="75" ht="14.25" customHeight="1" s="866">
      <c r="B75" s="1314" t="n"/>
      <c r="C75" s="1314" t="n"/>
      <c r="D75" s="1314" t="n"/>
      <c r="E75" s="1314" t="n"/>
      <c r="F75" s="1314" t="n"/>
      <c r="G75" s="1314" t="n"/>
      <c r="H75" s="1314" t="n"/>
      <c r="I75" s="1314" t="n"/>
      <c r="J75" s="1314" t="n"/>
      <c r="K75" s="1314" t="n"/>
      <c r="L75" s="1314" t="n"/>
      <c r="M75" s="865" t="n"/>
      <c r="N75" s="865" t="n"/>
      <c r="O75" s="865" t="n"/>
      <c r="P75" s="865" t="n"/>
      <c r="Q75" s="865" t="n"/>
      <c r="R75" s="865" t="n"/>
      <c r="S75" s="865" t="n"/>
      <c r="T75" s="865" t="n"/>
    </row>
    <row r="76" ht="14.25" customHeight="1" s="866">
      <c r="B76" s="1314" t="n"/>
      <c r="C76" s="1314" t="n"/>
      <c r="D76" s="1314" t="n"/>
      <c r="E76" s="1314" t="n"/>
      <c r="F76" s="1314" t="n"/>
      <c r="G76" s="1314" t="n"/>
      <c r="H76" s="1314" t="n"/>
      <c r="I76" s="1314" t="n"/>
      <c r="J76" s="1314" t="n"/>
      <c r="K76" s="1314" t="n"/>
      <c r="L76" s="1314" t="n"/>
      <c r="M76" s="865" t="n"/>
      <c r="N76" s="865" t="n"/>
      <c r="O76" s="865" t="n"/>
      <c r="P76" s="865" t="n"/>
      <c r="Q76" s="865" t="n"/>
      <c r="R76" s="865" t="n"/>
      <c r="S76" s="865" t="n"/>
      <c r="T76" s="865" t="n"/>
    </row>
    <row r="77" ht="14.25" customHeight="1" s="866">
      <c r="B77" s="1314" t="n"/>
      <c r="C77" s="1314" t="n"/>
      <c r="D77" s="1314" t="n"/>
      <c r="E77" s="1314" t="n"/>
      <c r="F77" s="1314" t="n"/>
      <c r="G77" s="1314" t="n"/>
      <c r="H77" s="1314" t="n"/>
      <c r="I77" s="1314" t="n"/>
      <c r="J77" s="1314" t="n"/>
      <c r="K77" s="1314" t="n"/>
      <c r="L77" s="1314" t="n"/>
      <c r="M77" s="865" t="n"/>
      <c r="N77" s="865" t="n"/>
      <c r="O77" s="865" t="n"/>
      <c r="P77" s="865" t="n"/>
      <c r="Q77" s="865" t="n"/>
      <c r="R77" s="865" t="n"/>
      <c r="S77" s="865" t="n"/>
      <c r="T77" s="865" t="n"/>
    </row>
    <row r="78" ht="14.25" customHeight="1" s="866">
      <c r="B78" s="1314" t="n"/>
      <c r="C78" s="1314" t="n"/>
      <c r="D78" s="1314" t="n"/>
      <c r="E78" s="1314" t="n"/>
      <c r="F78" s="1314" t="n"/>
      <c r="G78" s="1314" t="n"/>
      <c r="H78" s="1314" t="n"/>
      <c r="I78" s="1314" t="n"/>
      <c r="J78" s="1314" t="n"/>
      <c r="K78" s="1314" t="n"/>
      <c r="L78" s="1314" t="n"/>
      <c r="M78" s="865" t="n"/>
      <c r="N78" s="865" t="n"/>
      <c r="O78" s="865" t="n"/>
      <c r="P78" s="865" t="n"/>
      <c r="Q78" s="865" t="n"/>
      <c r="R78" s="865" t="n"/>
      <c r="S78" s="865" t="n"/>
      <c r="T78" s="865" t="n"/>
    </row>
    <row r="79" ht="14.25" customHeight="1" s="866">
      <c r="B79" s="1314" t="n"/>
      <c r="C79" s="1314" t="n"/>
      <c r="D79" s="1314" t="n"/>
      <c r="E79" s="1314" t="n"/>
      <c r="F79" s="1314" t="n"/>
      <c r="G79" s="1314" t="n"/>
      <c r="H79" s="1314" t="n"/>
      <c r="I79" s="1314" t="n"/>
      <c r="J79" s="1314" t="n"/>
      <c r="K79" s="1314" t="n"/>
      <c r="L79" s="1314" t="n"/>
      <c r="M79" s="865" t="n"/>
      <c r="N79" s="865" t="n"/>
      <c r="O79" s="865" t="n"/>
      <c r="P79" s="865" t="n"/>
      <c r="Q79" s="865" t="n"/>
      <c r="R79" s="865" t="n"/>
      <c r="S79" s="865" t="n"/>
      <c r="T79" s="865" t="n"/>
    </row>
    <row r="80" ht="14.25" customHeight="1" s="866">
      <c r="B80" s="1314" t="n"/>
      <c r="C80" s="1314" t="n"/>
      <c r="D80" s="1314" t="n"/>
      <c r="E80" s="1314" t="n"/>
      <c r="F80" s="1314" t="n"/>
      <c r="G80" s="1314" t="n"/>
      <c r="H80" s="1314" t="n"/>
      <c r="I80" s="1314" t="n"/>
      <c r="J80" s="1314" t="n"/>
      <c r="K80" s="1314" t="n"/>
      <c r="L80" s="1314" t="n"/>
      <c r="M80" s="865" t="n"/>
      <c r="N80" s="865" t="n"/>
      <c r="O80" s="865" t="n"/>
      <c r="P80" s="865" t="n"/>
      <c r="Q80" s="865" t="n"/>
      <c r="R80" s="865" t="n"/>
      <c r="S80" s="865" t="n"/>
      <c r="T80" s="865" t="n"/>
    </row>
  </sheetData>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legacyDrawing xmlns:r="http://schemas.openxmlformats.org/officeDocument/2006/relationships" r:id="anysvml"/>
</worksheet>
</file>

<file path=xl/worksheets/sheet22.xml><?xml version="1.0" encoding="utf-8"?>
<worksheet xmlns="http://schemas.openxmlformats.org/spreadsheetml/2006/main">
  <sheetPr filterMode="0">
    <tabColor rgb="FFBF8F00"/>
    <outlinePr summaryBelow="1" summaryRight="1"/>
    <pageSetUpPr fitToPage="0"/>
  </sheetPr>
  <dimension ref="B2:B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4.25" zeroHeight="0" outlineLevelRow="0"/>
  <cols>
    <col width="2" customWidth="1" style="865" min="1" max="1"/>
    <col width="60" customWidth="1" style="865" min="2" max="2"/>
  </cols>
  <sheetData>
    <row r="2" ht="21" customHeight="1" s="866">
      <c r="B2" s="1523" t="inlineStr">
        <is>
          <t>DECISIONS  &gt;&gt;&gt;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tabColor rgb="FFBF8F00"/>
    <outlinePr summaryBelow="1" summaryRight="1"/>
    <pageSetUpPr fitToPage="1"/>
  </sheetPr>
  <dimension ref="B2:Q118"/>
  <sheetViews>
    <sheetView showFormulas="0" showGridLines="0" showRowColHeaders="1" showZeros="1" rightToLeft="0" tabSelected="0" showOutlineSymbols="1" defaultGridColor="1" view="normal" topLeftCell="A1" colorId="64" zoomScale="80" zoomScaleNormal="80" zoomScalePageLayoutView="100" workbookViewId="0">
      <selection pane="topLeft" activeCell="A1" activeCellId="0" sqref="A1"/>
      <selection pane="topRight" activeCell="C1" activeCellId="0" sqref="C1"/>
      <selection pane="bottomLeft" activeCell="A7" activeCellId="0" sqref="A7"/>
      <selection pane="bottomRight" activeCell="H34" activeCellId="0" sqref="H34"/>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Ampol Retail - working copy</t>
        </is>
      </c>
    </row>
    <row r="3">
      <c r="B3" s="1525" t="inlineStr">
        <is>
          <t>Portfolio</t>
        </is>
      </c>
      <c r="C3" s="1526" t="inlineStr">
        <is>
          <t>Ampol Retail</t>
        </is>
      </c>
    </row>
    <row r="4" ht="19" customHeight="1" s="866">
      <c r="B4" s="1527" t="inlineStr">
        <is>
          <t>Ampol Retail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Above Store</t>
        </is>
      </c>
      <c r="C8" s="1531" t="str">
        <f>IFERROR(INDEX('1.1 Ampol Retail'!$C$23:$C$68,MATCH($B8,'1.1 Ampol Retail'!$B$23:$B$68,0)),"Not on the 1.x tab")</f>
        <v>Configuration / Integration</v>
      </c>
      <c r="D8" s="1531" t="str">
        <f>IFERROR(IF(INDEX('1.1 Ampol Retail'!$D$23:$D$68,MATCH($B8,'1.1 Ampol Retail'!$B$23:$B$68,0))="","-",INDEX('1.1 Ampol Retail'!$D$23:$D$68,MATCH($B8,'1.1 Ampol Retail'!$B$23:$B$68,0))),"-")</f>
        <v>M</v>
      </c>
      <c r="E8" s="1783">
        <f>IFERROR(INDEX('0.3 Squad Archetypes'!$F$5:$F$23,MATCH($C8&amp;"|"&amp;$D8,'0.3 Squad Archetypes'!$A$5:$A$23,0)),"-")</f>
        <v>9</v>
      </c>
      <c r="F8" s="1770">
        <f>COUNTA($B$37:$B$47)</f>
        <v>11</v>
      </c>
      <c r="G8" s="1770">
        <f>COUNTIFS($D$37:$D$47,"Filled")</f>
        <v>7</v>
      </c>
      <c r="H8" s="1770">
        <f>COUNTIFS($D$37:$D$47,"Vacant")</f>
        <v>4</v>
      </c>
      <c r="I8" s="1770">
        <f>COUNTIFS($D$37:$D$47,"Vacant",$E$37:$E$47,"Hire")</f>
        <v>4</v>
      </c>
      <c r="J8" s="1770">
        <f>COUNTIFS($E$37:$E$47,"Offshore")</f>
        <v>0</v>
      </c>
      <c r="K8" s="1770">
        <f>COUNTIFS($E$37:$E$47,"Hold")</f>
        <v>0</v>
      </c>
      <c r="L8" s="1770">
        <f>$F8-$K8</f>
        <v>11</v>
      </c>
      <c r="M8" s="1769">
        <f>IFERROR(IF(INDEX('1.1 Ampol Retail'!$E$23:$E$68,MATCH($B8,'1.1 Ampol Retail'!$B$23:$B$68,0))="Offshore",INDEX('0.3 Squad Archetypes'!$H$5:$H$23,MATCH($C8&amp;"|"&amp;$D8,'0.3 Squad Archetypes'!$A$5:$A$23,0)),INDEX('0.3 Squad Archetypes'!$G$5:$G$23,MATCH($C8&amp;"|"&amp;$D8,'0.3 Squad Archetypes'!$A$5:$A$23,0))),"-")</f>
        <v>2.1</v>
      </c>
      <c r="N8" s="1769">
        <f>SUMIFS('REVIEW - Complete Role Mapping'!$AA$2:$AA$528,'REVIEW - Complete Role Mapping'!$AJ$2:$AJ$528,$C$3,'REVIEW - Complete Role Mapping'!$AT$2:$AT$528,$B8)/1000000</f>
        <v>2.097921857</v>
      </c>
      <c r="O8" s="1769">
        <f>IFERROR(ROUND($N8-$M8,6),"-")</f>
        <v>-0.002078</v>
      </c>
      <c r="P8" s="1769">
        <f>SUM($G$37:$G$47)/1000000</f>
        <v>2.097921857</v>
      </c>
      <c r="Q8" s="1769">
        <f>IFERROR(ROUND($P8-$M8,6),"-")</f>
        <v>-0.002078</v>
      </c>
    </row>
    <row r="9">
      <c r="B9" s="1531" t="inlineStr">
        <is>
          <t>Data AU</t>
        </is>
      </c>
      <c r="C9" s="1531" t="str">
        <f>IFERROR(INDEX('1.1 Ampol Retail'!$C$23:$C$68,MATCH($B9,'1.1 Ampol Retail'!$B$23:$B$68,0)),"Not on the 1.x tab")</f>
        <v>Enterprise Data and Insights</v>
      </c>
      <c r="D9" s="1531" t="str">
        <f>IFERROR(IF(INDEX('1.1 Ampol Retail'!$D$23:$D$68,MATCH($B9,'1.1 Ampol Retail'!$B$23:$B$68,0))="","-",INDEX('1.1 Ampol Retail'!$D$23:$D$68,MATCH($B9,'1.1 Ampol Retail'!$B$23:$B$68,0))),"-")</f>
        <v>M</v>
      </c>
      <c r="E9" s="1783">
        <f>IFERROR(INDEX('0.3 Squad Archetypes'!$F$5:$F$23,MATCH($C9&amp;"|"&amp;$D9,'0.3 Squad Archetypes'!$A$5:$A$23,0)),"-")</f>
        <v>7.5</v>
      </c>
      <c r="F9" s="1770">
        <f>COUNTA($B$60:$B$65)</f>
        <v>6</v>
      </c>
      <c r="G9" s="1770">
        <f>COUNTIFS($D$60:$D$65,"Filled")</f>
        <v>0</v>
      </c>
      <c r="H9" s="1770">
        <f>COUNTIFS($D$60:$D$65,"Vacant")</f>
        <v>6</v>
      </c>
      <c r="I9" s="1770">
        <f>COUNTIFS($D$60:$D$65,"Vacant",$E$60:$E$65,"Hire")</f>
        <v>6</v>
      </c>
      <c r="J9" s="1770">
        <f>COUNTIFS($E$60:$E$65,"Offshore")</f>
        <v>0</v>
      </c>
      <c r="K9" s="1770">
        <f>COUNTIFS($E$60:$E$65,"Hold")</f>
        <v>0</v>
      </c>
      <c r="L9" s="1770">
        <f>$F9-$K9</f>
        <v>6</v>
      </c>
      <c r="M9" s="1769">
        <f>IFERROR(IF(INDEX('1.1 Ampol Retail'!$E$23:$E$68,MATCH($B9,'1.1 Ampol Retail'!$B$23:$B$68,0))="Offshore",INDEX('0.3 Squad Archetypes'!$H$5:$H$23,MATCH($C9&amp;"|"&amp;$D9,'0.3 Squad Archetypes'!$A$5:$A$23,0)),INDEX('0.3 Squad Archetypes'!$G$5:$G$23,MATCH($C9&amp;"|"&amp;$D9,'0.3 Squad Archetypes'!$A$5:$A$23,0))),"-")</f>
        <v>0.68</v>
      </c>
      <c r="N9" s="1769">
        <f>SUMIFS('REVIEW - Complete Role Mapping'!$AA$2:$AA$528,'REVIEW - Complete Role Mapping'!$AJ$2:$AJ$528,$C$3,'REVIEW - Complete Role Mapping'!$AT$2:$AT$528,$B9)/1000000</f>
        <v>1.21232375</v>
      </c>
      <c r="O9" s="1769">
        <f>IFERROR(ROUND($N9-$M9,6),"-")</f>
        <v>0.532324</v>
      </c>
      <c r="P9" s="1769">
        <f>SUM($G$60:$G$65)/1000000</f>
        <v>1.21232375</v>
      </c>
      <c r="Q9" s="1769">
        <f>IFERROR(ROUND($P9-$M9,6),"-")</f>
        <v>0.532324</v>
      </c>
    </row>
    <row r="10">
      <c r="B10" s="1531" t="inlineStr">
        <is>
          <t>Deployment</t>
        </is>
      </c>
      <c r="C10" s="1531" t="str">
        <f>IFERROR(INDEX('1.1 Ampol Retail'!$C$23:$C$68,MATCH($B10,'1.1 Ampol Retail'!$B$23:$B$68,0)),"Not on the 1.x tab")</f>
        <v>Operations</v>
      </c>
      <c r="D10" s="1531" t="str">
        <f>IFERROR(IF(INDEX('1.1 Ampol Retail'!$D$23:$D$68,MATCH($B10,'1.1 Ampol Retail'!$B$23:$B$68,0))="","-",INDEX('1.1 Ampol Retail'!$D$23:$D$68,MATCH($B10,'1.1 Ampol Retail'!$B$23:$B$68,0))),"-")</f>
        <v>S</v>
      </c>
      <c r="E10" s="1783">
        <f>IFERROR(INDEX('0.3 Squad Archetypes'!$F$5:$F$23,MATCH($C10&amp;"|"&amp;$D10,'0.3 Squad Archetypes'!$A$5:$A$23,0)),"-")</f>
        <v>4</v>
      </c>
      <c r="F10" s="1770">
        <f>COUNTA($B$67:$B$71)</f>
        <v>5</v>
      </c>
      <c r="G10" s="1770">
        <f>COUNTIFS($D$67:$D$71,"Filled")</f>
        <v>5</v>
      </c>
      <c r="H10" s="1770">
        <f>COUNTIFS($D$67:$D$71,"Vacant")</f>
        <v>0</v>
      </c>
      <c r="I10" s="1770">
        <f>COUNTIFS($D$67:$D$71,"Vacant",$E$67:$E$71,"Hire")</f>
        <v>0</v>
      </c>
      <c r="J10" s="1770">
        <f>COUNTIFS($E$67:$E$71,"Offshore")</f>
        <v>0</v>
      </c>
      <c r="K10" s="1770">
        <f>COUNTIFS($E$67:$E$71,"Hold")</f>
        <v>0</v>
      </c>
      <c r="L10" s="1770">
        <f>$F10-$K10</f>
        <v>5</v>
      </c>
      <c r="M10" s="1769">
        <f>IFERROR(IF(INDEX('1.1 Ampol Retail'!$E$23:$E$68,MATCH($B10,'1.1 Ampol Retail'!$B$23:$B$68,0))="Offshore",INDEX('0.3 Squad Archetypes'!$H$5:$H$23,MATCH($C10&amp;"|"&amp;$D10,'0.3 Squad Archetypes'!$A$5:$A$23,0)),INDEX('0.3 Squad Archetypes'!$G$5:$G$23,MATCH($C10&amp;"|"&amp;$D10,'0.3 Squad Archetypes'!$A$5:$A$23,0))),"-")</f>
        <v>0.8</v>
      </c>
      <c r="N10" s="1769">
        <f>SUMIFS('REVIEW - Complete Role Mapping'!$AA$2:$AA$528,'REVIEW - Complete Role Mapping'!$AJ$2:$AJ$528,$C$3,'REVIEW - Complete Role Mapping'!$AT$2:$AT$528,$B10)/1000000</f>
        <v>0.893835732</v>
      </c>
      <c r="O10" s="1769">
        <f>IFERROR(ROUND($N10-$M10,6),"-")</f>
        <v>0.093836</v>
      </c>
      <c r="P10" s="1769">
        <f>SUM($G$67:$G$71)/1000000</f>
        <v>0.893835732</v>
      </c>
      <c r="Q10" s="1769">
        <f>IFERROR(ROUND($P10-$M10,6),"-")</f>
        <v>0.093836</v>
      </c>
    </row>
    <row r="11">
      <c r="B11" s="1531" t="inlineStr">
        <is>
          <t>Network &amp; QSR</t>
        </is>
      </c>
      <c r="C11" s="1531" t="str">
        <f>IFERROR(INDEX('1.1 Ampol Retail'!$C$23:$C$68,MATCH($B11,'1.1 Ampol Retail'!$B$23:$B$68,0)),"Not on the 1.x tab")</f>
        <v>Configuration / Integration</v>
      </c>
      <c r="D11" s="1531" t="str">
        <f>IFERROR(IF(INDEX('1.1 Ampol Retail'!$D$23:$D$68,MATCH($B11,'1.1 Ampol Retail'!$B$23:$B$68,0))="","-",INDEX('1.1 Ampol Retail'!$D$23:$D$68,MATCH($B11,'1.1 Ampol Retail'!$B$23:$B$68,0))),"-")</f>
        <v>S</v>
      </c>
      <c r="E11" s="1783">
        <f>IFERROR(INDEX('0.3 Squad Archetypes'!$F$5:$F$23,MATCH($C11&amp;"|"&amp;$D11,'0.3 Squad Archetypes'!$A$5:$A$23,0)),"-")</f>
        <v>6</v>
      </c>
      <c r="F11" s="1770">
        <f>COUNTA($B$82:$B$87)</f>
        <v>6</v>
      </c>
      <c r="G11" s="1770">
        <f>COUNTIFS($D$82:$D$87,"Filled")</f>
        <v>4</v>
      </c>
      <c r="H11" s="1770">
        <f>COUNTIFS($D$82:$D$87,"Vacant")</f>
        <v>2</v>
      </c>
      <c r="I11" s="1770">
        <f>COUNTIFS($D$82:$D$87,"Vacant",$E$82:$E$87,"Hire")</f>
        <v>2</v>
      </c>
      <c r="J11" s="1770">
        <f>COUNTIFS($E$82:$E$87,"Offshore")</f>
        <v>0</v>
      </c>
      <c r="K11" s="1770">
        <f>COUNTIFS($E$82:$E$87,"Hold")</f>
        <v>0</v>
      </c>
      <c r="L11" s="1770">
        <f>$F11-$K11</f>
        <v>6</v>
      </c>
      <c r="M11" s="1769">
        <f>IFERROR(IF(INDEX('1.1 Ampol Retail'!$E$23:$E$68,MATCH($B11,'1.1 Ampol Retail'!$B$23:$B$68,0))="Offshore",INDEX('0.3 Squad Archetypes'!$H$5:$H$23,MATCH($C11&amp;"|"&amp;$D11,'0.3 Squad Archetypes'!$A$5:$A$23,0)),INDEX('0.3 Squad Archetypes'!$G$5:$G$23,MATCH($C11&amp;"|"&amp;$D11,'0.3 Squad Archetypes'!$A$5:$A$23,0))),"-")</f>
        <v>1.4</v>
      </c>
      <c r="N11" s="1769">
        <f>SUMIFS('REVIEW - Complete Role Mapping'!$AA$2:$AA$528,'REVIEW - Complete Role Mapping'!$AJ$2:$AJ$528,$C$3,'REVIEW - Complete Role Mapping'!$AT$2:$AT$528,$B11)/1000000</f>
        <v>1.1140311</v>
      </c>
      <c r="O11" s="1769">
        <f>IFERROR(ROUND($N11-$M11,6),"-")</f>
        <v>-0.285969</v>
      </c>
      <c r="P11" s="1769">
        <f>SUM($G$82:$G$87)/1000000</f>
        <v>1.1140311</v>
      </c>
      <c r="Q11" s="1769">
        <f>IFERROR(ROUND($P11-$M11,6),"-")</f>
        <v>-0.285969</v>
      </c>
    </row>
    <row r="12">
      <c r="B12" s="1531" t="inlineStr">
        <is>
          <t>POS</t>
        </is>
      </c>
      <c r="C12" s="1531" t="str">
        <f>IFERROR(INDEX('1.1 Ampol Retail'!$C$23:$C$68,MATCH($B12,'1.1 Ampol Retail'!$B$23:$B$68,0)),"Not on the 1.x tab")</f>
        <v>Configuration / Integration</v>
      </c>
      <c r="D12" s="1531" t="str">
        <f>IFERROR(IF(INDEX('1.1 Ampol Retail'!$D$23:$D$68,MATCH($B12,'1.1 Ampol Retail'!$B$23:$B$68,0))="","-",INDEX('1.1 Ampol Retail'!$D$23:$D$68,MATCH($B12,'1.1 Ampol Retail'!$B$23:$B$68,0))),"-")</f>
        <v>M</v>
      </c>
      <c r="E12" s="1783">
        <f>IFERROR(INDEX('0.3 Squad Archetypes'!$F$5:$F$23,MATCH($C12&amp;"|"&amp;$D12,'0.3 Squad Archetypes'!$A$5:$A$23,0)),"-")</f>
        <v>9</v>
      </c>
      <c r="F12" s="1770">
        <f>COUNTA($B$89:$B$96)</f>
        <v>8</v>
      </c>
      <c r="G12" s="1770">
        <f>COUNTIFS($D$89:$D$96,"Filled")</f>
        <v>0</v>
      </c>
      <c r="H12" s="1770">
        <f>COUNTIFS($D$89:$D$96,"Vacant")</f>
        <v>8</v>
      </c>
      <c r="I12" s="1770">
        <f>COUNTIFS($D$89:$D$96,"Vacant",$E$89:$E$96,"Hire")</f>
        <v>8</v>
      </c>
      <c r="J12" s="1770">
        <f>COUNTIFS($E$89:$E$96,"Offshore")</f>
        <v>0</v>
      </c>
      <c r="K12" s="1770">
        <f>COUNTIFS($E$89:$E$96,"Hold")</f>
        <v>0</v>
      </c>
      <c r="L12" s="1770">
        <f>$F12-$K12</f>
        <v>8</v>
      </c>
      <c r="M12" s="1769">
        <f>IFERROR(IF(INDEX('1.1 Ampol Retail'!$E$23:$E$68,MATCH($B12,'1.1 Ampol Retail'!$B$23:$B$68,0))="Offshore",INDEX('0.3 Squad Archetypes'!$H$5:$H$23,MATCH($C12&amp;"|"&amp;$D12,'0.3 Squad Archetypes'!$A$5:$A$23,0)),INDEX('0.3 Squad Archetypes'!$G$5:$G$23,MATCH($C12&amp;"|"&amp;$D12,'0.3 Squad Archetypes'!$A$5:$A$23,0))),"-")</f>
        <v>2.1</v>
      </c>
      <c r="N12" s="1769">
        <f>SUMIFS('REVIEW - Complete Role Mapping'!$AA$2:$AA$528,'REVIEW - Complete Role Mapping'!$AJ$2:$AJ$528,$C$3,'REVIEW - Complete Role Mapping'!$AT$2:$AT$528,$B12)/1000000</f>
        <v>1.576223685</v>
      </c>
      <c r="O12" s="1769">
        <f>IFERROR(ROUND($N12-$M12,6),"-")</f>
        <v>-0.523776</v>
      </c>
      <c r="P12" s="1769">
        <f>SUM($G$89:$G$96)/1000000</f>
        <v>1.576223685</v>
      </c>
      <c r="Q12" s="1769">
        <f>IFERROR(ROUND($P12-$M12,6),"-")</f>
        <v>-0.523776</v>
      </c>
    </row>
    <row r="13">
      <c r="B13" s="1531" t="inlineStr">
        <is>
          <t>Payments</t>
        </is>
      </c>
      <c r="C13" s="1531" t="str">
        <f>IFERROR(INDEX('1.1 Ampol Retail'!$C$23:$C$68,MATCH($B13,'1.1 Ampol Retail'!$B$23:$B$68,0)),"Not on the 1.x tab")</f>
        <v>Configuration / Integration</v>
      </c>
      <c r="D13" s="1531" t="str">
        <f>IFERROR(IF(INDEX('1.1 Ampol Retail'!$D$23:$D$68,MATCH($B13,'1.1 Ampol Retail'!$B$23:$B$68,0))="","-",INDEX('1.1 Ampol Retail'!$D$23:$D$68,MATCH($B13,'1.1 Ampol Retail'!$B$23:$B$68,0))),"-")</f>
        <v>S</v>
      </c>
      <c r="E13" s="1783">
        <f>IFERROR(INDEX('0.3 Squad Archetypes'!$F$5:$F$23,MATCH($C13&amp;"|"&amp;$D13,'0.3 Squad Archetypes'!$A$5:$A$23,0)),"-")</f>
        <v>6</v>
      </c>
      <c r="F13" s="1770">
        <f>COUNTA($B$98:$B$101)</f>
        <v>4</v>
      </c>
      <c r="G13" s="1770">
        <f>COUNTIFS($D$98:$D$101,"Filled")</f>
        <v>3</v>
      </c>
      <c r="H13" s="1770">
        <f>COUNTIFS($D$98:$D$101,"Vacant")</f>
        <v>1</v>
      </c>
      <c r="I13" s="1770">
        <f>COUNTIFS($D$98:$D$101,"Vacant",$E$98:$E$101,"Hire")</f>
        <v>1</v>
      </c>
      <c r="J13" s="1770">
        <f>COUNTIFS($E$98:$E$101,"Offshore")</f>
        <v>0</v>
      </c>
      <c r="K13" s="1770">
        <f>COUNTIFS($E$98:$E$101,"Hold")</f>
        <v>0</v>
      </c>
      <c r="L13" s="1770">
        <f>$F13-$K13</f>
        <v>4</v>
      </c>
      <c r="M13" s="1769">
        <f>IFERROR(IF(INDEX('1.1 Ampol Retail'!$E$23:$E$68,MATCH($B13,'1.1 Ampol Retail'!$B$23:$B$68,0))="Offshore",INDEX('0.3 Squad Archetypes'!$H$5:$H$23,MATCH($C13&amp;"|"&amp;$D13,'0.3 Squad Archetypes'!$A$5:$A$23,0)),INDEX('0.3 Squad Archetypes'!$G$5:$G$23,MATCH($C13&amp;"|"&amp;$D13,'0.3 Squad Archetypes'!$A$5:$A$23,0))),"-")</f>
        <v>1.4</v>
      </c>
      <c r="N13" s="1769">
        <f>SUMIFS('REVIEW - Complete Role Mapping'!$AA$2:$AA$528,'REVIEW - Complete Role Mapping'!$AJ$2:$AJ$528,$C$3,'REVIEW - Complete Role Mapping'!$AT$2:$AT$528,$B13)/1000000</f>
        <v>0.789428585</v>
      </c>
      <c r="O13" s="1769">
        <f>IFERROR(ROUND($N13-$M13,6),"-")</f>
        <v>-0.610571</v>
      </c>
      <c r="P13" s="1769">
        <f>SUM($G$98:$G$101)/1000000</f>
        <v>0.789428585</v>
      </c>
      <c r="Q13" s="1769">
        <f>IFERROR(ROUND($P13-$M13,6),"-")</f>
        <v>-0.610571</v>
      </c>
    </row>
    <row r="14">
      <c r="B14" s="1531" t="inlineStr">
        <is>
          <t>Store Operations</t>
        </is>
      </c>
      <c r="C14" s="1531" t="str">
        <f>IFERROR(INDEX('1.1 Ampol Retail'!$C$23:$C$68,MATCH($B14,'1.1 Ampol Retail'!$B$23:$B$68,0)),"Not on the 1.x tab")</f>
        <v>Operations</v>
      </c>
      <c r="D14" s="1531" t="str">
        <f>IFERROR(IF(INDEX('1.1 Ampol Retail'!$D$23:$D$68,MATCH($B14,'1.1 Ampol Retail'!$B$23:$B$68,0))="","-",INDEX('1.1 Ampol Retail'!$D$23:$D$68,MATCH($B14,'1.1 Ampol Retail'!$B$23:$B$68,0))),"-")</f>
        <v>M</v>
      </c>
      <c r="E14" s="1783">
        <f>IFERROR(INDEX('0.3 Squad Archetypes'!$F$5:$F$23,MATCH($C14&amp;"|"&amp;$D14,'0.3 Squad Archetypes'!$A$5:$A$23,0)),"-")</f>
        <v>6</v>
      </c>
      <c r="F14" s="1770">
        <f>COUNTA($B$103:$B$110)</f>
        <v>8</v>
      </c>
      <c r="G14" s="1770">
        <f>COUNTIFS($D$103:$D$110,"Filled")</f>
        <v>7</v>
      </c>
      <c r="H14" s="1770">
        <f>COUNTIFS($D$103:$D$110,"Vacant")</f>
        <v>1</v>
      </c>
      <c r="I14" s="1770">
        <f>COUNTIFS($D$103:$D$110,"Vacant",$E$103:$E$110,"Hire")</f>
        <v>1</v>
      </c>
      <c r="J14" s="1770">
        <f>COUNTIFS($E$103:$E$110,"Offshore")</f>
        <v>0</v>
      </c>
      <c r="K14" s="1770">
        <f>COUNTIFS($E$103:$E$110,"Hold")</f>
        <v>0</v>
      </c>
      <c r="L14" s="1770">
        <f>$F14-$K14</f>
        <v>8</v>
      </c>
      <c r="M14" s="1769">
        <f>IFERROR(IF(INDEX('1.1 Ampol Retail'!$E$23:$E$68,MATCH($B14,'1.1 Ampol Retail'!$B$23:$B$68,0))="Offshore",INDEX('0.3 Squad Archetypes'!$H$5:$H$23,MATCH($C14&amp;"|"&amp;$D14,'0.3 Squad Archetypes'!$A$5:$A$23,0)),INDEX('0.3 Squad Archetypes'!$G$5:$G$23,MATCH($C14&amp;"|"&amp;$D14,'0.3 Squad Archetypes'!$A$5:$A$23,0))),"-")</f>
        <v>1.4</v>
      </c>
      <c r="N14" s="1769">
        <f>SUMIFS('REVIEW - Complete Role Mapping'!$AA$2:$AA$528,'REVIEW - Complete Role Mapping'!$AJ$2:$AJ$528,$C$3,'REVIEW - Complete Role Mapping'!$AT$2:$AT$528,$B14)/1000000</f>
        <v>1.429759453</v>
      </c>
      <c r="O14" s="1769">
        <f>IFERROR(ROUND($N14-$M14,6),"-")</f>
        <v>0.029759</v>
      </c>
      <c r="P14" s="1769">
        <f>SUM($G$103:$G$110)/1000000</f>
        <v>1.429759453</v>
      </c>
      <c r="Q14" s="1769">
        <f>IFERROR(ROUND($P14-$M14,6),"-")</f>
        <v>0.029759</v>
      </c>
    </row>
    <row r="15">
      <c r="B15" s="1535" t="inlineStr">
        <is>
          <t>Squads priced by an archetype total</t>
        </is>
      </c>
      <c r="C15" s="1535" t="n"/>
      <c r="D15" s="1535" t="n"/>
      <c r="E15" s="1784">
        <f>SUM(E8:E14)</f>
        <v>47.5</v>
      </c>
      <c r="F15" s="1772">
        <f>SUM(F8:F14)</f>
        <v>48</v>
      </c>
      <c r="G15" s="1772">
        <f>SUM(G8:G14)</f>
        <v>26</v>
      </c>
      <c r="H15" s="1772">
        <f>SUM(H8:H14)</f>
        <v>22</v>
      </c>
      <c r="I15" s="1772">
        <f>SUM(I8:I14)</f>
        <v>22</v>
      </c>
      <c r="J15" s="1772">
        <f>SUM(J8:J14)</f>
        <v>0</v>
      </c>
      <c r="K15" s="1772">
        <f>SUM(K8:K14)</f>
        <v>0</v>
      </c>
      <c r="L15" s="1772">
        <f>SUM(L8:L14)</f>
        <v>48</v>
      </c>
      <c r="M15" s="1771">
        <f>IF(COUNT(M8:M14)=7,SUM(M8:M14),"-")</f>
        <v>9.88</v>
      </c>
      <c r="N15" s="1771">
        <f>SUM(N8:N14)</f>
        <v>9.113524162</v>
      </c>
      <c r="O15" s="1771">
        <f>IF(ISNUMBER($M15),ROUND($N15-$M15,6),"-")</f>
        <v>-0.766476</v>
      </c>
      <c r="P15" s="1771">
        <f>SUM(P8:P14)</f>
        <v>9.113524162</v>
      </c>
      <c r="Q15" s="1771">
        <f>IF(ISNUMBER($M15),ROUND($P15-$M15,6),"-")</f>
        <v>-0.766476</v>
      </c>
    </row>
    <row r="16">
      <c r="B16" s="1530" t="inlineStr">
        <is>
          <t>Directly funded programmes and platforms</t>
        </is>
      </c>
      <c r="C16" s="1530" t="n"/>
      <c r="D16" s="1530" t="n"/>
      <c r="E16" s="1530" t="n"/>
      <c r="F16" s="1530" t="n"/>
      <c r="G16" s="1530" t="n"/>
      <c r="H16" s="1530" t="n"/>
      <c r="I16" s="1530" t="n"/>
      <c r="J16" s="1530" t="n"/>
      <c r="K16" s="1530" t="n"/>
      <c r="L16" s="1530" t="n"/>
      <c r="M16" s="1530" t="n"/>
      <c r="N16" s="1530" t="n"/>
      <c r="O16" s="1530" t="n"/>
      <c r="P16" s="1530" t="n"/>
      <c r="Q16" s="1530" t="n"/>
    </row>
    <row r="17">
      <c r="B17" s="1531" t="inlineStr">
        <is>
          <t>AmPOS</t>
        </is>
      </c>
      <c r="C17" s="1531" t="str">
        <f>IFERROR(INDEX('1.1 Ampol Retail'!$C$23:$C$68,MATCH($B17,'1.1 Ampol Retail'!$B$23:$B$68,0)),"Not on the 1.x tab")</f>
        <v>Strategic Programs</v>
      </c>
      <c r="D17" s="1531" t="str">
        <f>IFERROR(IF(INDEX('1.1 Ampol Retail'!$D$23:$D$68,MATCH($B17,'1.1 Ampol Retail'!$B$23:$B$68,0))="","-",INDEX('1.1 Ampol Retail'!$D$23:$D$68,MATCH($B17,'1.1 Ampol Retail'!$B$23:$B$68,0))),"-")</f>
        <v>-</v>
      </c>
      <c r="E17" s="1783" t="str">
        <f>"-"</f>
        <v>-</v>
      </c>
      <c r="F17" s="1770">
        <f>COUNTA($B$49:$B$58)</f>
        <v>10</v>
      </c>
      <c r="G17" s="1770">
        <f>COUNTIFS($D$49:$D$58,"Filled")</f>
        <v>10</v>
      </c>
      <c r="H17" s="1770">
        <f>COUNTIFS($D$49:$D$58,"Vacant")</f>
        <v>0</v>
      </c>
      <c r="I17" s="1770">
        <f>COUNTIFS($D$49:$D$58,"Vacant",$E$49:$E$58,"Hire")</f>
        <v>0</v>
      </c>
      <c r="J17" s="1770">
        <f>COUNTIFS($E$49:$E$58,"Offshore")</f>
        <v>0</v>
      </c>
      <c r="K17" s="1770">
        <f>COUNTIFS($E$49:$E$58,"Hold")</f>
        <v>0</v>
      </c>
      <c r="L17" s="1770">
        <f>$F17-$K17</f>
        <v>10</v>
      </c>
      <c r="M17" s="1769">
        <f>IFERROR(IF(N(INDEX('1.1 Ampol Retail'!$H$23:$H$68,MATCH($B17,'1.1 Ampol Retail'!$B$23:$B$68,0)))=0,"-",INDEX('1.1 Ampol Retail'!$H$23:$H$68,MATCH($B17,'1.1 Ampol Retail'!$B$23:$B$68,0))),"-")</f>
        <v>1.404089</v>
      </c>
      <c r="N17" s="1769">
        <f>SUMIFS('REVIEW - Complete Role Mapping'!$AA$2:$AA$528,'REVIEW - Complete Role Mapping'!$AJ$2:$AJ$528,$C$3,'REVIEW - Complete Role Mapping'!$AT$2:$AT$528,$B17)/1000000</f>
        <v>2.115029718</v>
      </c>
      <c r="O17" s="1769">
        <f>IFERROR(ROUND($N17-$M17,6),"-")</f>
        <v>0.710941</v>
      </c>
      <c r="P17" s="1769">
        <f>SUM($G$49:$G$58)/1000000</f>
        <v>2.115029718</v>
      </c>
      <c r="Q17" s="1769">
        <f>IFERROR(ROUND($P17-$M17,6),"-")</f>
        <v>0.710941</v>
      </c>
    </row>
    <row r="18">
      <c r="B18" s="1531" t="inlineStr">
        <is>
          <t>EGI Retail</t>
        </is>
      </c>
      <c r="C18" s="1531" t="str">
        <f>IFERROR(INDEX('1.1 Ampol Retail'!$C$23:$C$68,MATCH($B18,'1.1 Ampol Retail'!$B$23:$B$68,0)),"Not on the 1.x tab")</f>
        <v>Strategic Programs</v>
      </c>
      <c r="D18" s="1531" t="str">
        <f>IFERROR(IF(INDEX('1.1 Ampol Retail'!$D$23:$D$68,MATCH($B18,'1.1 Ampol Retail'!$B$23:$B$68,0))="","-",INDEX('1.1 Ampol Retail'!$D$23:$D$68,MATCH($B18,'1.1 Ampol Retail'!$B$23:$B$68,0))),"-")</f>
        <v>-</v>
      </c>
      <c r="E18" s="1783" t="str">
        <f>"-"</f>
        <v>-</v>
      </c>
      <c r="F18" s="1770">
        <f>COUNTA($B$73:$B$78)</f>
        <v>6</v>
      </c>
      <c r="G18" s="1770">
        <f>COUNTIFS($D$73:$D$78,"Filled")</f>
        <v>6</v>
      </c>
      <c r="H18" s="1770">
        <f>COUNTIFS($D$73:$D$78,"Vacant")</f>
        <v>0</v>
      </c>
      <c r="I18" s="1770">
        <f>COUNTIFS($D$73:$D$78,"Vacant",$E$73:$E$78,"Hire")</f>
        <v>0</v>
      </c>
      <c r="J18" s="1770">
        <f>COUNTIFS($E$73:$E$78,"Offshore")</f>
        <v>0</v>
      </c>
      <c r="K18" s="1770">
        <f>COUNTIFS($E$73:$E$78,"Hold")</f>
        <v>0</v>
      </c>
      <c r="L18" s="1770">
        <f>$F18-$K18</f>
        <v>6</v>
      </c>
      <c r="M18" s="1769">
        <f>IFERROR(IF(N(INDEX('1.1 Ampol Retail'!$H$23:$H$68,MATCH($B18,'1.1 Ampol Retail'!$B$23:$B$68,0)))=0,"-",INDEX('1.1 Ampol Retail'!$H$23:$H$68,MATCH($B18,'1.1 Ampol Retail'!$B$23:$B$68,0))),"-")</f>
        <v>1.52</v>
      </c>
      <c r="N18" s="1769">
        <f>SUMIFS('REVIEW - Complete Role Mapping'!$AA$2:$AA$528,'REVIEW - Complete Role Mapping'!$AJ$2:$AJ$528,$C$3,'REVIEW - Complete Role Mapping'!$AT$2:$AT$528,$B18)/1000000</f>
        <v>1.221357614</v>
      </c>
      <c r="O18" s="1769">
        <f>IFERROR(ROUND($N18-$M18,6),"-")</f>
        <v>-0.298642</v>
      </c>
      <c r="P18" s="1769">
        <f>SUM($G$73:$G$78)/1000000</f>
        <v>1.221357614</v>
      </c>
      <c r="Q18" s="1769">
        <f>IFERROR(ROUND($P18-$M18,6),"-")</f>
        <v>-0.298642</v>
      </c>
    </row>
    <row r="19">
      <c r="B19" s="1531" t="inlineStr">
        <is>
          <t>EGI TDD</t>
        </is>
      </c>
      <c r="C19" s="1531" t="str">
        <f>IFERROR(INDEX('1.1 Ampol Retail'!$C$23:$C$68,MATCH($B19,'1.1 Ampol Retail'!$B$23:$B$68,0)),"Not on the 1.x tab")</f>
        <v>Not on the 1.x tab</v>
      </c>
      <c r="D19" s="1531" t="str">
        <f>IFERROR(IF(INDEX('1.1 Ampol Retail'!$D$23:$D$68,MATCH($B19,'1.1 Ampol Retail'!$B$23:$B$68,0))="","-",INDEX('1.1 Ampol Retail'!$D$23:$D$68,MATCH($B19,'1.1 Ampol Retail'!$B$23:$B$68,0))),"-")</f>
        <v>-</v>
      </c>
      <c r="E19" s="1783" t="str">
        <f>"-"</f>
        <v>-</v>
      </c>
      <c r="F19" s="1770">
        <f>COUNTA($B$80:$B$80)</f>
        <v>1</v>
      </c>
      <c r="G19" s="1770">
        <f>COUNTIFS($D$80:$D$80,"Filled")</f>
        <v>1</v>
      </c>
      <c r="H19" s="1770">
        <f>COUNTIFS($D$80:$D$80,"Vacant")</f>
        <v>0</v>
      </c>
      <c r="I19" s="1770">
        <f>COUNTIFS($D$80:$D$80,"Vacant",$E$80:$E$80,"Hire")</f>
        <v>0</v>
      </c>
      <c r="J19" s="1770">
        <f>COUNTIFS($E$80:$E$80,"Offshore")</f>
        <v>0</v>
      </c>
      <c r="K19" s="1770">
        <f>COUNTIFS($E$80:$E$80,"Hold")</f>
        <v>0</v>
      </c>
      <c r="L19" s="1770">
        <f>$F19-$K19</f>
        <v>1</v>
      </c>
      <c r="M19" s="1769" t="str">
        <f>IFERROR(IF(N(INDEX('1.1 Ampol Retail'!$H$23:$H$68,MATCH($B19,'1.1 Ampol Retail'!$B$23:$B$68,0)))=0,"-",INDEX('1.1 Ampol Retail'!$H$23:$H$68,MATCH($B19,'1.1 Ampol Retail'!$B$23:$B$68,0))),"-")</f>
        <v>-</v>
      </c>
      <c r="N19" s="1769">
        <f>SUMIFS('REVIEW - Complete Role Mapping'!$AA$2:$AA$528,'REVIEW - Complete Role Mapping'!$AJ$2:$AJ$528,$C$3,'REVIEW - Complete Role Mapping'!$AT$2:$AT$528,$B19)/1000000</f>
        <v>0.2997</v>
      </c>
      <c r="O19" s="1769" t="str">
        <f>IFERROR(ROUND($N19-$M19,6),"-")</f>
        <v>-</v>
      </c>
      <c r="P19" s="1769">
        <f>SUM($G$80:$G$80)/1000000</f>
        <v>0.2997</v>
      </c>
      <c r="Q19" s="1769" t="str">
        <f>IFERROR(ROUND($P19-$M19,6),"-")</f>
        <v>-</v>
      </c>
    </row>
    <row r="20">
      <c r="B20" s="1535" t="inlineStr">
        <is>
          <t>Directly funded programmes and platforms total</t>
        </is>
      </c>
      <c r="C20" s="1535" t="n"/>
      <c r="D20" s="1535" t="n"/>
      <c r="E20" s="1784">
        <f>SUM(E17:E19)</f>
        <v>0</v>
      </c>
      <c r="F20" s="1772">
        <f>SUM(F17:F19)</f>
        <v>17</v>
      </c>
      <c r="G20" s="1772">
        <f>SUM(G17:G19)</f>
        <v>17</v>
      </c>
      <c r="H20" s="1772">
        <f>SUM(H17:H19)</f>
        <v>0</v>
      </c>
      <c r="I20" s="1772">
        <f>SUM(I17:I19)</f>
        <v>0</v>
      </c>
      <c r="J20" s="1772">
        <f>SUM(J17:J19)</f>
        <v>0</v>
      </c>
      <c r="K20" s="1772">
        <f>SUM(K17:K19)</f>
        <v>0</v>
      </c>
      <c r="L20" s="1772">
        <f>SUM(L17:L19)</f>
        <v>17</v>
      </c>
      <c r="M20" s="1771" t="str">
        <f>IF(COUNT(M17:M19)=3,SUM(M17:M19),"-")</f>
        <v>-</v>
      </c>
      <c r="N20" s="1771">
        <f>SUM(N17:N19)</f>
        <v>3.636087332</v>
      </c>
      <c r="O20" s="1771" t="str">
        <f>IF(ISNUMBER($M20),ROUND($N20-$M20,6),"-")</f>
        <v>-</v>
      </c>
      <c r="P20" s="1771">
        <f>SUM(P17:P19)</f>
        <v>3.636087332</v>
      </c>
      <c r="Q20" s="1771" t="str">
        <f>IF(ISNUMBER($M20),ROUND($P20-$M20,6),"-")</f>
        <v>-</v>
      </c>
    </row>
    <row r="21">
      <c r="B21" s="1530" t="inlineStr">
        <is>
          <t>Groups with no archetype and no funded figure</t>
        </is>
      </c>
      <c r="C21" s="1530" t="n"/>
      <c r="D21" s="1530" t="n"/>
      <c r="E21" s="1530" t="n"/>
      <c r="F21" s="1530" t="n"/>
      <c r="G21" s="1530" t="n"/>
      <c r="H21" s="1530" t="n"/>
      <c r="I21" s="1530" t="n"/>
      <c r="J21" s="1530" t="n"/>
      <c r="K21" s="1530" t="n"/>
      <c r="L21" s="1530" t="n"/>
      <c r="M21" s="1530" t="n"/>
      <c r="N21" s="1530" t="n"/>
      <c r="O21" s="1530" t="n"/>
      <c r="P21" s="1530" t="n"/>
      <c r="Q21" s="1530" t="n"/>
    </row>
    <row r="22">
      <c r="B22" s="1531" t="inlineStr">
        <is>
          <t>None</t>
        </is>
      </c>
      <c r="C22" s="1531" t="inlineStr">
        <is>
          <t>None - every group here has a figure to compare</t>
        </is>
      </c>
      <c r="D22" s="1539" t="str">
        <f>"-"</f>
        <v>-</v>
      </c>
      <c r="E22" s="1539" t="str">
        <f>"-"</f>
        <v>-</v>
      </c>
      <c r="F22" s="1539" t="str">
        <f>"-"</f>
        <v>-</v>
      </c>
      <c r="G22" s="1539" t="str">
        <f>"-"</f>
        <v>-</v>
      </c>
      <c r="H22" s="1539" t="str">
        <f>"-"</f>
        <v>-</v>
      </c>
      <c r="I22" s="1539" t="str">
        <f>"-"</f>
        <v>-</v>
      </c>
      <c r="J22" s="1539" t="str">
        <f>"-"</f>
        <v>-</v>
      </c>
      <c r="K22" s="1539" t="str">
        <f>"-"</f>
        <v>-</v>
      </c>
      <c r="L22" s="1539" t="str">
        <f>"-"</f>
        <v>-</v>
      </c>
      <c r="M22" s="1539" t="str">
        <f>"-"</f>
        <v>-</v>
      </c>
      <c r="N22" s="1539" t="str">
        <f>"-"</f>
        <v>-</v>
      </c>
      <c r="O22" s="1539" t="str">
        <f>"-"</f>
        <v>-</v>
      </c>
      <c r="P22" s="1539" t="str">
        <f>"-"</f>
        <v>-</v>
      </c>
      <c r="Q22" s="1539" t="str">
        <f>"-"</f>
        <v>-</v>
      </c>
    </row>
    <row r="23">
      <c r="B23" s="1535" t="inlineStr">
        <is>
          <t>Groups with no archetype and no funded figure total</t>
        </is>
      </c>
      <c r="C23" s="1535" t="n"/>
      <c r="D23" s="1535" t="n"/>
      <c r="E23" s="1784">
        <f>SUM(E22:E22)</f>
        <v>0</v>
      </c>
      <c r="F23" s="1772">
        <f>SUM(F22:F22)</f>
        <v>0</v>
      </c>
      <c r="G23" s="1772">
        <f>SUM(G22:G22)</f>
        <v>0</v>
      </c>
      <c r="H23" s="1772">
        <f>SUM(H22:H22)</f>
        <v>0</v>
      </c>
      <c r="I23" s="1772">
        <f>SUM(I22:I22)</f>
        <v>0</v>
      </c>
      <c r="J23" s="1772">
        <f>SUM(J22:J22)</f>
        <v>0</v>
      </c>
      <c r="K23" s="1772">
        <f>SUM(K22:K22)</f>
        <v>0</v>
      </c>
      <c r="L23" s="1772">
        <f>SUM(L22:L22)</f>
        <v>0</v>
      </c>
      <c r="M23" s="1771" t="str">
        <f>IF(COUNT(M22:M22)=1,SUM(M22:M22),"-")</f>
        <v>-</v>
      </c>
      <c r="N23" s="1771">
        <f>SUM(N22:N22)</f>
        <v>0</v>
      </c>
      <c r="O23" s="1771" t="str">
        <f>IF(ISNUMBER($M23),ROUND($N23-$M23,6),"-")</f>
        <v>-</v>
      </c>
      <c r="P23" s="1771">
        <f>SUM(P22:P22)</f>
        <v>0</v>
      </c>
      <c r="Q23" s="1771" t="str">
        <f>IF(ISNUMBER($M23),ROUND($P23-$M23,6),"-")</f>
        <v>-</v>
      </c>
    </row>
    <row r="24">
      <c r="B24" s="1530" t="inlineStr">
        <is>
          <t>Overhead roles</t>
        </is>
      </c>
      <c r="C24" s="1530" t="n"/>
      <c r="D24" s="1530" t="n"/>
      <c r="E24" s="1530" t="n"/>
      <c r="F24" s="1530" t="n"/>
      <c r="G24" s="1530" t="n"/>
      <c r="H24" s="1530" t="n"/>
      <c r="I24" s="1530" t="n"/>
      <c r="J24" s="1530" t="n"/>
      <c r="K24" s="1530" t="n"/>
      <c r="L24" s="1530" t="n"/>
      <c r="M24" s="1530" t="n"/>
      <c r="N24" s="1530" t="n"/>
      <c r="O24" s="1530" t="n"/>
      <c r="P24" s="1530" t="n"/>
      <c r="Q24" s="1530" t="n"/>
    </row>
    <row r="25">
      <c r="B25" s="1531" t="inlineStr">
        <is>
          <t>Head of Technology</t>
        </is>
      </c>
      <c r="C25" s="1531" t="str">
        <f>"-"</f>
        <v>-</v>
      </c>
      <c r="D25" s="1531" t="str">
        <f>"-"</f>
        <v>-</v>
      </c>
      <c r="E25" s="1540" t="str">
        <f>"-"</f>
        <v>-</v>
      </c>
      <c r="F25" s="1770">
        <f>COUNTA($B$112:$B$112)</f>
        <v>1</v>
      </c>
      <c r="G25" s="1770">
        <f>COUNTIFS($D$112:$D$112,"Filled")</f>
        <v>1</v>
      </c>
      <c r="H25" s="1770">
        <f>COUNTIFS($D$112:$D$112,"Vacant")</f>
        <v>0</v>
      </c>
      <c r="I25" s="1770">
        <f>COUNTIFS($D$112:$D$112,"Vacant",$E$112:$E$112,"Hire")</f>
        <v>0</v>
      </c>
      <c r="J25" s="1770">
        <f>COUNTIFS($E$112:$E$112,"Offshore")</f>
        <v>0</v>
      </c>
      <c r="K25" s="1770">
        <f>COUNTIFS($E$112:$E$112,"Hold")</f>
        <v>0</v>
      </c>
      <c r="L25" s="1770">
        <f>$F25-$K25</f>
        <v>1</v>
      </c>
      <c r="M25" s="1540" t="str">
        <f>"-"</f>
        <v>-</v>
      </c>
      <c r="N25" s="1769">
        <f>SUMIFS('REVIEW - Complete Role Mapping'!$AA$2:$AA$528,'REVIEW - Complete Role Mapping'!$AJ$2:$AJ$528,$C$3,'REVIEW - Complete Role Mapping'!$AT$2:$AT$528,$B25)/1000000</f>
        <v>0.18603225</v>
      </c>
      <c r="O25" s="1540" t="str">
        <f>"-"</f>
        <v>-</v>
      </c>
      <c r="P25" s="1769">
        <f>SUM($G$112:$G$112)/1000000</f>
        <v>0.18603225</v>
      </c>
      <c r="Q25" s="1540" t="str">
        <f>"-"</f>
        <v>-</v>
      </c>
    </row>
    <row r="26">
      <c r="B26" s="1531" t="inlineStr">
        <is>
          <t>Delivery Manager</t>
        </is>
      </c>
      <c r="C26" s="1531" t="str">
        <f>"-"</f>
        <v>-</v>
      </c>
      <c r="D26" s="1531" t="str">
        <f>"-"</f>
        <v>-</v>
      </c>
      <c r="E26" s="1540" t="str">
        <f>"-"</f>
        <v>-</v>
      </c>
      <c r="F26" s="1770">
        <f>COUNTA($B$114:$B$114)</f>
        <v>1</v>
      </c>
      <c r="G26" s="1770">
        <f>COUNTIFS($D$114:$D$114,"Filled")</f>
        <v>1</v>
      </c>
      <c r="H26" s="1770">
        <f>COUNTIFS($D$114:$D$114,"Vacant")</f>
        <v>0</v>
      </c>
      <c r="I26" s="1770">
        <f>COUNTIFS($D$114:$D$114,"Vacant",$E$114:$E$114,"Hire")</f>
        <v>0</v>
      </c>
      <c r="J26" s="1770">
        <f>COUNTIFS($E$114:$E$114,"Offshore")</f>
        <v>0</v>
      </c>
      <c r="K26" s="1770">
        <f>COUNTIFS($E$114:$E$114,"Hold")</f>
        <v>0</v>
      </c>
      <c r="L26" s="1770">
        <f>$F26-$K26</f>
        <v>1</v>
      </c>
      <c r="M26" s="1540" t="str">
        <f>"-"</f>
        <v>-</v>
      </c>
      <c r="N26" s="1769">
        <f>SUMIFS('REVIEW - Complete Role Mapping'!$AA$2:$AA$528,'REVIEW - Complete Role Mapping'!$AJ$2:$AJ$528,$C$3,'REVIEW - Complete Role Mapping'!$AT$2:$AT$528,$B26)/1000000</f>
        <v>0.30293735</v>
      </c>
      <c r="O26" s="1540" t="str">
        <f>"-"</f>
        <v>-</v>
      </c>
      <c r="P26" s="1769">
        <f>SUM($G$114:$G$114)/1000000</f>
        <v>0.30293735</v>
      </c>
      <c r="Q26" s="1540" t="str">
        <f>"-"</f>
        <v>-</v>
      </c>
    </row>
    <row r="27">
      <c r="B27" s="1531" t="inlineStr">
        <is>
          <t>Technology Manager</t>
        </is>
      </c>
      <c r="C27" s="1531" t="str">
        <f>"-"</f>
        <v>-</v>
      </c>
      <c r="D27" s="1531" t="str">
        <f>"-"</f>
        <v>-</v>
      </c>
      <c r="E27" s="1540" t="str">
        <f>"-"</f>
        <v>-</v>
      </c>
      <c r="F27" s="1770">
        <f>COUNTA($B$116:$B$118)</f>
        <v>3</v>
      </c>
      <c r="G27" s="1770">
        <f>COUNTIFS($D$116:$D$118,"Filled")</f>
        <v>3</v>
      </c>
      <c r="H27" s="1770">
        <f>COUNTIFS($D$116:$D$118,"Vacant")</f>
        <v>0</v>
      </c>
      <c r="I27" s="1770">
        <f>COUNTIFS($D$116:$D$118,"Vacant",$E$116:$E$118,"Hire")</f>
        <v>0</v>
      </c>
      <c r="J27" s="1770">
        <f>COUNTIFS($E$116:$E$118,"Offshore")</f>
        <v>0</v>
      </c>
      <c r="K27" s="1770">
        <f>COUNTIFS($E$116:$E$118,"Hold")</f>
        <v>0</v>
      </c>
      <c r="L27" s="1770">
        <f>$F27-$K27</f>
        <v>3</v>
      </c>
      <c r="M27" s="1540" t="str">
        <f>"-"</f>
        <v>-</v>
      </c>
      <c r="N27" s="1769">
        <f>SUMIFS('REVIEW - Complete Role Mapping'!$AA$2:$AA$528,'REVIEW - Complete Role Mapping'!$AJ$2:$AJ$528,$C$3,'REVIEW - Complete Role Mapping'!$AT$2:$AT$528,$B27)/1000000</f>
        <v>0.766646363</v>
      </c>
      <c r="O27" s="1540" t="str">
        <f>"-"</f>
        <v>-</v>
      </c>
      <c r="P27" s="1769">
        <f>SUM($G$116:$G$118)/1000000</f>
        <v>0.766646363</v>
      </c>
      <c r="Q27" s="1540" t="str">
        <f>"-"</f>
        <v>-</v>
      </c>
    </row>
    <row r="28">
      <c r="B28" s="1535" t="inlineStr">
        <is>
          <t>Overhead roles total</t>
        </is>
      </c>
      <c r="C28" s="1535" t="n"/>
      <c r="D28" s="1535" t="n"/>
      <c r="E28" s="1784">
        <f>SUM(E25:E27)</f>
        <v>0</v>
      </c>
      <c r="F28" s="1772">
        <f>SUM(F25:F27)</f>
        <v>5</v>
      </c>
      <c r="G28" s="1772">
        <f>SUM(G25:G27)</f>
        <v>5</v>
      </c>
      <c r="H28" s="1772">
        <f>SUM(H25:H27)</f>
        <v>0</v>
      </c>
      <c r="I28" s="1772">
        <f>SUM(I25:I27)</f>
        <v>0</v>
      </c>
      <c r="J28" s="1772">
        <f>SUM(J25:J27)</f>
        <v>0</v>
      </c>
      <c r="K28" s="1772">
        <f>SUM(K25:K27)</f>
        <v>0</v>
      </c>
      <c r="L28" s="1772">
        <f>SUM(L25:L27)</f>
        <v>5</v>
      </c>
      <c r="M28" s="1771" t="str">
        <f>IF(COUNT(M25:M27)=3,SUM(M25:M27),"-")</f>
        <v>-</v>
      </c>
      <c r="N28" s="1771">
        <f>SUM(N25:N27)</f>
        <v>1.255615963</v>
      </c>
      <c r="O28" s="1771" t="str">
        <f>IF(ISNUMBER($M28),ROUND($N28-$M28,6),"-")</f>
        <v>-</v>
      </c>
      <c r="P28" s="1771">
        <f>SUM(P25:P27)</f>
        <v>1.255615963</v>
      </c>
      <c r="Q28" s="1771" t="str">
        <f>IF(ISNUMBER($M28),ROUND($P28-$M28,6),"-")</f>
        <v>-</v>
      </c>
    </row>
    <row r="29">
      <c r="B29" s="1541" t="inlineStr">
        <is>
          <t>Total portfolio</t>
        </is>
      </c>
      <c r="C29" s="1541" t="n"/>
      <c r="D29" s="1541" t="n"/>
      <c r="E29" s="1785">
        <f>N(E15)+N(E20)+N(E23)+N(E28)</f>
        <v>47.5</v>
      </c>
      <c r="F29" s="1774">
        <f>N(F15)+N(F20)+N(F23)+N(F28)</f>
        <v>70</v>
      </c>
      <c r="G29" s="1774">
        <f>N(G15)+N(G20)+N(G23)+N(G28)</f>
        <v>48</v>
      </c>
      <c r="H29" s="1774">
        <f>N(H15)+N(H20)+N(H23)+N(H28)</f>
        <v>22</v>
      </c>
      <c r="I29" s="1774">
        <f>N(I15)+N(I20)+N(I23)+N(I28)</f>
        <v>22</v>
      </c>
      <c r="J29" s="1774">
        <f>N(J15)+N(J20)+N(J23)+N(J28)</f>
        <v>0</v>
      </c>
      <c r="K29" s="1774">
        <f>N(K15)+N(K20)+N(K23)+N(K28)</f>
        <v>0</v>
      </c>
      <c r="L29" s="1774">
        <f>N(L15)+N(L20)+N(L23)+N(L28)</f>
        <v>70</v>
      </c>
      <c r="M29" s="1773" t="str">
        <f>"-"</f>
        <v>-</v>
      </c>
      <c r="N29" s="1773">
        <f>N(N15)+N(N20)+N(N23)+N(N28)</f>
        <v>14.005227457</v>
      </c>
      <c r="O29" s="1773" t="str">
        <f>"-"</f>
        <v>-</v>
      </c>
      <c r="P29" s="1773">
        <f>N(P15)+N(P20)+N(P23)+N(P28)</f>
        <v>14.005227457</v>
      </c>
      <c r="Q29" s="1773" t="str">
        <f>"-"</f>
        <v>-</v>
      </c>
    </row>
    <row r="31">
      <c r="B31" s="1526" t="inlineStr">
        <is>
          <t>Control - roles against the ledger, must be 0</t>
        </is>
      </c>
      <c r="F31" s="1778">
        <f>$F$29-COUNTIFS('REVIEW - Complete Role Mapping'!$AJ$2:$AJ$528,$C$3)</f>
        <v>0</v>
      </c>
    </row>
    <row r="32">
      <c r="B32" s="1526" t="inlineStr">
        <is>
          <t>Control - cost against the ledger ($m), must be 0</t>
        </is>
      </c>
      <c r="N32" s="1779">
        <f>ROUND($N$29-SUMIFS('REVIEW - Complete Role Mapping'!$AA$2:$AA$528,'REVIEW - Complete Role Mapping'!$AJ$2:$AJ$528,$C$3)/1000000,6)</f>
        <v>0</v>
      </c>
    </row>
    <row r="34" ht="19" customHeight="1" s="866">
      <c r="B34" s="1527" t="inlineStr">
        <is>
          <t>Ampol Retail FTE</t>
        </is>
      </c>
      <c r="C34" s="1528" t="n"/>
      <c r="D34" s="1528" t="n"/>
      <c r="E34" s="1528" t="n"/>
      <c r="F34" s="1528" t="n"/>
      <c r="G34" s="1528" t="n"/>
    </row>
    <row r="35" ht="34" customHeight="1" s="866">
      <c r="B35" s="1529" t="inlineStr">
        <is>
          <t>Name</t>
        </is>
      </c>
      <c r="C35" s="1529" t="inlineStr">
        <is>
          <t>Role</t>
        </is>
      </c>
      <c r="D35" s="1529" t="inlineStr">
        <is>
          <t>Status</t>
        </is>
      </c>
      <c r="E35" s="1529" t="inlineStr">
        <is>
          <t>Vacancy lever</t>
        </is>
      </c>
      <c r="F35" s="1529" t="inlineStr">
        <is>
          <t>Role cost ($)</t>
        </is>
      </c>
      <c r="G35" s="1529" t="inlineStr">
        <is>
          <t>Cost after decision ($)</t>
        </is>
      </c>
    </row>
    <row r="36">
      <c r="B36" s="1530" t="inlineStr">
        <is>
          <t>Above Store</t>
        </is>
      </c>
      <c r="C36" s="1530" t="str">
        <f>COUNTA($B$37:$B$47)&amp;IF(COUNTA($B$37:$B$47)=1," role"," roles")</f>
        <v>11 roles</v>
      </c>
      <c r="D36" s="1530" t="n"/>
      <c r="E36" s="1530" t="n"/>
      <c r="F36" s="1786">
        <f>SUM(F37:F47)</f>
        <v>2097921.857</v>
      </c>
      <c r="G36" s="1786">
        <f>SUM(G37:G47)</f>
        <v>2097921.857</v>
      </c>
    </row>
    <row r="37">
      <c r="B37" s="1531" t="str">
        <f>INDEX('REVIEW - Complete Role Mapping'!$B:$B,36)</f>
        <v>Joseph Maroun</v>
      </c>
      <c r="C37" s="1531" t="str">
        <f>INDEX('REVIEW - Complete Role Mapping'!$C:$C,36)</f>
        <v>Systems Analyst</v>
      </c>
      <c r="D37" s="1531" t="str">
        <f>INDEX('REVIEW - Complete Role Mapping'!$AK:$AK,36)</f>
        <v>Filled</v>
      </c>
      <c r="E37" s="1548" t="inlineStr">
        <is>
          <t>Filled</t>
        </is>
      </c>
      <c r="F37" s="1770">
        <f>INDEX('REVIEW - Complete Role Mapping'!$AA:$AA,36)</f>
        <v>176565.05</v>
      </c>
      <c r="G37" s="1770">
        <f>$F37*IFERROR(INDEX(Lists!$AD:$AD,MATCH($E37,Lists!$AC:$AC,0)),1)</f>
        <v>176565.05</v>
      </c>
    </row>
    <row r="38">
      <c r="B38" s="1531" t="str">
        <f>INDEX('REVIEW - Complete Role Mapping'!$B:$B,43)</f>
        <v>Majdi Abedi</v>
      </c>
      <c r="C38" s="1531" t="str">
        <f>INDEX('REVIEW - Complete Role Mapping'!$C:$C,43)</f>
        <v>Systems Analyst</v>
      </c>
      <c r="D38" s="1531" t="str">
        <f>INDEX('REVIEW - Complete Role Mapping'!$AK:$AK,43)</f>
        <v>Filled</v>
      </c>
      <c r="E38" s="1548" t="inlineStr">
        <is>
          <t>Filled</t>
        </is>
      </c>
      <c r="F38" s="1770">
        <f>INDEX('REVIEW - Complete Role Mapping'!$AA:$AA,43)</f>
        <v>134367.972</v>
      </c>
      <c r="G38" s="1770">
        <f>$F38*IFERROR(INDEX(Lists!$AD:$AD,MATCH($E38,Lists!$AC:$AC,0)),1)</f>
        <v>134367.972</v>
      </c>
    </row>
    <row r="39">
      <c r="B39" s="1531" t="str">
        <f>INDEX('REVIEW - Complete Role Mapping'!$B:$B,53)</f>
        <v>Pahul Oberoi</v>
      </c>
      <c r="C39" s="1531" t="str">
        <f>INDEX('REVIEW - Complete Role Mapping'!$C:$C,53)</f>
        <v>Systems Analyst</v>
      </c>
      <c r="D39" s="1531" t="str">
        <f>INDEX('REVIEW - Complete Role Mapping'!$AK:$AK,53)</f>
        <v>Filled</v>
      </c>
      <c r="E39" s="1548" t="inlineStr">
        <is>
          <t>Filled</t>
        </is>
      </c>
      <c r="F39" s="1770">
        <f>INDEX('REVIEW - Complete Role Mapping'!$AA:$AA,53)</f>
        <v>162060.6</v>
      </c>
      <c r="G39" s="1770">
        <f>$F39*IFERROR(INDEX(Lists!$AD:$AD,MATCH($E39,Lists!$AC:$AC,0)),1)</f>
        <v>162060.6</v>
      </c>
    </row>
    <row r="40">
      <c r="B40" s="1531" t="str">
        <f>INDEX('REVIEW - Complete Role Mapping'!$B:$B,58)</f>
        <v>Sao Keawprasit</v>
      </c>
      <c r="C40" s="1531" t="str">
        <f>INDEX('REVIEW - Complete Role Mapping'!$C:$C,58)</f>
        <v>Systems Analyst</v>
      </c>
      <c r="D40" s="1531" t="str">
        <f>INDEX('REVIEW - Complete Role Mapping'!$AK:$AK,58)</f>
        <v>Filled</v>
      </c>
      <c r="E40" s="1548" t="inlineStr">
        <is>
          <t>Filled</t>
        </is>
      </c>
      <c r="F40" s="1770">
        <f>INDEX('REVIEW - Complete Role Mapping'!$AA:$AA,58)</f>
        <v>203213.7</v>
      </c>
      <c r="G40" s="1770">
        <f>$F40*IFERROR(INDEX(Lists!$AD:$AD,MATCH($E40,Lists!$AC:$AC,0)),1)</f>
        <v>203213.7</v>
      </c>
    </row>
    <row r="41">
      <c r="B41" s="1531" t="str">
        <f>INDEX('REVIEW - Complete Role Mapping'!$B:$B,67)</f>
        <v>Vacant</v>
      </c>
      <c r="C41" s="1531" t="str">
        <f>INDEX('REVIEW - Complete Role Mapping'!$C:$C,67)</f>
        <v>Business Analyst</v>
      </c>
      <c r="D41" s="1531" t="str">
        <f>INDEX('REVIEW - Complete Role Mapping'!$AK:$AK,67)</f>
        <v>Vacant</v>
      </c>
      <c r="E41" s="1548" t="inlineStr">
        <is>
          <t>Hire</t>
        </is>
      </c>
      <c r="F41" s="1770">
        <f>INDEX('REVIEW - Complete Role Mapping'!$AA:$AA,67)</f>
        <v>202853.25</v>
      </c>
      <c r="G41" s="1770">
        <f>$F41*IFERROR(INDEX(Lists!$AD:$AD,MATCH($E41,Lists!$AC:$AC,0)),1)</f>
        <v>202853.25</v>
      </c>
    </row>
    <row r="42">
      <c r="B42" s="1531" t="str">
        <f>INDEX('REVIEW - Complete Role Mapping'!$B:$B,79)</f>
        <v>Vacant</v>
      </c>
      <c r="C42" s="1531" t="str">
        <f>INDEX('REVIEW - Complete Role Mapping'!$C:$C,79)</f>
        <v>Engineer - Integration</v>
      </c>
      <c r="D42" s="1531" t="str">
        <f>INDEX('REVIEW - Complete Role Mapping'!$AK:$AK,79)</f>
        <v>Vacant</v>
      </c>
      <c r="E42" s="1548" t="inlineStr">
        <is>
          <t>Hire</t>
        </is>
      </c>
      <c r="F42" s="1770">
        <f>INDEX('REVIEW - Complete Role Mapping'!$AA:$AA,79)</f>
        <v>170489.75</v>
      </c>
      <c r="G42" s="1770">
        <f>$F42*IFERROR(INDEX(Lists!$AD:$AD,MATCH($E42,Lists!$AC:$AC,0)),1)</f>
        <v>170489.75</v>
      </c>
    </row>
    <row r="43">
      <c r="B43" s="1531" t="str">
        <f>INDEX('REVIEW - Complete Role Mapping'!$B:$B,85)</f>
        <v>Vacant</v>
      </c>
      <c r="C43" s="1531" t="str">
        <f>INDEX('REVIEW - Complete Role Mapping'!$C:$C,85)</f>
        <v>Quality Assurance</v>
      </c>
      <c r="D43" s="1531" t="str">
        <f>INDEX('REVIEW - Complete Role Mapping'!$AK:$AK,85)</f>
        <v>Vacant</v>
      </c>
      <c r="E43" s="1548" t="inlineStr">
        <is>
          <t>Hire</t>
        </is>
      </c>
      <c r="F43" s="1770">
        <f>INDEX('REVIEW - Complete Role Mapping'!$AA:$AA,85)</f>
        <v>170501.585</v>
      </c>
      <c r="G43" s="1770">
        <f>$F43*IFERROR(INDEX(Lists!$AD:$AD,MATCH($E43,Lists!$AC:$AC,0)),1)</f>
        <v>170501.585</v>
      </c>
    </row>
    <row r="44">
      <c r="B44" s="1531" t="str">
        <f>INDEX('REVIEW - Complete Role Mapping'!$B:$B,92)</f>
        <v>Vacant</v>
      </c>
      <c r="C44" s="1531" t="str">
        <f>INDEX('REVIEW - Complete Role Mapping'!$C:$C,92)</f>
        <v>Systems Analyst</v>
      </c>
      <c r="D44" s="1531" t="str">
        <f>INDEX('REVIEW - Complete Role Mapping'!$AK:$AK,92)</f>
        <v>Vacant</v>
      </c>
      <c r="E44" s="1548" t="inlineStr">
        <is>
          <t>Hire</t>
        </is>
      </c>
      <c r="F44" s="1770">
        <f>INDEX('REVIEW - Complete Role Mapping'!$AA:$AA,92)</f>
        <v>201585</v>
      </c>
      <c r="G44" s="1770">
        <f>$F44*IFERROR(INDEX(Lists!$AD:$AD,MATCH($E44,Lists!$AC:$AC,0)),1)</f>
        <v>201585</v>
      </c>
    </row>
    <row r="45">
      <c r="B45" s="1531" t="str">
        <f>INDEX('REVIEW - Complete Role Mapping'!$B:$B,102)</f>
        <v>Vijay Patel</v>
      </c>
      <c r="C45" s="1531" t="str">
        <f>INDEX('REVIEW - Complete Role Mapping'!$C:$C,102)</f>
        <v>Systems Analyst</v>
      </c>
      <c r="D45" s="1531" t="str">
        <f>INDEX('REVIEW - Complete Role Mapping'!$AK:$AK,102)</f>
        <v>Filled</v>
      </c>
      <c r="E45" s="1548" t="inlineStr">
        <is>
          <t>Filled</t>
        </is>
      </c>
      <c r="F45" s="1770">
        <f>INDEX('REVIEW - Complete Role Mapping'!$AA:$AA,102)</f>
        <v>193575</v>
      </c>
      <c r="G45" s="1770">
        <f>$F45*IFERROR(INDEX(Lists!$AD:$AD,MATCH($E45,Lists!$AC:$AC,0)),1)</f>
        <v>193575</v>
      </c>
    </row>
    <row r="46">
      <c r="B46" s="1531" t="str">
        <f>INDEX('REVIEW - Complete Role Mapping'!$B:$B,106)</f>
        <v>Zhan Zhang</v>
      </c>
      <c r="C46" s="1531" t="str">
        <f>INDEX('REVIEW - Complete Role Mapping'!$C:$C,106)</f>
        <v>Solution Architect</v>
      </c>
      <c r="D46" s="1531" t="str">
        <f>INDEX('REVIEW - Complete Role Mapping'!$AK:$AK,106)</f>
        <v>Filled</v>
      </c>
      <c r="E46" s="1548" t="inlineStr">
        <is>
          <t>Filled</t>
        </is>
      </c>
      <c r="F46" s="1770">
        <f>INDEX('REVIEW - Complete Role Mapping'!$AA:$AA,106)</f>
        <v>243637.5</v>
      </c>
      <c r="G46" s="1770">
        <f>$F46*IFERROR(INDEX(Lists!$AD:$AD,MATCH($E46,Lists!$AC:$AC,0)),1)</f>
        <v>243637.5</v>
      </c>
    </row>
    <row r="47">
      <c r="B47" s="1531" t="str">
        <f>INDEX('REVIEW - Complete Role Mapping'!$B:$B,107)</f>
        <v>Zuan Zheng</v>
      </c>
      <c r="C47" s="1531" t="str">
        <f>INDEX('REVIEW - Complete Role Mapping'!$C:$C,107)</f>
        <v>Systems Analyst</v>
      </c>
      <c r="D47" s="1531" t="str">
        <f>INDEX('REVIEW - Complete Role Mapping'!$AK:$AK,107)</f>
        <v>Filled</v>
      </c>
      <c r="E47" s="1548" t="inlineStr">
        <is>
          <t>Filled</t>
        </is>
      </c>
      <c r="F47" s="1770">
        <f>INDEX('REVIEW - Complete Role Mapping'!$AA:$AA,107)</f>
        <v>239072.45</v>
      </c>
      <c r="G47" s="1770">
        <f>$F47*IFERROR(INDEX(Lists!$AD:$AD,MATCH($E47,Lists!$AC:$AC,0)),1)</f>
        <v>239072.45</v>
      </c>
    </row>
    <row r="48">
      <c r="B48" s="1530" t="inlineStr">
        <is>
          <t>AmPOS</t>
        </is>
      </c>
      <c r="C48" s="1530" t="str">
        <f>COUNTA($B$49:$B$58)&amp;IF(COUNTA($B$49:$B$58)=1," role"," roles")</f>
        <v>10 roles</v>
      </c>
      <c r="D48" s="1530" t="n"/>
      <c r="E48" s="1530" t="n"/>
      <c r="F48" s="1786">
        <f>SUM(F49:F58)</f>
        <v>2115029.718</v>
      </c>
      <c r="G48" s="1786">
        <f>SUM(G49:G58)</f>
        <v>2115029.718</v>
      </c>
    </row>
    <row r="49">
      <c r="B49" s="1531" t="str">
        <f>INDEX('REVIEW - Complete Role Mapping'!$B:$B,13)</f>
        <v>Balaji Murugan</v>
      </c>
      <c r="C49" s="1531" t="str">
        <f>INDEX('REVIEW - Complete Role Mapping'!$C:$C,13)</f>
        <v>Delivery Lead</v>
      </c>
      <c r="D49" s="1531" t="str">
        <f>INDEX('REVIEW - Complete Role Mapping'!$AK:$AK,13)</f>
        <v>Filled</v>
      </c>
      <c r="E49" s="1548" t="inlineStr">
        <is>
          <t>Filled</t>
        </is>
      </c>
      <c r="F49" s="1770">
        <f>INDEX('REVIEW - Complete Role Mapping'!$AA:$AA,13)</f>
        <v>237654.03</v>
      </c>
      <c r="G49" s="1770">
        <f>$F49*IFERROR(INDEX(Lists!$AD:$AD,MATCH($E49,Lists!$AC:$AC,0)),1)</f>
        <v>237654.03</v>
      </c>
    </row>
    <row r="50">
      <c r="B50" s="1531" t="str">
        <f>INDEX('REVIEW - Complete Role Mapping'!$B:$B,30)</f>
        <v>Irfan Zavahir</v>
      </c>
      <c r="C50" s="1531" t="str">
        <f>INDEX('REVIEW - Complete Role Mapping'!$C:$C,30)</f>
        <v>Delivery Lead</v>
      </c>
      <c r="D50" s="1531" t="str">
        <f>INDEX('REVIEW - Complete Role Mapping'!$AK:$AK,30)</f>
        <v>Filled</v>
      </c>
      <c r="E50" s="1548" t="inlineStr">
        <is>
          <t>Filled</t>
        </is>
      </c>
      <c r="F50" s="1770">
        <f>INDEX('REVIEW - Complete Role Mapping'!$AA:$AA,30)</f>
        <v>161334</v>
      </c>
      <c r="G50" s="1770">
        <f>$F50*IFERROR(INDEX(Lists!$AD:$AD,MATCH($E50,Lists!$AC:$AC,0)),1)</f>
        <v>161334</v>
      </c>
    </row>
    <row r="51">
      <c r="B51" s="1531" t="str">
        <f>INDEX('REVIEW - Complete Role Mapping'!$B:$B,37)</f>
        <v>Karthick Sathiyamoorthy</v>
      </c>
      <c r="C51" s="1531" t="str">
        <f>INDEX('REVIEW - Complete Role Mapping'!$C:$C,37)</f>
        <v>Quality Assurance</v>
      </c>
      <c r="D51" s="1531" t="str">
        <f>INDEX('REVIEW - Complete Role Mapping'!$AK:$AK,37)</f>
        <v>Filled</v>
      </c>
      <c r="E51" s="1548" t="inlineStr">
        <is>
          <t>Filled</t>
        </is>
      </c>
      <c r="F51" s="1770">
        <f>INDEX('REVIEW - Complete Role Mapping'!$AA:$AA,37)</f>
        <v>194028.9</v>
      </c>
      <c r="G51" s="1770">
        <f>$F51*IFERROR(INDEX(Lists!$AD:$AD,MATCH($E51,Lists!$AC:$AC,0)),1)</f>
        <v>194028.9</v>
      </c>
    </row>
    <row r="52">
      <c r="B52" s="1531" t="str">
        <f>INDEX('REVIEW - Complete Role Mapping'!$B:$B,39)</f>
        <v>Kate Johnstone</v>
      </c>
      <c r="C52" s="1531" t="str">
        <f>INDEX('REVIEW - Complete Role Mapping'!$C:$C,39)</f>
        <v>Program Manager POS</v>
      </c>
      <c r="D52" s="1531" t="str">
        <f>INDEX('REVIEW - Complete Role Mapping'!$AK:$AK,39)</f>
        <v>Filled</v>
      </c>
      <c r="E52" s="1548" t="inlineStr">
        <is>
          <t>Filled</t>
        </is>
      </c>
      <c r="F52" s="1770">
        <f>INDEX('REVIEW - Complete Role Mapping'!$AA:$AA,39)</f>
        <v>202026.336</v>
      </c>
      <c r="G52" s="1770">
        <f>$F52*IFERROR(INDEX(Lists!$AD:$AD,MATCH($E52,Lists!$AC:$AC,0)),1)</f>
        <v>202026.336</v>
      </c>
    </row>
    <row r="53">
      <c r="B53" s="1531" t="str">
        <f>INDEX('REVIEW - Complete Role Mapping'!$B:$B,51)</f>
        <v>Mick Standen</v>
      </c>
      <c r="C53" s="1531" t="str">
        <f>INDEX('REVIEW - Complete Role Mapping'!$C:$C,51)</f>
        <v>Systems Analyst</v>
      </c>
      <c r="D53" s="1531" t="str">
        <f>INDEX('REVIEW - Complete Role Mapping'!$AK:$AK,51)</f>
        <v>Filled</v>
      </c>
      <c r="E53" s="1548" t="inlineStr">
        <is>
          <t>Filled</t>
        </is>
      </c>
      <c r="F53" s="1770">
        <f>INDEX('REVIEW - Complete Role Mapping'!$AA:$AA,51)</f>
        <v>262647.9</v>
      </c>
      <c r="G53" s="1770">
        <f>$F53*IFERROR(INDEX(Lists!$AD:$AD,MATCH($E53,Lists!$AC:$AC,0)),1)</f>
        <v>262647.9</v>
      </c>
    </row>
    <row r="54">
      <c r="B54" s="1531" t="str">
        <f>INDEX('REVIEW - Complete Role Mapping'!$B:$B,55)</f>
        <v>Peter Nicolopoulos</v>
      </c>
      <c r="C54" s="1531" t="str">
        <f>INDEX('REVIEW - Complete Role Mapping'!$C:$C,55)</f>
        <v>Systems Analyst</v>
      </c>
      <c r="D54" s="1531" t="str">
        <f>INDEX('REVIEW - Complete Role Mapping'!$AK:$AK,55)</f>
        <v>Filled</v>
      </c>
      <c r="E54" s="1548" t="inlineStr">
        <is>
          <t>Filled</t>
        </is>
      </c>
      <c r="F54" s="1770">
        <f>INDEX('REVIEW - Complete Role Mapping'!$AA:$AA,55)</f>
        <v>147460.584</v>
      </c>
      <c r="G54" s="1770">
        <f>$F54*IFERROR(INDEX(Lists!$AD:$AD,MATCH($E54,Lists!$AC:$AC,0)),1)</f>
        <v>147460.584</v>
      </c>
    </row>
    <row r="55">
      <c r="B55" s="1531" t="str">
        <f>INDEX('REVIEW - Complete Role Mapping'!$B:$B,62)</f>
        <v>Tabitha Raharadjo</v>
      </c>
      <c r="C55" s="1531" t="str">
        <f>INDEX('REVIEW - Complete Role Mapping'!$C:$C,62)</f>
        <v>Project Coordinator</v>
      </c>
      <c r="D55" s="1531" t="str">
        <f>INDEX('REVIEW - Complete Role Mapping'!$AK:$AK,62)</f>
        <v>Filled</v>
      </c>
      <c r="E55" s="1548" t="inlineStr">
        <is>
          <t>Filled</t>
        </is>
      </c>
      <c r="F55" s="1770">
        <f>INDEX('REVIEW - Complete Role Mapping'!$AA:$AA,62)</f>
        <v>198937.068</v>
      </c>
      <c r="G55" s="1770">
        <f>$F55*IFERROR(INDEX(Lists!$AD:$AD,MATCH($E55,Lists!$AC:$AC,0)),1)</f>
        <v>198937.068</v>
      </c>
    </row>
    <row r="56">
      <c r="B56" s="1531" t="str">
        <f>INDEX('REVIEW - Complete Role Mapping'!$B:$B,380)</f>
        <v>Kevin Nelson</v>
      </c>
      <c r="C56" s="1531" t="str">
        <f>INDEX('REVIEW - Complete Role Mapping'!$C:$C,380)</f>
        <v>Delivery Lead</v>
      </c>
      <c r="D56" s="1531" t="str">
        <f>INDEX('REVIEW - Complete Role Mapping'!$AK:$AK,380)</f>
        <v>Filled</v>
      </c>
      <c r="E56" s="1548" t="inlineStr">
        <is>
          <t>Filled</t>
        </is>
      </c>
      <c r="F56" s="1770">
        <f>INDEX('REVIEW - Complete Role Mapping'!$AA:$AA,380)</f>
        <v>253142.7</v>
      </c>
      <c r="G56" s="1770">
        <f>$F56*IFERROR(INDEX(Lists!$AD:$AD,MATCH($E56,Lists!$AC:$AC,0)),1)</f>
        <v>253142.7</v>
      </c>
    </row>
    <row r="57">
      <c r="B57" s="1531" t="str">
        <f>INDEX('REVIEW - Complete Role Mapping'!$B:$B,442)</f>
        <v>Victor Beuk</v>
      </c>
      <c r="C57" s="1531" t="str">
        <f>INDEX('REVIEW - Complete Role Mapping'!$C:$C,442)</f>
        <v>Delivery Lead</v>
      </c>
      <c r="D57" s="1531" t="str">
        <f>INDEX('REVIEW - Complete Role Mapping'!$AK:$AK,442)</f>
        <v>Filled</v>
      </c>
      <c r="E57" s="1548" t="inlineStr">
        <is>
          <t>Filled</t>
        </is>
      </c>
      <c r="F57" s="1770">
        <f>INDEX('REVIEW - Complete Role Mapping'!$AA:$AA,442)</f>
        <v>247455.6</v>
      </c>
      <c r="G57" s="1770">
        <f>$F57*IFERROR(INDEX(Lists!$AD:$AD,MATCH($E57,Lists!$AC:$AC,0)),1)</f>
        <v>247455.6</v>
      </c>
    </row>
    <row r="58">
      <c r="B58" s="1531" t="str">
        <f>INDEX('REVIEW - Complete Role Mapping'!$B:$B,467)</f>
        <v>Hardik Trivedi</v>
      </c>
      <c r="C58" s="1531" t="str">
        <f>INDEX('REVIEW - Complete Role Mapping'!$C:$C,467)</f>
        <v>Snr Business Analyst</v>
      </c>
      <c r="D58" s="1531" t="str">
        <f>INDEX('REVIEW - Complete Role Mapping'!$AK:$AK,467)</f>
        <v>Filled</v>
      </c>
      <c r="E58" s="1548" t="inlineStr">
        <is>
          <t>Filled</t>
        </is>
      </c>
      <c r="F58" s="1770">
        <f>INDEX('REVIEW - Complete Role Mapping'!$AA:$AA,467)</f>
        <v>210342.6</v>
      </c>
      <c r="G58" s="1770">
        <f>$F58*IFERROR(INDEX(Lists!$AD:$AD,MATCH($E58,Lists!$AC:$AC,0)),1)</f>
        <v>210342.6</v>
      </c>
    </row>
    <row r="59">
      <c r="B59" s="1530" t="inlineStr">
        <is>
          <t>Data AU</t>
        </is>
      </c>
      <c r="C59" s="1530" t="str">
        <f>COUNTA($B$60:$B$65)&amp;IF(COUNTA($B$60:$B$65)=1," role"," roles")</f>
        <v>6 roles</v>
      </c>
      <c r="D59" s="1530" t="n"/>
      <c r="E59" s="1530" t="n"/>
      <c r="F59" s="1786">
        <f>SUM(F60:F65)</f>
        <v>1212323.75</v>
      </c>
      <c r="G59" s="1786">
        <f>SUM(G60:G65)</f>
        <v>1212323.75</v>
      </c>
    </row>
    <row r="60">
      <c r="B60" s="1531" t="str">
        <f>INDEX('REVIEW - Complete Role Mapping'!$B:$B,70)</f>
        <v>Vacant</v>
      </c>
      <c r="C60" s="1531" t="str">
        <f>INDEX('REVIEW - Complete Role Mapping'!$C:$C,70)</f>
        <v>Data Analyst</v>
      </c>
      <c r="D60" s="1531" t="str">
        <f>INDEX('REVIEW - Complete Role Mapping'!$AK:$AK,70)</f>
        <v>Vacant</v>
      </c>
      <c r="E60" s="1548" t="inlineStr">
        <is>
          <t>Hire</t>
        </is>
      </c>
      <c r="F60" s="1770">
        <f>INDEX('REVIEW - Complete Role Mapping'!$AA:$AA,70)</f>
        <v>201585</v>
      </c>
      <c r="G60" s="1770">
        <f>$F60*IFERROR(INDEX(Lists!$AD:$AD,MATCH($E60,Lists!$AC:$AC,0)),1)</f>
        <v>201585</v>
      </c>
    </row>
    <row r="61">
      <c r="B61" s="1531" t="str">
        <f>INDEX('REVIEW - Complete Role Mapping'!$B:$B,71)</f>
        <v>Vacant</v>
      </c>
      <c r="C61" s="1531" t="str">
        <f>INDEX('REVIEW - Complete Role Mapping'!$C:$C,71)</f>
        <v>Data Analyst</v>
      </c>
      <c r="D61" s="1531" t="str">
        <f>INDEX('REVIEW - Complete Role Mapping'!$AK:$AK,71)</f>
        <v>Vacant</v>
      </c>
      <c r="E61" s="1548" t="inlineStr">
        <is>
          <t>Hire</t>
        </is>
      </c>
      <c r="F61" s="1770">
        <f>INDEX('REVIEW - Complete Role Mapping'!$AA:$AA,71)</f>
        <v>231689.25</v>
      </c>
      <c r="G61" s="1770">
        <f>$F61*IFERROR(INDEX(Lists!$AD:$AD,MATCH($E61,Lists!$AC:$AC,0)),1)</f>
        <v>231689.25</v>
      </c>
    </row>
    <row r="62">
      <c r="B62" s="1531" t="str">
        <f>INDEX('REVIEW - Complete Role Mapping'!$B:$B,72)</f>
        <v>Vacant</v>
      </c>
      <c r="C62" s="1531" t="str">
        <f>INDEX('REVIEW - Complete Role Mapping'!$C:$C,72)</f>
        <v>Delivery Lead</v>
      </c>
      <c r="D62" s="1531" t="str">
        <f>INDEX('REVIEW - Complete Role Mapping'!$AK:$AK,72)</f>
        <v>Vacant</v>
      </c>
      <c r="E62" s="1548" t="inlineStr">
        <is>
          <t>Hire</t>
        </is>
      </c>
      <c r="F62" s="1770">
        <f>INDEX('REVIEW - Complete Role Mapping'!$AA:$AA,72)</f>
        <v>202853.25</v>
      </c>
      <c r="G62" s="1770">
        <f>$F62*IFERROR(INDEX(Lists!$AD:$AD,MATCH($E62,Lists!$AC:$AC,0)),1)</f>
        <v>202853.25</v>
      </c>
    </row>
    <row r="63">
      <c r="B63" s="1531" t="str">
        <f>INDEX('REVIEW - Complete Role Mapping'!$B:$B,75)</f>
        <v>Vacant</v>
      </c>
      <c r="C63" s="1531" t="str">
        <f>INDEX('REVIEW - Complete Role Mapping'!$C:$C,75)</f>
        <v>Engineer - Data</v>
      </c>
      <c r="D63" s="1531" t="str">
        <f>INDEX('REVIEW - Complete Role Mapping'!$AK:$AK,75)</f>
        <v>Vacant</v>
      </c>
      <c r="E63" s="1548" t="inlineStr">
        <is>
          <t>Hire</t>
        </is>
      </c>
      <c r="F63" s="1770">
        <f>INDEX('REVIEW - Complete Role Mapping'!$AA:$AA,75)</f>
        <v>202853.25</v>
      </c>
      <c r="G63" s="1770">
        <f>$F63*IFERROR(INDEX(Lists!$AD:$AD,MATCH($E63,Lists!$AC:$AC,0)),1)</f>
        <v>202853.25</v>
      </c>
    </row>
    <row r="64">
      <c r="B64" s="1531" t="str">
        <f>INDEX('REVIEW - Complete Role Mapping'!$B:$B,76)</f>
        <v>Vacant</v>
      </c>
      <c r="C64" s="1531" t="str">
        <f>INDEX('REVIEW - Complete Role Mapping'!$C:$C,76)</f>
        <v>Engineer - Data</v>
      </c>
      <c r="D64" s="1531" t="str">
        <f>INDEX('REVIEW - Complete Role Mapping'!$AK:$AK,76)</f>
        <v>Vacant</v>
      </c>
      <c r="E64" s="1548" t="inlineStr">
        <is>
          <t>Hire</t>
        </is>
      </c>
      <c r="F64" s="1770">
        <f>INDEX('REVIEW - Complete Role Mapping'!$AA:$AA,76)</f>
        <v>202853.25</v>
      </c>
      <c r="G64" s="1770">
        <f>$F64*IFERROR(INDEX(Lists!$AD:$AD,MATCH($E64,Lists!$AC:$AC,0)),1)</f>
        <v>202853.25</v>
      </c>
    </row>
    <row r="65">
      <c r="B65" s="1531" t="str">
        <f>INDEX('REVIEW - Complete Role Mapping'!$B:$B,77)</f>
        <v>Vacant</v>
      </c>
      <c r="C65" s="1531" t="str">
        <f>INDEX('REVIEW - Complete Role Mapping'!$C:$C,77)</f>
        <v>Engineer - Data</v>
      </c>
      <c r="D65" s="1531" t="str">
        <f>INDEX('REVIEW - Complete Role Mapping'!$AK:$AK,77)</f>
        <v>Vacant</v>
      </c>
      <c r="E65" s="1548" t="inlineStr">
        <is>
          <t>Hire</t>
        </is>
      </c>
      <c r="F65" s="1770">
        <f>INDEX('REVIEW - Complete Role Mapping'!$AA:$AA,77)</f>
        <v>170489.75</v>
      </c>
      <c r="G65" s="1770">
        <f>$F65*IFERROR(INDEX(Lists!$AD:$AD,MATCH($E65,Lists!$AC:$AC,0)),1)</f>
        <v>170489.75</v>
      </c>
    </row>
    <row r="66">
      <c r="B66" s="1530" t="inlineStr">
        <is>
          <t>Deployment</t>
        </is>
      </c>
      <c r="C66" s="1530" t="str">
        <f>COUNTA($B$67:$B$71)&amp;IF(COUNTA($B$67:$B$71)=1," role"," roles")</f>
        <v>5 roles</v>
      </c>
      <c r="D66" s="1530" t="n"/>
      <c r="E66" s="1530" t="n"/>
      <c r="F66" s="1786">
        <f>SUM(F67:F71)</f>
        <v>893835.732</v>
      </c>
      <c r="G66" s="1786">
        <f>SUM(G67:G71)</f>
        <v>893835.732</v>
      </c>
    </row>
    <row r="67">
      <c r="B67" s="1531" t="str">
        <f>INDEX('REVIEW - Complete Role Mapping'!$B:$B,8)</f>
        <v>Aniket Banerji</v>
      </c>
      <c r="C67" s="1531" t="str">
        <f>INDEX('REVIEW - Complete Role Mapping'!$C:$C,8)</f>
        <v>Deployment Lead</v>
      </c>
      <c r="D67" s="1531" t="str">
        <f>INDEX('REVIEW - Complete Role Mapping'!$AK:$AK,8)</f>
        <v>Filled</v>
      </c>
      <c r="E67" s="1548" t="inlineStr">
        <is>
          <t>Filled</t>
        </is>
      </c>
      <c r="F67" s="1770">
        <f>INDEX('REVIEW - Complete Role Mapping'!$AA:$AA,8)</f>
        <v>200250</v>
      </c>
      <c r="G67" s="1770">
        <f>$F67*IFERROR(INDEX(Lists!$AD:$AD,MATCH($E67,Lists!$AC:$AC,0)),1)</f>
        <v>200250</v>
      </c>
    </row>
    <row r="68">
      <c r="B68" s="1531" t="str">
        <f>INDEX('REVIEW - Complete Role Mapping'!$B:$B,11)</f>
        <v>Anthony Dumbrell</v>
      </c>
      <c r="C68" s="1531" t="str">
        <f>INDEX('REVIEW - Complete Role Mapping'!$C:$C,11)</f>
        <v>Technology &amp; Lab Specialist Stores</v>
      </c>
      <c r="D68" s="1531" t="str">
        <f>INDEX('REVIEW - Complete Role Mapping'!$AK:$AK,11)</f>
        <v>Filled</v>
      </c>
      <c r="E68" s="1548" t="inlineStr">
        <is>
          <t>Filled</t>
        </is>
      </c>
      <c r="F68" s="1770">
        <f>INDEX('REVIEW - Complete Role Mapping'!$AA:$AA,11)</f>
        <v>206070.6</v>
      </c>
      <c r="G68" s="1770">
        <f>$F68*IFERROR(INDEX(Lists!$AD:$AD,MATCH($E68,Lists!$AC:$AC,0)),1)</f>
        <v>206070.6</v>
      </c>
    </row>
    <row r="69">
      <c r="B69" s="1531" t="str">
        <f>INDEX('REVIEW - Complete Role Mapping'!$B:$B,22)</f>
        <v>Deepak Kubendran</v>
      </c>
      <c r="C69" s="1531" t="str">
        <f>INDEX('REVIEW - Complete Role Mapping'!$C:$C,22)</f>
        <v>Project Manager - Deployments</v>
      </c>
      <c r="D69" s="1531" t="str">
        <f>INDEX('REVIEW - Complete Role Mapping'!$AK:$AK,22)</f>
        <v>Filled</v>
      </c>
      <c r="E69" s="1548" t="inlineStr">
        <is>
          <t>Filled</t>
        </is>
      </c>
      <c r="F69" s="1770">
        <f>INDEX('REVIEW - Complete Role Mapping'!$AA:$AA,22)</f>
        <v>205483.2</v>
      </c>
      <c r="G69" s="1770">
        <f>$F69*IFERROR(INDEX(Lists!$AD:$AD,MATCH($E69,Lists!$AC:$AC,0)),1)</f>
        <v>205483.2</v>
      </c>
    </row>
    <row r="70">
      <c r="B70" s="1531" t="str">
        <f>INDEX('REVIEW - Complete Role Mapping'!$B:$B,48)</f>
        <v>Matthew Patane</v>
      </c>
      <c r="C70" s="1531" t="str">
        <f>INDEX('REVIEW - Complete Role Mapping'!$C:$C,48)</f>
        <v>Release &amp; Deployment Manager</v>
      </c>
      <c r="D70" s="1531" t="str">
        <f>INDEX('REVIEW - Complete Role Mapping'!$AK:$AK,48)</f>
        <v>Filled</v>
      </c>
      <c r="E70" s="1548" t="inlineStr">
        <is>
          <t>Filled</t>
        </is>
      </c>
      <c r="F70" s="1770">
        <f>INDEX('REVIEW - Complete Role Mapping'!$AA:$AA,48)</f>
        <v>136461.432</v>
      </c>
      <c r="G70" s="1770">
        <f>$F70*IFERROR(INDEX(Lists!$AD:$AD,MATCH($E70,Lists!$AC:$AC,0)),1)</f>
        <v>136461.432</v>
      </c>
    </row>
    <row r="71">
      <c r="B71" s="1531" t="str">
        <f>INDEX('REVIEW - Complete Role Mapping'!$B:$B,103)</f>
        <v>Violeta Trajkovski</v>
      </c>
      <c r="C71" s="1531" t="str">
        <f>INDEX('REVIEW - Complete Role Mapping'!$C:$C,103)</f>
        <v>Deployment Coordinator</v>
      </c>
      <c r="D71" s="1531" t="str">
        <f>INDEX('REVIEW - Complete Role Mapping'!$AK:$AK,103)</f>
        <v>Filled</v>
      </c>
      <c r="E71" s="1548" t="inlineStr">
        <is>
          <t>Filled</t>
        </is>
      </c>
      <c r="F71" s="1770">
        <f>INDEX('REVIEW - Complete Role Mapping'!$AA:$AA,103)</f>
        <v>145570.5</v>
      </c>
      <c r="G71" s="1770">
        <f>$F71*IFERROR(INDEX(Lists!$AD:$AD,MATCH($E71,Lists!$AC:$AC,0)),1)</f>
        <v>145570.5</v>
      </c>
    </row>
    <row r="72">
      <c r="B72" s="1530" t="inlineStr">
        <is>
          <t>EGI Retail</t>
        </is>
      </c>
      <c r="C72" s="1530" t="str">
        <f>COUNTA($B$73:$B$78)&amp;IF(COUNTA($B$73:$B$78)=1," role"," roles")</f>
        <v>6 roles</v>
      </c>
      <c r="D72" s="1530" t="n"/>
      <c r="E72" s="1530" t="n"/>
      <c r="F72" s="1786">
        <f>SUM(F73:F78)</f>
        <v>1221357.614</v>
      </c>
      <c r="G72" s="1786">
        <f>SUM(G73:G78)</f>
        <v>1221357.614</v>
      </c>
    </row>
    <row r="73">
      <c r="B73" s="1531" t="str">
        <f>INDEX('REVIEW - Complete Role Mapping'!$B:$B,4)</f>
        <v>Alex Prakhiy</v>
      </c>
      <c r="C73" s="1531" t="str">
        <f>INDEX('REVIEW - Complete Role Mapping'!$C:$C,4)</f>
        <v>Business Analyst</v>
      </c>
      <c r="D73" s="1531" t="str">
        <f>INDEX('REVIEW - Complete Role Mapping'!$AK:$AK,4)</f>
        <v>Filled</v>
      </c>
      <c r="E73" s="1548" t="inlineStr">
        <is>
          <t>Filled</t>
        </is>
      </c>
      <c r="F73" s="1770">
        <f>INDEX('REVIEW - Complete Role Mapping'!$AA:$AA,4)</f>
        <v>222000</v>
      </c>
      <c r="G73" s="1770">
        <f>$F73*IFERROR(INDEX(Lists!$AD:$AD,MATCH($E73,Lists!$AC:$AC,0)),1)</f>
        <v>222000</v>
      </c>
    </row>
    <row r="74">
      <c r="B74" s="1531" t="str">
        <f>INDEX('REVIEW - Complete Role Mapping'!$B:$B,10)</f>
        <v>Anne Pretorius</v>
      </c>
      <c r="C74" s="1531" t="str">
        <f>INDEX('REVIEW - Complete Role Mapping'!$C:$C,10)</f>
        <v>Lead Business Analyst</v>
      </c>
      <c r="D74" s="1531" t="str">
        <f>INDEX('REVIEW - Complete Role Mapping'!$AK:$AK,10)</f>
        <v>Filled</v>
      </c>
      <c r="E74" s="1548" t="inlineStr">
        <is>
          <t>Filled</t>
        </is>
      </c>
      <c r="F74" s="1770">
        <f>INDEX('REVIEW - Complete Role Mapping'!$AA:$AA,10)</f>
        <v>195610.164</v>
      </c>
      <c r="G74" s="1770">
        <f>$F74*IFERROR(INDEX(Lists!$AD:$AD,MATCH($E74,Lists!$AC:$AC,0)),1)</f>
        <v>195610.164</v>
      </c>
    </row>
    <row r="75">
      <c r="B75" s="1531" t="str">
        <f>INDEX('REVIEW - Complete Role Mapping'!$B:$B,47)</f>
        <v>Marty O'Shea</v>
      </c>
      <c r="C75" s="1531" t="str">
        <f>INDEX('REVIEW - Complete Role Mapping'!$C:$C,47)</f>
        <v>Systems Analyst</v>
      </c>
      <c r="D75" s="1531" t="str">
        <f>INDEX('REVIEW - Complete Role Mapping'!$AK:$AK,47)</f>
        <v>Filled</v>
      </c>
      <c r="E75" s="1548" t="inlineStr">
        <is>
          <t>Filled</t>
        </is>
      </c>
      <c r="F75" s="1770">
        <f>INDEX('REVIEW - Complete Role Mapping'!$AA:$AA,47)</f>
        <v>247161.9</v>
      </c>
      <c r="G75" s="1770">
        <f>$F75*IFERROR(INDEX(Lists!$AD:$AD,MATCH($E75,Lists!$AC:$AC,0)),1)</f>
        <v>247161.9</v>
      </c>
    </row>
    <row r="76">
      <c r="B76" s="1531" t="str">
        <f>INDEX('REVIEW - Complete Role Mapping'!$B:$B,52)</f>
        <v>Navneet Singh</v>
      </c>
      <c r="C76" s="1531" t="str">
        <f>INDEX('REVIEW - Complete Role Mapping'!$C:$C,52)</f>
        <v>Solution Architect</v>
      </c>
      <c r="D76" s="1531" t="str">
        <f>INDEX('REVIEW - Complete Role Mapping'!$AK:$AK,52)</f>
        <v>Filled</v>
      </c>
      <c r="E76" s="1548" t="inlineStr">
        <is>
          <t>Filled</t>
        </is>
      </c>
      <c r="F76" s="1770">
        <f>INDEX('REVIEW - Complete Role Mapping'!$AA:$AA,52)</f>
        <v>133500</v>
      </c>
      <c r="G76" s="1770">
        <f>$F76*IFERROR(INDEX(Lists!$AD:$AD,MATCH($E76,Lists!$AC:$AC,0)),1)</f>
        <v>133500</v>
      </c>
    </row>
    <row r="77">
      <c r="B77" s="1531" t="str">
        <f>INDEX('REVIEW - Complete Role Mapping'!$B:$B,60)</f>
        <v>Sendhil Vinayagam (75% EGI)</v>
      </c>
      <c r="C77" s="1531" t="str">
        <f>INDEX('REVIEW - Complete Role Mapping'!$C:$C,60)</f>
        <v>Solution Architect</v>
      </c>
      <c r="D77" s="1531" t="str">
        <f>INDEX('REVIEW - Complete Role Mapping'!$AK:$AK,60)</f>
        <v>Filled</v>
      </c>
      <c r="E77" s="1548" t="inlineStr">
        <is>
          <t>Filled</t>
        </is>
      </c>
      <c r="F77" s="1770">
        <f>INDEX('REVIEW - Complete Role Mapping'!$AA:$AA,60)</f>
        <v>267547.35</v>
      </c>
      <c r="G77" s="1770">
        <f>$F77*IFERROR(INDEX(Lists!$AD:$AD,MATCH($E77,Lists!$AC:$AC,0)),1)</f>
        <v>267547.35</v>
      </c>
    </row>
    <row r="78">
      <c r="B78" s="1531" t="str">
        <f>INDEX('REVIEW - Complete Role Mapping'!$B:$B,61)</f>
        <v>Sjoerd Van Sluijs</v>
      </c>
      <c r="C78" s="1531" t="str">
        <f>INDEX('REVIEW - Complete Role Mapping'!$C:$C,61)</f>
        <v>Senior PM PEP1, PEP18</v>
      </c>
      <c r="D78" s="1531" t="str">
        <f>INDEX('REVIEW - Complete Role Mapping'!$AK:$AK,61)</f>
        <v>Filled</v>
      </c>
      <c r="E78" s="1548" t="inlineStr">
        <is>
          <t>Filled</t>
        </is>
      </c>
      <c r="F78" s="1770">
        <f>INDEX('REVIEW - Complete Role Mapping'!$AA:$AA,61)</f>
        <v>155538.2</v>
      </c>
      <c r="G78" s="1770">
        <f>$F78*IFERROR(INDEX(Lists!$AD:$AD,MATCH($E78,Lists!$AC:$AC,0)),1)</f>
        <v>155538.2</v>
      </c>
    </row>
    <row r="79">
      <c r="B79" s="1530" t="inlineStr">
        <is>
          <t>EGI TDD</t>
        </is>
      </c>
      <c r="C79" s="1530" t="str">
        <f>COUNTA($B$80:$B$80)&amp;IF(COUNTA($B$80:$B$80)=1," role"," roles")</f>
        <v>1 role</v>
      </c>
      <c r="D79" s="1530" t="n"/>
      <c r="E79" s="1530" t="n"/>
      <c r="F79" s="1786">
        <f>SUM(F80:F80)</f>
        <v>299700</v>
      </c>
      <c r="G79" s="1786">
        <f>SUM(G80:G80)</f>
        <v>299700</v>
      </c>
    </row>
    <row r="80">
      <c r="B80" s="1531" t="str">
        <f>INDEX('REVIEW - Complete Role Mapping'!$B:$B,104)</f>
        <v>Viren Khatri</v>
      </c>
      <c r="C80" s="1531" t="str">
        <f>INDEX('REVIEW - Complete Role Mapping'!$C:$C,104)</f>
        <v>Data Migration Lead</v>
      </c>
      <c r="D80" s="1531" t="str">
        <f>INDEX('REVIEW - Complete Role Mapping'!$AK:$AK,104)</f>
        <v>Filled</v>
      </c>
      <c r="E80" s="1548" t="inlineStr">
        <is>
          <t>Filled</t>
        </is>
      </c>
      <c r="F80" s="1770">
        <f>INDEX('REVIEW - Complete Role Mapping'!$AA:$AA,104)</f>
        <v>299700</v>
      </c>
      <c r="G80" s="1770">
        <f>$F80*IFERROR(INDEX(Lists!$AD:$AD,MATCH($E80,Lists!$AC:$AC,0)),1)</f>
        <v>299700</v>
      </c>
    </row>
    <row r="81">
      <c r="B81" s="1530" t="inlineStr">
        <is>
          <t>Network &amp; QSR</t>
        </is>
      </c>
      <c r="C81" s="1530" t="str">
        <f>COUNTA($B$82:$B$87)&amp;IF(COUNTA($B$82:$B$87)=1," role"," roles")</f>
        <v>6 roles</v>
      </c>
      <c r="D81" s="1530" t="n"/>
      <c r="E81" s="1530" t="n"/>
      <c r="F81" s="1786">
        <f>SUM(F82:F87)</f>
        <v>1114031.1</v>
      </c>
      <c r="G81" s="1786">
        <f>SUM(G82:G87)</f>
        <v>1114031.1</v>
      </c>
    </row>
    <row r="82">
      <c r="B82" s="1531" t="str">
        <f>INDEX('REVIEW - Complete Role Mapping'!$B:$B,3)</f>
        <v>Adrian Lueng</v>
      </c>
      <c r="C82" s="1531" t="str">
        <f>INDEX('REVIEW - Complete Role Mapping'!$C:$C,3)</f>
        <v>Quality Assurance</v>
      </c>
      <c r="D82" s="1531" t="str">
        <f>INDEX('REVIEW - Complete Role Mapping'!$AK:$AK,3)</f>
        <v>Filled</v>
      </c>
      <c r="E82" s="1548" t="inlineStr">
        <is>
          <t>Filled</t>
        </is>
      </c>
      <c r="F82" s="1770">
        <f>INDEX('REVIEW - Complete Role Mapping'!$AA:$AA,3)</f>
        <v>157839.45</v>
      </c>
      <c r="G82" s="1770">
        <f>$F82*IFERROR(INDEX(Lists!$AD:$AD,MATCH($E82,Lists!$AC:$AC,0)),1)</f>
        <v>157839.45</v>
      </c>
    </row>
    <row r="83">
      <c r="B83" s="1531" t="str">
        <f>INDEX('REVIEW - Complete Role Mapping'!$B:$B,32)</f>
        <v>Javier Aguirre Castellanos</v>
      </c>
      <c r="C83" s="1531" t="str">
        <f>INDEX('REVIEW - Complete Role Mapping'!$C:$C,32)</f>
        <v>Solution Architect</v>
      </c>
      <c r="D83" s="1531" t="str">
        <f>INDEX('REVIEW - Complete Role Mapping'!$AK:$AK,32)</f>
        <v>Filled</v>
      </c>
      <c r="E83" s="1548" t="inlineStr">
        <is>
          <t>Filled</t>
        </is>
      </c>
      <c r="F83" s="1770">
        <f>INDEX('REVIEW - Complete Role Mapping'!$AA:$AA,32)</f>
        <v>133044</v>
      </c>
      <c r="G83" s="1770">
        <f>$F83*IFERROR(INDEX(Lists!$AD:$AD,MATCH($E83,Lists!$AC:$AC,0)),1)</f>
        <v>133044</v>
      </c>
    </row>
    <row r="84">
      <c r="B84" s="1531" t="str">
        <f>INDEX('REVIEW - Complete Role Mapping'!$B:$B,57)</f>
        <v>Santiago Hernandez Arevalo</v>
      </c>
      <c r="C84" s="1531" t="str">
        <f>INDEX('REVIEW - Complete Role Mapping'!$C:$C,57)</f>
        <v>Systems Analyst</v>
      </c>
      <c r="D84" s="1531" t="str">
        <f>INDEX('REVIEW - Complete Role Mapping'!$AK:$AK,57)</f>
        <v>Filled</v>
      </c>
      <c r="E84" s="1548" t="inlineStr">
        <is>
          <t>Filled</t>
        </is>
      </c>
      <c r="F84" s="1770">
        <f>INDEX('REVIEW - Complete Role Mapping'!$AA:$AA,57)</f>
        <v>206150.7</v>
      </c>
      <c r="G84" s="1770">
        <f>$F84*IFERROR(INDEX(Lists!$AD:$AD,MATCH($E84,Lists!$AC:$AC,0)),1)</f>
        <v>206150.7</v>
      </c>
    </row>
    <row r="85">
      <c r="B85" s="1531" t="str">
        <f>INDEX('REVIEW - Complete Role Mapping'!$B:$B,68)</f>
        <v>Vacant</v>
      </c>
      <c r="C85" s="1531" t="str">
        <f>INDEX('REVIEW - Complete Role Mapping'!$C:$C,68)</f>
        <v>Business Analyst</v>
      </c>
      <c r="D85" s="1531" t="str">
        <f>INDEX('REVIEW - Complete Role Mapping'!$AK:$AK,68)</f>
        <v>Vacant</v>
      </c>
      <c r="E85" s="1548" t="inlineStr">
        <is>
          <t>Hire</t>
        </is>
      </c>
      <c r="F85" s="1770">
        <f>INDEX('REVIEW - Complete Role Mapping'!$AA:$AA,68)</f>
        <v>202853.25</v>
      </c>
      <c r="G85" s="1770">
        <f>$F85*IFERROR(INDEX(Lists!$AD:$AD,MATCH($E85,Lists!$AC:$AC,0)),1)</f>
        <v>202853.25</v>
      </c>
    </row>
    <row r="86">
      <c r="B86" s="1531" t="str">
        <f>INDEX('REVIEW - Complete Role Mapping'!$B:$B,93)</f>
        <v>Vacant</v>
      </c>
      <c r="C86" s="1531" t="str">
        <f>INDEX('REVIEW - Complete Role Mapping'!$C:$C,93)</f>
        <v>Systems Analyst</v>
      </c>
      <c r="D86" s="1531" t="str">
        <f>INDEX('REVIEW - Complete Role Mapping'!$AK:$AK,93)</f>
        <v>Vacant</v>
      </c>
      <c r="E86" s="1548" t="inlineStr">
        <is>
          <t>Hire</t>
        </is>
      </c>
      <c r="F86" s="1770">
        <f>INDEX('REVIEW - Complete Role Mapping'!$AA:$AA,93)</f>
        <v>231689.25</v>
      </c>
      <c r="G86" s="1770">
        <f>$F86*IFERROR(INDEX(Lists!$AD:$AD,MATCH($E86,Lists!$AC:$AC,0)),1)</f>
        <v>231689.25</v>
      </c>
    </row>
    <row r="87">
      <c r="B87" s="1531" t="str">
        <f>INDEX('REVIEW - Complete Role Mapping'!$B:$B,99)</f>
        <v>Vanessa Trujillo Munoz</v>
      </c>
      <c r="C87" s="1531" t="str">
        <f>INDEX('REVIEW - Complete Role Mapping'!$C:$C,99)</f>
        <v>Delivery Lead</v>
      </c>
      <c r="D87" s="1531" t="str">
        <f>INDEX('REVIEW - Complete Role Mapping'!$AK:$AK,99)</f>
        <v>Filled</v>
      </c>
      <c r="E87" s="1548" t="inlineStr">
        <is>
          <t>Filled</t>
        </is>
      </c>
      <c r="F87" s="1770">
        <f>INDEX('REVIEW - Complete Role Mapping'!$AA:$AA,99)</f>
        <v>182454.45</v>
      </c>
      <c r="G87" s="1770">
        <f>$F87*IFERROR(INDEX(Lists!$AD:$AD,MATCH($E87,Lists!$AC:$AC,0)),1)</f>
        <v>182454.45</v>
      </c>
    </row>
    <row r="88">
      <c r="B88" s="1530" t="inlineStr">
        <is>
          <t>POS</t>
        </is>
      </c>
      <c r="C88" s="1530" t="str">
        <f>COUNTA($B$89:$B$96)&amp;IF(COUNTA($B$89:$B$96)=1," role"," roles")</f>
        <v>8 roles</v>
      </c>
      <c r="D88" s="1530" t="n"/>
      <c r="E88" s="1530" t="n"/>
      <c r="F88" s="1786">
        <f>SUM(F89:F96)</f>
        <v>1576223.685</v>
      </c>
      <c r="G88" s="1786">
        <f>SUM(G89:G96)</f>
        <v>1576223.685</v>
      </c>
    </row>
    <row r="89">
      <c r="B89" s="1531" t="str">
        <f>INDEX('REVIEW - Complete Role Mapping'!$B:$B,69)</f>
        <v>Vacant</v>
      </c>
      <c r="C89" s="1531" t="str">
        <f>INDEX('REVIEW - Complete Role Mapping'!$C:$C,69)</f>
        <v>Business Analyst</v>
      </c>
      <c r="D89" s="1531" t="str">
        <f>INDEX('REVIEW - Complete Role Mapping'!$AK:$AK,69)</f>
        <v>Vacant</v>
      </c>
      <c r="E89" s="1548" t="inlineStr">
        <is>
          <t>Hire</t>
        </is>
      </c>
      <c r="F89" s="1770">
        <f>INDEX('REVIEW - Complete Role Mapping'!$AA:$AA,69)</f>
        <v>170501.585</v>
      </c>
      <c r="G89" s="1770">
        <f>$F89*IFERROR(INDEX(Lists!$AD:$AD,MATCH($E89,Lists!$AC:$AC,0)),1)</f>
        <v>170501.585</v>
      </c>
    </row>
    <row r="90">
      <c r="B90" s="1531" t="str">
        <f>INDEX('REVIEW - Complete Role Mapping'!$B:$B,81)</f>
        <v>Vacant</v>
      </c>
      <c r="C90" s="1531" t="str">
        <f>INDEX('REVIEW - Complete Role Mapping'!$C:$C,81)</f>
        <v>Engineer Integration</v>
      </c>
      <c r="D90" s="1531" t="str">
        <f>INDEX('REVIEW - Complete Role Mapping'!$AK:$AK,81)</f>
        <v>Vacant</v>
      </c>
      <c r="E90" s="1548" t="inlineStr">
        <is>
          <t>Hire</t>
        </is>
      </c>
      <c r="F90" s="1770">
        <f>INDEX('REVIEW - Complete Role Mapping'!$AA:$AA,81)</f>
        <v>231689.25</v>
      </c>
      <c r="G90" s="1770">
        <f>$F90*IFERROR(INDEX(Lists!$AD:$AD,MATCH($E90,Lists!$AC:$AC,0)),1)</f>
        <v>231689.25</v>
      </c>
    </row>
    <row r="91">
      <c r="B91" s="1531" t="str">
        <f>INDEX('REVIEW - Complete Role Mapping'!$B:$B,83)</f>
        <v>Vacant</v>
      </c>
      <c r="C91" s="1531" t="str">
        <f>INDEX('REVIEW - Complete Role Mapping'!$C:$C,83)</f>
        <v>Lead Quality Assurance</v>
      </c>
      <c r="D91" s="1531" t="str">
        <f>INDEX('REVIEW - Complete Role Mapping'!$AK:$AK,83)</f>
        <v>Vacant</v>
      </c>
      <c r="E91" s="1548" t="inlineStr">
        <is>
          <t>Hire</t>
        </is>
      </c>
      <c r="F91" s="1770">
        <f>INDEX('REVIEW - Complete Role Mapping'!$AA:$AA,83)</f>
        <v>224493.6</v>
      </c>
      <c r="G91" s="1770">
        <f>$F91*IFERROR(INDEX(Lists!$AD:$AD,MATCH($E91,Lists!$AC:$AC,0)),1)</f>
        <v>224493.6</v>
      </c>
    </row>
    <row r="92">
      <c r="B92" s="1531" t="str">
        <f>INDEX('REVIEW - Complete Role Mapping'!$B:$B,86)</f>
        <v>Vacant</v>
      </c>
      <c r="C92" s="1531" t="str">
        <f>INDEX('REVIEW - Complete Role Mapping'!$C:$C,86)</f>
        <v>Quality Assurance</v>
      </c>
      <c r="D92" s="1531" t="str">
        <f>INDEX('REVIEW - Complete Role Mapping'!$AK:$AK,86)</f>
        <v>Vacant</v>
      </c>
      <c r="E92" s="1548" t="inlineStr">
        <is>
          <t>Hire</t>
        </is>
      </c>
      <c r="F92" s="1770">
        <f>INDEX('REVIEW - Complete Role Mapping'!$AA:$AA,86)</f>
        <v>170489.75</v>
      </c>
      <c r="G92" s="1770">
        <f>$F92*IFERROR(INDEX(Lists!$AD:$AD,MATCH($E92,Lists!$AC:$AC,0)),1)</f>
        <v>170489.75</v>
      </c>
    </row>
    <row r="93">
      <c r="B93" s="1531" t="str">
        <f>INDEX('REVIEW - Complete Role Mapping'!$B:$B,87)</f>
        <v>Vacant</v>
      </c>
      <c r="C93" s="1531" t="str">
        <f>INDEX('REVIEW - Complete Role Mapping'!$C:$C,87)</f>
        <v>Quality Assurance</v>
      </c>
      <c r="D93" s="1531" t="str">
        <f>INDEX('REVIEW - Complete Role Mapping'!$AK:$AK,87)</f>
        <v>Vacant</v>
      </c>
      <c r="E93" s="1548" t="inlineStr">
        <is>
          <t>Hire</t>
        </is>
      </c>
      <c r="F93" s="1770">
        <f>INDEX('REVIEW - Complete Role Mapping'!$AA:$AA,87)</f>
        <v>170489.75</v>
      </c>
      <c r="G93" s="1770">
        <f>$F93*IFERROR(INDEX(Lists!$AD:$AD,MATCH($E93,Lists!$AC:$AC,0)),1)</f>
        <v>170489.75</v>
      </c>
    </row>
    <row r="94">
      <c r="B94" s="1531" t="str">
        <f>INDEX('REVIEW - Complete Role Mapping'!$B:$B,88)</f>
        <v>Vacant</v>
      </c>
      <c r="C94" s="1531" t="str">
        <f>INDEX('REVIEW - Complete Role Mapping'!$C:$C,88)</f>
        <v>Quality Assurance</v>
      </c>
      <c r="D94" s="1531" t="str">
        <f>INDEX('REVIEW - Complete Role Mapping'!$AK:$AK,88)</f>
        <v>Vacant</v>
      </c>
      <c r="E94" s="1548" t="inlineStr">
        <is>
          <t>Hire</t>
        </is>
      </c>
      <c r="F94" s="1770">
        <f>INDEX('REVIEW - Complete Role Mapping'!$AA:$AA,88)</f>
        <v>202853.25</v>
      </c>
      <c r="G94" s="1770">
        <f>$F94*IFERROR(INDEX(Lists!$AD:$AD,MATCH($E94,Lists!$AC:$AC,0)),1)</f>
        <v>202853.25</v>
      </c>
    </row>
    <row r="95">
      <c r="B95" s="1531" t="str">
        <f>INDEX('REVIEW - Complete Role Mapping'!$B:$B,90)</f>
        <v>Vacant</v>
      </c>
      <c r="C95" s="1531" t="str">
        <f>INDEX('REVIEW - Complete Role Mapping'!$C:$C,90)</f>
        <v>Release &amp; Environments Manager</v>
      </c>
      <c r="D95" s="1531" t="str">
        <f>INDEX('REVIEW - Complete Role Mapping'!$AK:$AK,90)</f>
        <v>Vacant</v>
      </c>
      <c r="E95" s="1548" t="inlineStr">
        <is>
          <t>Hire</t>
        </is>
      </c>
      <c r="F95" s="1770">
        <f>INDEX('REVIEW - Complete Role Mapping'!$AA:$AA,90)</f>
        <v>202853.25</v>
      </c>
      <c r="G95" s="1770">
        <f>$F95*IFERROR(INDEX(Lists!$AD:$AD,MATCH($E95,Lists!$AC:$AC,0)),1)</f>
        <v>202853.25</v>
      </c>
    </row>
    <row r="96">
      <c r="B96" s="1531" t="str">
        <f>INDEX('REVIEW - Complete Role Mapping'!$B:$B,95)</f>
        <v>Vacant</v>
      </c>
      <c r="C96" s="1531" t="str">
        <f>INDEX('REVIEW - Complete Role Mapping'!$C:$C,95)</f>
        <v>Systems Analyst</v>
      </c>
      <c r="D96" s="1531" t="str">
        <f>INDEX('REVIEW - Complete Role Mapping'!$AK:$AK,95)</f>
        <v>Vacant</v>
      </c>
      <c r="E96" s="1548" t="inlineStr">
        <is>
          <t>Hire</t>
        </is>
      </c>
      <c r="F96" s="1770">
        <f>INDEX('REVIEW - Complete Role Mapping'!$AA:$AA,95)</f>
        <v>202853.25</v>
      </c>
      <c r="G96" s="1770">
        <f>$F96*IFERROR(INDEX(Lists!$AD:$AD,MATCH($E96,Lists!$AC:$AC,0)),1)</f>
        <v>202853.25</v>
      </c>
    </row>
    <row r="97">
      <c r="B97" s="1530" t="inlineStr">
        <is>
          <t>Payments</t>
        </is>
      </c>
      <c r="C97" s="1530" t="str">
        <f>COUNTA($B$98:$B$101)&amp;IF(COUNTA($B$98:$B$101)=1," role"," roles")</f>
        <v>4 roles</v>
      </c>
      <c r="D97" s="1530" t="n"/>
      <c r="E97" s="1530" t="n"/>
      <c r="F97" s="1786">
        <f>SUM(F98:F101)</f>
        <v>789428.585</v>
      </c>
      <c r="G97" s="1786">
        <f>SUM(G98:G101)</f>
        <v>789428.585</v>
      </c>
    </row>
    <row r="98">
      <c r="B98" s="1531" t="str">
        <f>INDEX('REVIEW - Complete Role Mapping'!$B:$B,14)</f>
        <v>Beenu Murali</v>
      </c>
      <c r="C98" s="1531" t="str">
        <f>INDEX('REVIEW - Complete Role Mapping'!$C:$C,14)</f>
        <v>Quality Assurance</v>
      </c>
      <c r="D98" s="1531" t="str">
        <f>INDEX('REVIEW - Complete Role Mapping'!$AK:$AK,14)</f>
        <v>Filled</v>
      </c>
      <c r="E98" s="1548" t="inlineStr">
        <is>
          <t>Filled</t>
        </is>
      </c>
      <c r="F98" s="1770">
        <f>INDEX('REVIEW - Complete Role Mapping'!$AA:$AA,14)</f>
        <v>146083.35</v>
      </c>
      <c r="G98" s="1770">
        <f>$F98*IFERROR(INDEX(Lists!$AD:$AD,MATCH($E98,Lists!$AC:$AC,0)),1)</f>
        <v>146083.35</v>
      </c>
    </row>
    <row r="99">
      <c r="B99" s="1531" t="str">
        <f>INDEX('REVIEW - Complete Role Mapping'!$B:$B,59)</f>
        <v>Sayan Kar</v>
      </c>
      <c r="C99" s="1531" t="str">
        <f>INDEX('REVIEW - Complete Role Mapping'!$C:$C,59)</f>
        <v>Systems Analyst</v>
      </c>
      <c r="D99" s="1531" t="str">
        <f>INDEX('REVIEW - Complete Role Mapping'!$AK:$AK,59)</f>
        <v>Filled</v>
      </c>
      <c r="E99" s="1548" t="inlineStr">
        <is>
          <t>Filled</t>
        </is>
      </c>
      <c r="F99" s="1770">
        <f>INDEX('REVIEW - Complete Role Mapping'!$AA:$AA,59)</f>
        <v>259243.65</v>
      </c>
      <c r="G99" s="1770">
        <f>$F99*IFERROR(INDEX(Lists!$AD:$AD,MATCH($E99,Lists!$AC:$AC,0)),1)</f>
        <v>259243.65</v>
      </c>
    </row>
    <row r="100">
      <c r="B100" s="1531" t="str">
        <f>INDEX('REVIEW - Complete Role Mapping'!$B:$B,94)</f>
        <v>Vacant</v>
      </c>
      <c r="C100" s="1531" t="str">
        <f>INDEX('REVIEW - Complete Role Mapping'!$C:$C,94)</f>
        <v>Systems Analyst</v>
      </c>
      <c r="D100" s="1531" t="str">
        <f>INDEX('REVIEW - Complete Role Mapping'!$AK:$AK,94)</f>
        <v>Vacant</v>
      </c>
      <c r="E100" s="1548" t="inlineStr">
        <is>
          <t>Hire</t>
        </is>
      </c>
      <c r="F100" s="1770">
        <f>INDEX('REVIEW - Complete Role Mapping'!$AA:$AA,94)</f>
        <v>170501.585</v>
      </c>
      <c r="G100" s="1770">
        <f>$F100*IFERROR(INDEX(Lists!$AD:$AD,MATCH($E100,Lists!$AC:$AC,0)),1)</f>
        <v>170501.585</v>
      </c>
    </row>
    <row r="101">
      <c r="B101" s="1531" t="str">
        <f>INDEX('REVIEW - Complete Role Mapping'!$B:$B,101)</f>
        <v>Venkat Kedharanathan</v>
      </c>
      <c r="C101" s="1531" t="str">
        <f>INDEX('REVIEW - Complete Role Mapping'!$C:$C,101)</f>
        <v>Senior Business Analyst</v>
      </c>
      <c r="D101" s="1531" t="str">
        <f>INDEX('REVIEW - Complete Role Mapping'!$AK:$AK,101)</f>
        <v>Filled</v>
      </c>
      <c r="E101" s="1548" t="inlineStr">
        <is>
          <t>Filled</t>
        </is>
      </c>
      <c r="F101" s="1770">
        <f>INDEX('REVIEW - Complete Role Mapping'!$AA:$AA,101)</f>
        <v>213600</v>
      </c>
      <c r="G101" s="1770">
        <f>$F101*IFERROR(INDEX(Lists!$AD:$AD,MATCH($E101,Lists!$AC:$AC,0)),1)</f>
        <v>213600</v>
      </c>
    </row>
    <row r="102">
      <c r="B102" s="1530" t="inlineStr">
        <is>
          <t>Store Operations</t>
        </is>
      </c>
      <c r="C102" s="1530" t="str">
        <f>COUNTA($B$103:$B$110)&amp;IF(COUNTA($B$103:$B$110)=1," role"," roles")</f>
        <v>8 roles</v>
      </c>
      <c r="D102" s="1530" t="n"/>
      <c r="E102" s="1530" t="n"/>
      <c r="F102" s="1786">
        <f>SUM(F103:F110)</f>
        <v>1429759.453</v>
      </c>
      <c r="G102" s="1786">
        <f>SUM(G103:G110)</f>
        <v>1429759.453</v>
      </c>
    </row>
    <row r="103">
      <c r="B103" s="1531" t="str">
        <f>INDEX('REVIEW - Complete Role Mapping'!$B:$B,7)</f>
        <v>Andrew Whitford</v>
      </c>
      <c r="C103" s="1531" t="str">
        <f>INDEX('REVIEW - Complete Role Mapping'!$C:$C,7)</f>
        <v>Field Systems Operations Lead - WA</v>
      </c>
      <c r="D103" s="1531" t="str">
        <f>INDEX('REVIEW - Complete Role Mapping'!$AK:$AK,7)</f>
        <v>Filled</v>
      </c>
      <c r="E103" s="1548" t="inlineStr">
        <is>
          <t>Filled</t>
        </is>
      </c>
      <c r="F103" s="1770">
        <f>INDEX('REVIEW - Complete Role Mapping'!$AA:$AA,7)</f>
        <v>164033.1</v>
      </c>
      <c r="G103" s="1770">
        <f>$F103*IFERROR(INDEX(Lists!$AD:$AD,MATCH($E103,Lists!$AC:$AC,0)),1)</f>
        <v>164033.1</v>
      </c>
    </row>
    <row r="104">
      <c r="B104" s="1531" t="str">
        <f>INDEX('REVIEW - Complete Role Mapping'!$B:$B,24)</f>
        <v>Ephraim Adan</v>
      </c>
      <c r="C104" s="1531" t="str">
        <f>INDEX('REVIEW - Complete Role Mapping'!$C:$C,24)</f>
        <v>Manager - AU Retail Operations</v>
      </c>
      <c r="D104" s="1531" t="str">
        <f>INDEX('REVIEW - Complete Role Mapping'!$AK:$AK,24)</f>
        <v>Filled</v>
      </c>
      <c r="E104" s="1548" t="inlineStr">
        <is>
          <t>Filled</t>
        </is>
      </c>
      <c r="F104" s="1770">
        <f>INDEX('REVIEW - Complete Role Mapping'!$AA:$AA,24)</f>
        <v>77707.84</v>
      </c>
      <c r="G104" s="1770">
        <f>$F104*IFERROR(INDEX(Lists!$AD:$AD,MATCH($E104,Lists!$AC:$AC,0)),1)</f>
        <v>77707.84</v>
      </c>
    </row>
    <row r="105">
      <c r="B105" s="1531" t="str">
        <f>INDEX('REVIEW - Complete Role Mapping'!$B:$B,27)</f>
        <v>Geoff Goddard</v>
      </c>
      <c r="C105" s="1531" t="str">
        <f>INDEX('REVIEW - Complete Role Mapping'!$C:$C,27)</f>
        <v>Field Systems Operations Lead - VIC</v>
      </c>
      <c r="D105" s="1531" t="str">
        <f>INDEX('REVIEW - Complete Role Mapping'!$AK:$AK,27)</f>
        <v>Filled</v>
      </c>
      <c r="E105" s="1548" t="inlineStr">
        <is>
          <t>Filled</t>
        </is>
      </c>
      <c r="F105" s="1770">
        <f>INDEX('REVIEW - Complete Role Mapping'!$AA:$AA,27)</f>
        <v>167360.05</v>
      </c>
      <c r="G105" s="1770">
        <f>$F105*IFERROR(INDEX(Lists!$AD:$AD,MATCH($E105,Lists!$AC:$AC,0)),1)</f>
        <v>167360.05</v>
      </c>
    </row>
    <row r="106">
      <c r="B106" s="1531" t="str">
        <f>INDEX('REVIEW - Complete Role Mapping'!$B:$B,28)</f>
        <v>Gerald Aguas</v>
      </c>
      <c r="C106" s="1531" t="str">
        <f>INDEX('REVIEW - Complete Role Mapping'!$C:$C,28)</f>
        <v>Field Systems Operations Lead - NSW</v>
      </c>
      <c r="D106" s="1531" t="str">
        <f>INDEX('REVIEW - Complete Role Mapping'!$AK:$AK,28)</f>
        <v>Filled</v>
      </c>
      <c r="E106" s="1548" t="inlineStr">
        <is>
          <t>Filled</t>
        </is>
      </c>
      <c r="F106" s="1770">
        <f>INDEX('REVIEW - Complete Role Mapping'!$AA:$AA,28)</f>
        <v>190155.852</v>
      </c>
      <c r="G106" s="1770">
        <f>$F106*IFERROR(INDEX(Lists!$AD:$AD,MATCH($E106,Lists!$AC:$AC,0)),1)</f>
        <v>190155.852</v>
      </c>
    </row>
    <row r="107">
      <c r="B107" s="1531" t="str">
        <f>INDEX('REVIEW - Complete Role Mapping'!$B:$B,38)</f>
        <v>Karthikeyan Kuppan</v>
      </c>
      <c r="C107" s="1531" t="str">
        <f>INDEX('REVIEW - Complete Role Mapping'!$C:$C,38)</f>
        <v>Lead - AU Retail Operations</v>
      </c>
      <c r="D107" s="1531" t="str">
        <f>INDEX('REVIEW - Complete Role Mapping'!$AK:$AK,38)</f>
        <v>Filled</v>
      </c>
      <c r="E107" s="1548" t="inlineStr">
        <is>
          <t>Filled</t>
        </is>
      </c>
      <c r="F107" s="1770">
        <f>INDEX('REVIEW - Complete Role Mapping'!$AA:$AA,38)</f>
        <v>242933.676</v>
      </c>
      <c r="G107" s="1770">
        <f>$F107*IFERROR(INDEX(Lists!$AD:$AD,MATCH($E107,Lists!$AC:$AC,0)),1)</f>
        <v>242933.676</v>
      </c>
    </row>
    <row r="108">
      <c r="B108" s="1531" t="str">
        <f>INDEX('REVIEW - Complete Role Mapping'!$B:$B,54)</f>
        <v>Patrick Ericson Nario</v>
      </c>
      <c r="C108" s="1531" t="str">
        <f>INDEX('REVIEW - Complete Role Mapping'!$C:$C,54)</f>
        <v>Support Analyst - Field Operations</v>
      </c>
      <c r="D108" s="1531" t="str">
        <f>INDEX('REVIEW - Complete Role Mapping'!$AK:$AK,54)</f>
        <v>Filled</v>
      </c>
      <c r="E108" s="1548" t="inlineStr">
        <is>
          <t>Filled</t>
        </is>
      </c>
      <c r="F108" s="1770">
        <f>INDEX('REVIEW - Complete Role Mapping'!$AA:$AA,54)</f>
        <v>214214.1</v>
      </c>
      <c r="G108" s="1770">
        <f>$F108*IFERROR(INDEX(Lists!$AD:$AD,MATCH($E108,Lists!$AC:$AC,0)),1)</f>
        <v>214214.1</v>
      </c>
    </row>
    <row r="109">
      <c r="B109" s="1531" t="str">
        <f>INDEX('REVIEW - Complete Role Mapping'!$B:$B,66)</f>
        <v>Tuan Edwards</v>
      </c>
      <c r="C109" s="1531" t="str">
        <f>INDEX('REVIEW - Complete Role Mapping'!$C:$C,66)</f>
        <v>Field Systems Operations Lead - QLD</v>
      </c>
      <c r="D109" s="1531" t="str">
        <f>INDEX('REVIEW - Complete Role Mapping'!$AK:$AK,66)</f>
        <v>Filled</v>
      </c>
      <c r="E109" s="1548" t="inlineStr">
        <is>
          <t>Filled</t>
        </is>
      </c>
      <c r="F109" s="1770">
        <f>INDEX('REVIEW - Complete Role Mapping'!$AA:$AA,66)</f>
        <v>202853.25</v>
      </c>
      <c r="G109" s="1770">
        <f>$F109*IFERROR(INDEX(Lists!$AD:$AD,MATCH($E109,Lists!$AC:$AC,0)),1)</f>
        <v>202853.25</v>
      </c>
    </row>
    <row r="110">
      <c r="B110" s="1531" t="str">
        <f>INDEX('REVIEW - Complete Role Mapping'!$B:$B,91)</f>
        <v>Vacant</v>
      </c>
      <c r="C110" s="1531" t="str">
        <f>INDEX('REVIEW - Complete Role Mapping'!$C:$C,91)</f>
        <v>Support Analyst -Retail</v>
      </c>
      <c r="D110" s="1531" t="str">
        <f>INDEX('REVIEW - Complete Role Mapping'!$AK:$AK,91)</f>
        <v>Vacant</v>
      </c>
      <c r="E110" s="1548" t="inlineStr">
        <is>
          <t>Hire</t>
        </is>
      </c>
      <c r="F110" s="1770">
        <f>INDEX('REVIEW - Complete Role Mapping'!$AA:$AA,91)</f>
        <v>170501.585</v>
      </c>
      <c r="G110" s="1770">
        <f>$F110*IFERROR(INDEX(Lists!$AD:$AD,MATCH($E110,Lists!$AC:$AC,0)),1)</f>
        <v>170501.585</v>
      </c>
    </row>
    <row r="111">
      <c r="B111" s="1530" t="inlineStr">
        <is>
          <t>Head of Technology</t>
        </is>
      </c>
      <c r="C111" s="1530" t="str">
        <f>COUNTA($B$112:$B$112)&amp;IF(COUNTA($B$112:$B$112)=1," role"," roles")</f>
        <v>1 role</v>
      </c>
      <c r="D111" s="1530" t="n"/>
      <c r="E111" s="1530" t="n"/>
      <c r="F111" s="1786">
        <f>SUM(F112:F112)</f>
        <v>186032.25</v>
      </c>
      <c r="G111" s="1786">
        <f>SUM(G112:G112)</f>
        <v>186032.25</v>
      </c>
    </row>
    <row r="112">
      <c r="B112" s="1531" t="str">
        <f>INDEX('REVIEW - Complete Role Mapping'!$B:$B,42)</f>
        <v>Madan Murthy</v>
      </c>
      <c r="C112" s="1531" t="str">
        <f>INDEX('REVIEW - Complete Role Mapping'!$C:$C,42)</f>
        <v>Head of Technology, AU Retail</v>
      </c>
      <c r="D112" s="1531" t="str">
        <f>INDEX('REVIEW - Complete Role Mapping'!$AK:$AK,42)</f>
        <v>Filled</v>
      </c>
      <c r="E112" s="1548" t="inlineStr">
        <is>
          <t>Filled</t>
        </is>
      </c>
      <c r="F112" s="1770">
        <f>INDEX('REVIEW - Complete Role Mapping'!$AA:$AA,42)</f>
        <v>186032.25</v>
      </c>
      <c r="G112" s="1770">
        <f>$F112*IFERROR(INDEX(Lists!$AD:$AD,MATCH($E112,Lists!$AC:$AC,0)),1)</f>
        <v>186032.25</v>
      </c>
    </row>
    <row r="113">
      <c r="B113" s="1530" t="inlineStr">
        <is>
          <t>Delivery Manager</t>
        </is>
      </c>
      <c r="C113" s="1530" t="str">
        <f>COUNTA($B$114:$B$114)&amp;IF(COUNTA($B$114:$B$114)=1," role"," roles")</f>
        <v>1 role</v>
      </c>
      <c r="D113" s="1530" t="n"/>
      <c r="E113" s="1530" t="n"/>
      <c r="F113" s="1786">
        <f>SUM(F114:F114)</f>
        <v>302937.35</v>
      </c>
      <c r="G113" s="1786">
        <f>SUM(G114:G114)</f>
        <v>302937.35</v>
      </c>
    </row>
    <row r="114">
      <c r="B114" s="1531" t="str">
        <f>INDEX('REVIEW - Complete Role Mapping'!$B:$B,97)</f>
        <v>Vanessa Allen</v>
      </c>
      <c r="C114" s="1531" t="str">
        <f>INDEX('REVIEW - Complete Role Mapping'!$C:$C,97)</f>
        <v>Delivery Manager</v>
      </c>
      <c r="D114" s="1531" t="str">
        <f>INDEX('REVIEW - Complete Role Mapping'!$AK:$AK,97)</f>
        <v>Filled</v>
      </c>
      <c r="E114" s="1548" t="inlineStr">
        <is>
          <t>Filled</t>
        </is>
      </c>
      <c r="F114" s="1770">
        <f>INDEX('REVIEW - Complete Role Mapping'!$AA:$AA,97)</f>
        <v>302937.35</v>
      </c>
      <c r="G114" s="1770">
        <f>$F114*IFERROR(INDEX(Lists!$AD:$AD,MATCH($E114,Lists!$AC:$AC,0)),1)</f>
        <v>302937.35</v>
      </c>
    </row>
    <row r="115">
      <c r="B115" s="1530" t="inlineStr">
        <is>
          <t>Technology Manager</t>
        </is>
      </c>
      <c r="C115" s="1530" t="str">
        <f>COUNTA($B$116:$B$118)&amp;IF(COUNTA($B$116:$B$118)=1," role"," roles")</f>
        <v>3 roles</v>
      </c>
      <c r="D115" s="1530" t="n"/>
      <c r="E115" s="1530" t="n"/>
      <c r="F115" s="1786">
        <f>SUM(F116:F118)</f>
        <v>766646.363</v>
      </c>
      <c r="G115" s="1786">
        <f>SUM(G116:G118)</f>
        <v>766646.363</v>
      </c>
    </row>
    <row r="116">
      <c r="B116" s="1531" t="str">
        <f>INDEX('REVIEW - Complete Role Mapping'!$B:$B,64)</f>
        <v>Tracy Lee Reaper</v>
      </c>
      <c r="C116" s="1531" t="str">
        <f>INDEX('REVIEW - Complete Role Mapping'!$C:$C,64)</f>
        <v>Technology Manager, Merchandising &amp; WFM</v>
      </c>
      <c r="D116" s="1531" t="str">
        <f>INDEX('REVIEW - Complete Role Mapping'!$AK:$AK,64)</f>
        <v>Filled</v>
      </c>
      <c r="E116" s="1548" t="inlineStr">
        <is>
          <t>Filled</t>
        </is>
      </c>
      <c r="F116" s="1770">
        <f>INDEX('REVIEW - Complete Role Mapping'!$AA:$AA,64)</f>
        <v>224341.488</v>
      </c>
      <c r="G116" s="1770">
        <f>$F116*IFERROR(INDEX(Lists!$AD:$AD,MATCH($E116,Lists!$AC:$AC,0)),1)</f>
        <v>224341.488</v>
      </c>
    </row>
    <row r="117">
      <c r="B117" s="1531" t="str">
        <f>INDEX('REVIEW - Complete Role Mapping'!$B:$B,96)</f>
        <v>Vaishnavi Viswanathan</v>
      </c>
      <c r="C117" s="1531" t="str">
        <f>INDEX('REVIEW - Complete Role Mapping'!$C:$C,96)</f>
        <v>Technology Manager, Store Platform</v>
      </c>
      <c r="D117" s="1531" t="str">
        <f>INDEX('REVIEW - Complete Role Mapping'!$AK:$AK,96)</f>
        <v>Filled</v>
      </c>
      <c r="E117" s="1548" t="inlineStr">
        <is>
          <t>Filled</t>
        </is>
      </c>
      <c r="F117" s="1770">
        <f>INDEX('REVIEW - Complete Role Mapping'!$AA:$AA,96)</f>
        <v>257754.875</v>
      </c>
      <c r="G117" s="1770">
        <f>$F117*IFERROR(INDEX(Lists!$AD:$AD,MATCH($E117,Lists!$AC:$AC,0)),1)</f>
        <v>257754.875</v>
      </c>
    </row>
    <row r="118">
      <c r="B118" s="1531" t="str">
        <f>INDEX('REVIEW - Complete Role Mapping'!$B:$B,100)</f>
        <v>Vedran Jukic</v>
      </c>
      <c r="C118" s="1531" t="str">
        <f>INDEX('REVIEW - Complete Role Mapping'!$C:$C,100)</f>
        <v>Technology Manager, Retail</v>
      </c>
      <c r="D118" s="1531" t="str">
        <f>INDEX('REVIEW - Complete Role Mapping'!$AK:$AK,100)</f>
        <v>Filled</v>
      </c>
      <c r="E118" s="1548" t="inlineStr">
        <is>
          <t>Filled</t>
        </is>
      </c>
      <c r="F118" s="1770">
        <f>INDEX('REVIEW - Complete Role Mapping'!$AA:$AA,100)</f>
        <v>284550</v>
      </c>
      <c r="G118" s="1770">
        <f>$F118*IFERROR(INDEX(Lists!$AD:$AD,MATCH($E118,Lists!$AC:$AC,0)),1)</f>
        <v>284550</v>
      </c>
    </row>
  </sheetData>
  <dataValidations count="1">
    <dataValidation sqref="E37 E38 E39 E40 E41 E42 E43 E44 E45 E46 E47 E49 E50 E51 E52 E53 E54 E55 E56 E57 E58 E60 E61 E62 E63 E64 E65 E67 E68 E69 E70 E71 E73 E74 E75 E76 E77 E78 E80 E82 E83 E84 E85 E86 E87 E89 E90 E91 E92 E93 E94 E95 E96 E98 E99 E100 E101 E103 E104 E105 E106 E107 E108 E109 E110 E112 E114 E116 E117 E118"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4.xml><?xml version="1.0" encoding="utf-8"?>
<worksheet xmlns="http://schemas.openxmlformats.org/spreadsheetml/2006/main">
  <sheetPr filterMode="0">
    <tabColor rgb="FFBF8F00"/>
    <outlinePr summaryBelow="1" summaryRight="1"/>
    <pageSetUpPr fitToPage="1"/>
  </sheetPr>
  <dimension ref="B2:Q128"/>
  <sheetViews>
    <sheetView showFormulas="0" showGridLines="0" showRowColHeaders="1" showZeros="1" rightToLeft="0" tabSelected="1" showOutlineSymbols="1" defaultGridColor="1" view="normal" topLeftCell="A19" colorId="64" zoomScale="70" zoomScaleNormal="70" zoomScalePageLayoutView="100" workbookViewId="0">
      <selection pane="topLeft" activeCell="A19" activeCellId="0" sqref="A19"/>
      <selection pane="topRight" activeCell="C19" activeCellId="0" sqref="C19"/>
      <selection pane="bottomLeft" activeCell="A7" activeCellId="0" sqref="A7"/>
      <selection pane="bottomRight" activeCell="B20" activeCellId="0" sqref="B20"/>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Customer - working copy</t>
        </is>
      </c>
    </row>
    <row r="3">
      <c r="B3" s="1525" t="inlineStr">
        <is>
          <t>Portfolio</t>
        </is>
      </c>
      <c r="C3" s="1526" t="inlineStr">
        <is>
          <t>Customer</t>
        </is>
      </c>
    </row>
    <row r="4" ht="19" customHeight="1" s="866">
      <c r="B4" s="1527" t="inlineStr">
        <is>
          <t>Customer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Ampol App</t>
        </is>
      </c>
      <c r="C8" s="1531" t="str">
        <f>IFERROR(INDEX('1.2 Customer'!$C$29:$C$56,MATCH($B8,'1.2 Customer'!$B$29:$B$56,0)),"Not on the 1.x tab")</f>
        <v>Product</v>
      </c>
      <c r="D8" s="1531" t="str">
        <f>IFERROR(IF(INDEX('1.2 Customer'!$D$29:$D$56,MATCH($B8,'1.2 Customer'!$B$29:$B$56,0))="","-",INDEX('1.2 Customer'!$D$29:$D$56,MATCH($B8,'1.2 Customer'!$B$29:$B$56,0))),"-")</f>
        <v>L</v>
      </c>
      <c r="E8" s="1783">
        <f>IFERROR(INDEX('0.3 Squad Archetypes'!$F$5:$F$23,MATCH($C8&amp;"|"&amp;$D8,'0.3 Squad Archetypes'!$A$5:$A$23,0)),"-")</f>
        <v>12</v>
      </c>
      <c r="F8" s="1770">
        <f>COUNTA($B$35:$B$48)</f>
        <v>14</v>
      </c>
      <c r="G8" s="1770">
        <f>COUNTIFS($D$35:$D$48,"Filled")</f>
        <v>14</v>
      </c>
      <c r="H8" s="1770">
        <f>COUNTIFS($D$35:$D$48,"Vacant")</f>
        <v>0</v>
      </c>
      <c r="I8" s="1770">
        <f>COUNTIFS($D$35:$D$48,"Vacant",$E$35:$E$48,"Hire")</f>
        <v>0</v>
      </c>
      <c r="J8" s="1770">
        <f>COUNTIFS($E$35:$E$48,"Offshore")</f>
        <v>0</v>
      </c>
      <c r="K8" s="1770">
        <f>COUNTIFS($E$35:$E$48,"Hold")</f>
        <v>0</v>
      </c>
      <c r="L8" s="1770">
        <f>$F8-$K8</f>
        <v>14</v>
      </c>
      <c r="M8" s="1769">
        <f>IFERROR(IF(INDEX('1.2 Customer'!$E$29:$E$56,MATCH($B8,'1.2 Customer'!$B$29:$B$56,0))="Offshore",INDEX('0.3 Squad Archetypes'!$H$5:$H$23,MATCH($C8&amp;"|"&amp;$D8,'0.3 Squad Archetypes'!$A$5:$A$23,0)),INDEX('0.3 Squad Archetypes'!$G$5:$G$23,MATCH($C8&amp;"|"&amp;$D8,'0.3 Squad Archetypes'!$A$5:$A$23,0))),"-")</f>
        <v>2.8</v>
      </c>
      <c r="N8" s="1769">
        <f>SUMIFS('REVIEW - Complete Role Mapping'!$AA$2:$AA$528,'REVIEW - Complete Role Mapping'!$AJ$2:$AJ$528,$C$3,'REVIEW - Complete Role Mapping'!$AT$2:$AT$528,$B8)/1000000</f>
        <v>3.36059233</v>
      </c>
      <c r="O8" s="1769">
        <f>IFERROR(ROUND($N8-$M8,6),"-")</f>
        <v>0.560592</v>
      </c>
      <c r="P8" s="1769">
        <f>SUM($G$35:$G$48)/1000000</f>
        <v>3.36059233</v>
      </c>
      <c r="Q8" s="1769">
        <f>IFERROR(ROUND($P8-$M8,6),"-")</f>
        <v>0.560592</v>
      </c>
    </row>
    <row r="9">
      <c r="B9" s="1531" t="inlineStr">
        <is>
          <t>Ampol Loyalty &amp; Martech</t>
        </is>
      </c>
      <c r="C9" s="1531" t="str">
        <f>IFERROR(INDEX('1.2 Customer'!$C$29:$C$56,MATCH($B9,'1.2 Customer'!$B$29:$B$56,0)),"Not on the 1.x tab")</f>
        <v>Product</v>
      </c>
      <c r="D9" s="1531" t="str">
        <f>IFERROR(IF(INDEX('1.2 Customer'!$D$29:$D$56,MATCH($B9,'1.2 Customer'!$B$29:$B$56,0))="","-",INDEX('1.2 Customer'!$D$29:$D$56,MATCH($B9,'1.2 Customer'!$B$29:$B$56,0))),"-")</f>
        <v>M</v>
      </c>
      <c r="E9" s="1783">
        <f>IFERROR(INDEX('0.3 Squad Archetypes'!$F$5:$F$23,MATCH($C9&amp;"|"&amp;$D9,'0.3 Squad Archetypes'!$A$5:$A$23,0)),"-")</f>
        <v>8.5</v>
      </c>
      <c r="F9" s="1770">
        <f>COUNTA($B$50:$B$58)</f>
        <v>9</v>
      </c>
      <c r="G9" s="1770">
        <f>COUNTIFS($D$50:$D$58,"Filled")</f>
        <v>3</v>
      </c>
      <c r="H9" s="1770">
        <f>COUNTIFS($D$50:$D$58,"Vacant")</f>
        <v>6</v>
      </c>
      <c r="I9" s="1770">
        <f>COUNTIFS($D$50:$D$58,"Vacant",$E$50:$E$58,"Hire")</f>
        <v>6</v>
      </c>
      <c r="J9" s="1770">
        <f>COUNTIFS($E$50:$E$58,"Offshore")</f>
        <v>0</v>
      </c>
      <c r="K9" s="1770">
        <f>COUNTIFS($E$50:$E$58,"Hold")</f>
        <v>0</v>
      </c>
      <c r="L9" s="1770">
        <f>$F9-$K9</f>
        <v>9</v>
      </c>
      <c r="M9" s="1769">
        <f>IFERROR(IF(INDEX('1.2 Customer'!$E$29:$E$56,MATCH($B9,'1.2 Customer'!$B$29:$B$56,0))="Offshore",INDEX('0.3 Squad Archetypes'!$H$5:$H$23,MATCH($C9&amp;"|"&amp;$D9,'0.3 Squad Archetypes'!$A$5:$A$23,0)),INDEX('0.3 Squad Archetypes'!$G$5:$G$23,MATCH($C9&amp;"|"&amp;$D9,'0.3 Squad Archetypes'!$A$5:$A$23,0))),"-")</f>
        <v>1.9</v>
      </c>
      <c r="N9" s="1769">
        <f>SUMIFS('REVIEW - Complete Role Mapping'!$AA$2:$AA$528,'REVIEW - Complete Role Mapping'!$AJ$2:$AJ$528,$C$3,'REVIEW - Complete Role Mapping'!$AT$2:$AT$528,$B9)/1000000</f>
        <v>1.331225988</v>
      </c>
      <c r="O9" s="1769">
        <f>IFERROR(ROUND($N9-$M9,6),"-")</f>
        <v>-0.568774</v>
      </c>
      <c r="P9" s="1769">
        <f>SUM($G$50:$G$58)/1000000</f>
        <v>1.331225988</v>
      </c>
      <c r="Q9" s="1769">
        <f>IFERROR(ROUND($P9-$M9,6),"-")</f>
        <v>-0.568774</v>
      </c>
    </row>
    <row r="10">
      <c r="B10" s="1531" t="inlineStr">
        <is>
          <t>Ampol Web</t>
        </is>
      </c>
      <c r="C10" s="1531" t="str">
        <f>IFERROR(INDEX('1.2 Customer'!$C$29:$C$56,MATCH($B10,'1.2 Customer'!$B$29:$B$56,0)),"Not on the 1.x tab")</f>
        <v>Product</v>
      </c>
      <c r="D10" s="1531" t="str">
        <f>IFERROR(IF(INDEX('1.2 Customer'!$D$29:$D$56,MATCH($B10,'1.2 Customer'!$B$29:$B$56,0))="","-",INDEX('1.2 Customer'!$D$29:$D$56,MATCH($B10,'1.2 Customer'!$B$29:$B$56,0))),"-")</f>
        <v>M</v>
      </c>
      <c r="E10" s="1783">
        <f>IFERROR(INDEX('0.3 Squad Archetypes'!$F$5:$F$23,MATCH($C10&amp;"|"&amp;$D10,'0.3 Squad Archetypes'!$A$5:$A$23,0)),"-")</f>
        <v>8.5</v>
      </c>
      <c r="F10" s="1770">
        <f>COUNTA($B$60:$B$68)</f>
        <v>9</v>
      </c>
      <c r="G10" s="1770">
        <f>COUNTIFS($D$60:$D$68,"Filled")</f>
        <v>9</v>
      </c>
      <c r="H10" s="1770">
        <f>COUNTIFS($D$60:$D$68,"Vacant")</f>
        <v>0</v>
      </c>
      <c r="I10" s="1770">
        <f>COUNTIFS($D$60:$D$68,"Vacant",$E$60:$E$68,"Hire")</f>
        <v>0</v>
      </c>
      <c r="J10" s="1770">
        <f>COUNTIFS($E$60:$E$68,"Offshore")</f>
        <v>0</v>
      </c>
      <c r="K10" s="1770">
        <f>COUNTIFS($E$60:$E$68,"Hold")</f>
        <v>0</v>
      </c>
      <c r="L10" s="1770">
        <f>$F10-$K10</f>
        <v>9</v>
      </c>
      <c r="M10" s="1769">
        <f>IFERROR(IF(INDEX('1.2 Customer'!$E$29:$E$56,MATCH($B10,'1.2 Customer'!$B$29:$B$56,0))="Offshore",INDEX('0.3 Squad Archetypes'!$H$5:$H$23,MATCH($C10&amp;"|"&amp;$D10,'0.3 Squad Archetypes'!$A$5:$A$23,0)),INDEX('0.3 Squad Archetypes'!$G$5:$G$23,MATCH($C10&amp;"|"&amp;$D10,'0.3 Squad Archetypes'!$A$5:$A$23,0))),"-")</f>
        <v>1.9</v>
      </c>
      <c r="N10" s="1769">
        <f>SUMIFS('REVIEW - Complete Role Mapping'!$AA$2:$AA$528,'REVIEW - Complete Role Mapping'!$AJ$2:$AJ$528,$C$3,'REVIEW - Complete Role Mapping'!$AT$2:$AT$528,$B10)/1000000</f>
        <v>1.7617192</v>
      </c>
      <c r="O10" s="1769">
        <f>IFERROR(ROUND($N10-$M10,6),"-")</f>
        <v>-0.138281</v>
      </c>
      <c r="P10" s="1769">
        <f>SUM($G$60:$G$68)/1000000</f>
        <v>1.7617192</v>
      </c>
      <c r="Q10" s="1769">
        <f>IFERROR(ROUND($P10-$M10,6),"-")</f>
        <v>-0.138281</v>
      </c>
    </row>
    <row r="11">
      <c r="B11" s="1531" t="inlineStr">
        <is>
          <t>Customer AI</t>
        </is>
      </c>
      <c r="C11" s="1531" t="str">
        <f>IFERROR(INDEX('1.2 Customer'!$C$29:$C$56,MATCH($B11,'1.2 Customer'!$B$29:$B$56,0)),"Not on the 1.x tab")</f>
        <v>Engineering</v>
      </c>
      <c r="D11" s="1531" t="str">
        <f>IFERROR(IF(INDEX('1.2 Customer'!$D$29:$D$56,MATCH($B11,'1.2 Customer'!$B$29:$B$56,0))="","-",INDEX('1.2 Customer'!$D$29:$D$56,MATCH($B11,'1.2 Customer'!$B$29:$B$56,0))),"-")</f>
        <v>S</v>
      </c>
      <c r="E11" s="1783">
        <f>IFERROR(INDEX('0.3 Squad Archetypes'!$F$5:$F$23,MATCH($C11&amp;"|"&amp;$D11,'0.3 Squad Archetypes'!$A$5:$A$23,0)),"-")</f>
        <v>4.5</v>
      </c>
      <c r="F11" s="1770">
        <f>COUNTA($B$70:$B$71)</f>
        <v>2</v>
      </c>
      <c r="G11" s="1770">
        <f>COUNTIFS($D$70:$D$71,"Filled")</f>
        <v>0</v>
      </c>
      <c r="H11" s="1770">
        <f>COUNTIFS($D$70:$D$71,"Vacant")</f>
        <v>2</v>
      </c>
      <c r="I11" s="1770">
        <f>COUNTIFS($D$70:$D$71,"Vacant",$E$70:$E$71,"Hire")</f>
        <v>2</v>
      </c>
      <c r="J11" s="1770">
        <f>COUNTIFS($E$70:$E$71,"Offshore")</f>
        <v>0</v>
      </c>
      <c r="K11" s="1770">
        <f>COUNTIFS($E$70:$E$71,"Hold")</f>
        <v>0</v>
      </c>
      <c r="L11" s="1770">
        <f>$F11-$K11</f>
        <v>2</v>
      </c>
      <c r="M11" s="1769">
        <f>IFERROR(IF(INDEX('1.2 Customer'!$E$29:$E$56,MATCH($B11,'1.2 Customer'!$B$29:$B$56,0))="Offshore",INDEX('0.3 Squad Archetypes'!$H$5:$H$23,MATCH($C11&amp;"|"&amp;$D11,'0.3 Squad Archetypes'!$A$5:$A$23,0)),INDEX('0.3 Squad Archetypes'!$G$5:$G$23,MATCH($C11&amp;"|"&amp;$D11,'0.3 Squad Archetypes'!$A$5:$A$23,0))),"-")</f>
        <v>0.8</v>
      </c>
      <c r="N11" s="1769">
        <f>SUMIFS('REVIEW - Complete Role Mapping'!$AA$2:$AA$528,'REVIEW - Complete Role Mapping'!$AJ$2:$AJ$528,$C$3,'REVIEW - Complete Role Mapping'!$AT$2:$AT$528,$B11)/1000000</f>
        <v>0.17103768</v>
      </c>
      <c r="O11" s="1769">
        <f>IFERROR(ROUND($N11-$M11,6),"-")</f>
        <v>-0.628962</v>
      </c>
      <c r="P11" s="1769">
        <f>SUM($G$70:$G$71)/1000000</f>
        <v>0.17103768</v>
      </c>
      <c r="Q11" s="1769">
        <f>IFERROR(ROUND($P11-$M11,6),"-")</f>
        <v>-0.628962</v>
      </c>
    </row>
    <row r="12">
      <c r="B12" s="1531" t="inlineStr">
        <is>
          <t>Digital Operations</t>
        </is>
      </c>
      <c r="C12" s="1531" t="str">
        <f>IFERROR(INDEX('1.2 Customer'!$C$29:$C$56,MATCH($B12,'1.2 Customer'!$B$29:$B$56,0)),"Not on the 1.x tab")</f>
        <v>Operations</v>
      </c>
      <c r="D12" s="1531" t="str">
        <f>IFERROR(IF(INDEX('1.2 Customer'!$D$29:$D$56,MATCH($B12,'1.2 Customer'!$B$29:$B$56,0))="","-",INDEX('1.2 Customer'!$D$29:$D$56,MATCH($B12,'1.2 Customer'!$B$29:$B$56,0))),"-")</f>
        <v>M</v>
      </c>
      <c r="E12" s="1783">
        <f>IFERROR(INDEX('0.3 Squad Archetypes'!$F$5:$F$23,MATCH($C12&amp;"|"&amp;$D12,'0.3 Squad Archetypes'!$A$5:$A$23,0)),"-")</f>
        <v>6</v>
      </c>
      <c r="F12" s="1770">
        <f>COUNTA($B$73:$B$79)</f>
        <v>7</v>
      </c>
      <c r="G12" s="1770">
        <f>COUNTIFS($D$73:$D$79,"Filled")</f>
        <v>4</v>
      </c>
      <c r="H12" s="1770">
        <f>COUNTIFS($D$73:$D$79,"Vacant")</f>
        <v>3</v>
      </c>
      <c r="I12" s="1770">
        <f>COUNTIFS($D$73:$D$79,"Vacant",$E$73:$E$79,"Hire")</f>
        <v>3</v>
      </c>
      <c r="J12" s="1770">
        <f>COUNTIFS($E$73:$E$79,"Offshore")</f>
        <v>0</v>
      </c>
      <c r="K12" s="1770">
        <f>COUNTIFS($E$73:$E$79,"Hold")</f>
        <v>0</v>
      </c>
      <c r="L12" s="1770">
        <f>$F12-$K12</f>
        <v>7</v>
      </c>
      <c r="M12" s="1769">
        <f>IFERROR(IF(INDEX('1.2 Customer'!$E$29:$E$56,MATCH($B12,'1.2 Customer'!$B$29:$B$56,0))="Offshore",INDEX('0.3 Squad Archetypes'!$H$5:$H$23,MATCH($C12&amp;"|"&amp;$D12,'0.3 Squad Archetypes'!$A$5:$A$23,0)),INDEX('0.3 Squad Archetypes'!$G$5:$G$23,MATCH($C12&amp;"|"&amp;$D12,'0.3 Squad Archetypes'!$A$5:$A$23,0))),"-")</f>
        <v>0.56</v>
      </c>
      <c r="N12" s="1769">
        <f>SUMIFS('REVIEW - Complete Role Mapping'!$AA$2:$AA$528,'REVIEW - Complete Role Mapping'!$AJ$2:$AJ$528,$C$3,'REVIEW - Complete Role Mapping'!$AT$2:$AT$528,$B12)/1000000</f>
        <v>1.303645928</v>
      </c>
      <c r="O12" s="1769">
        <f>IFERROR(ROUND($N12-$M12,6),"-")</f>
        <v>0.743646</v>
      </c>
      <c r="P12" s="1769">
        <f>SUM($G$73:$G$79)/1000000</f>
        <v>1.303645928</v>
      </c>
      <c r="Q12" s="1769">
        <f>IFERROR(ROUND($P12-$M12,6),"-")</f>
        <v>0.743646</v>
      </c>
    </row>
    <row r="13">
      <c r="B13" s="1531" t="inlineStr">
        <is>
          <t>Z App and Web</t>
        </is>
      </c>
      <c r="C13" s="1531" t="str">
        <f>IFERROR(INDEX('1.2 Customer'!$C$29:$C$56,MATCH($B13,'1.2 Customer'!$B$29:$B$56,0)),"Not on the 1.x tab")</f>
        <v>Product</v>
      </c>
      <c r="D13" s="1531" t="str">
        <f>IFERROR(IF(INDEX('1.2 Customer'!$D$29:$D$56,MATCH($B13,'1.2 Customer'!$B$29:$B$56,0))="","-",INDEX('1.2 Customer'!$D$29:$D$56,MATCH($B13,'1.2 Customer'!$B$29:$B$56,0))),"-")</f>
        <v>S</v>
      </c>
      <c r="E13" s="1783">
        <f>IFERROR(INDEX('0.3 Squad Archetypes'!$F$5:$F$23,MATCH($C13&amp;"|"&amp;$D13,'0.3 Squad Archetypes'!$A$5:$A$23,0)),"-")</f>
        <v>5.5</v>
      </c>
      <c r="F13" s="1770">
        <f>COUNTA($B$98:$B$102)</f>
        <v>5</v>
      </c>
      <c r="G13" s="1770">
        <f>COUNTIFS($D$98:$D$102,"Filled")</f>
        <v>5</v>
      </c>
      <c r="H13" s="1770">
        <f>COUNTIFS($D$98:$D$102,"Vacant")</f>
        <v>0</v>
      </c>
      <c r="I13" s="1770">
        <f>COUNTIFS($D$98:$D$102,"Vacant",$E$98:$E$102,"Hire")</f>
        <v>0</v>
      </c>
      <c r="J13" s="1770">
        <f>COUNTIFS($E$98:$E$102,"Offshore")</f>
        <v>0</v>
      </c>
      <c r="K13" s="1770">
        <f>COUNTIFS($E$98:$E$102,"Hold")</f>
        <v>0</v>
      </c>
      <c r="L13" s="1770">
        <f>$F13-$K13</f>
        <v>5</v>
      </c>
      <c r="M13" s="1769">
        <f>IFERROR(IF(INDEX('1.2 Customer'!$E$29:$E$56,MATCH($B13,'1.2 Customer'!$B$29:$B$56,0))="Offshore",INDEX('0.3 Squad Archetypes'!$H$5:$H$23,MATCH($C13&amp;"|"&amp;$D13,'0.3 Squad Archetypes'!$A$5:$A$23,0)),INDEX('0.3 Squad Archetypes'!$G$5:$G$23,MATCH($C13&amp;"|"&amp;$D13,'0.3 Squad Archetypes'!$A$5:$A$23,0))),"-")</f>
        <v>1.3</v>
      </c>
      <c r="N13" s="1769">
        <f>SUMIFS('REVIEW - Complete Role Mapping'!$AA$2:$AA$528,'REVIEW - Complete Role Mapping'!$AJ$2:$AJ$528,$C$3,'REVIEW - Complete Role Mapping'!$AT$2:$AT$528,$B13)/1000000</f>
        <v>1.223286048</v>
      </c>
      <c r="O13" s="1769">
        <f>IFERROR(ROUND($N13-$M13,6),"-")</f>
        <v>-0.076714</v>
      </c>
      <c r="P13" s="1769">
        <f>SUM($G$98:$G$102)/1000000</f>
        <v>1.223286048</v>
      </c>
      <c r="Q13" s="1769">
        <f>IFERROR(ROUND($P13-$M13,6),"-")</f>
        <v>-0.076714</v>
      </c>
    </row>
    <row r="14">
      <c r="B14" s="1531" t="inlineStr">
        <is>
          <t>Z Loyalty &amp; Martech</t>
        </is>
      </c>
      <c r="C14" s="1531" t="str">
        <f>IFERROR(INDEX('1.2 Customer'!$C$29:$C$56,MATCH($B14,'1.2 Customer'!$B$29:$B$56,0)),"Not on the 1.x tab")</f>
        <v>Product</v>
      </c>
      <c r="D14" s="1531" t="str">
        <f>IFERROR(IF(INDEX('1.2 Customer'!$D$29:$D$56,MATCH($B14,'1.2 Customer'!$B$29:$B$56,0))="","-",INDEX('1.2 Customer'!$D$29:$D$56,MATCH($B14,'1.2 Customer'!$B$29:$B$56,0))),"-")</f>
        <v>L</v>
      </c>
      <c r="E14" s="1783">
        <f>IFERROR(INDEX('0.3 Squad Archetypes'!$F$5:$F$23,MATCH($C14&amp;"|"&amp;$D14,'0.3 Squad Archetypes'!$A$5:$A$23,0)),"-")</f>
        <v>12</v>
      </c>
      <c r="F14" s="1770">
        <f>COUNTA($B$104:$B$117)</f>
        <v>14</v>
      </c>
      <c r="G14" s="1770">
        <f>COUNTIFS($D$104:$D$117,"Filled")</f>
        <v>14</v>
      </c>
      <c r="H14" s="1770">
        <f>COUNTIFS($D$104:$D$117,"Vacant")</f>
        <v>0</v>
      </c>
      <c r="I14" s="1770">
        <f>COUNTIFS($D$104:$D$117,"Vacant",$E$104:$E$117,"Hire")</f>
        <v>0</v>
      </c>
      <c r="J14" s="1770">
        <f>COUNTIFS($E$104:$E$117,"Offshore")</f>
        <v>0</v>
      </c>
      <c r="K14" s="1770">
        <f>COUNTIFS($E$104:$E$117,"Hold")</f>
        <v>0</v>
      </c>
      <c r="L14" s="1770">
        <f>$F14-$K14</f>
        <v>14</v>
      </c>
      <c r="M14" s="1769">
        <f>IFERROR(IF(INDEX('1.2 Customer'!$E$29:$E$56,MATCH($B14,'1.2 Customer'!$B$29:$B$56,0))="Offshore",INDEX('0.3 Squad Archetypes'!$H$5:$H$23,MATCH($C14&amp;"|"&amp;$D14,'0.3 Squad Archetypes'!$A$5:$A$23,0)),INDEX('0.3 Squad Archetypes'!$G$5:$G$23,MATCH($C14&amp;"|"&amp;$D14,'0.3 Squad Archetypes'!$A$5:$A$23,0))),"-")</f>
        <v>2.8</v>
      </c>
      <c r="N14" s="1769">
        <f>SUMIFS('REVIEW - Complete Role Mapping'!$AA$2:$AA$528,'REVIEW - Complete Role Mapping'!$AJ$2:$AJ$528,$C$3,'REVIEW - Complete Role Mapping'!$AT$2:$AT$528,$B14)/1000000</f>
        <v>2.946001772</v>
      </c>
      <c r="O14" s="1769">
        <f>IFERROR(ROUND($N14-$M14,6),"-")</f>
        <v>0.146002</v>
      </c>
      <c r="P14" s="1769">
        <f>SUM($G$104:$G$117)/1000000</f>
        <v>2.946001772</v>
      </c>
      <c r="Q14" s="1769">
        <f>IFERROR(ROUND($P14-$M14,6),"-")</f>
        <v>0.146002</v>
      </c>
    </row>
    <row r="15">
      <c r="B15" s="1535" t="inlineStr">
        <is>
          <t>Squads priced by an archetype total</t>
        </is>
      </c>
      <c r="C15" s="1535" t="n"/>
      <c r="D15" s="1535" t="n"/>
      <c r="E15" s="1784">
        <f>SUM(E8:E14)</f>
        <v>57</v>
      </c>
      <c r="F15" s="1772">
        <f>SUM(F8:F14)</f>
        <v>60</v>
      </c>
      <c r="G15" s="1772">
        <f>SUM(G8:G14)</f>
        <v>49</v>
      </c>
      <c r="H15" s="1772">
        <f>SUM(H8:H14)</f>
        <v>11</v>
      </c>
      <c r="I15" s="1772">
        <f>SUM(I8:I14)</f>
        <v>11</v>
      </c>
      <c r="J15" s="1772">
        <f>SUM(J8:J14)</f>
        <v>0</v>
      </c>
      <c r="K15" s="1772">
        <f>SUM(K8:K14)</f>
        <v>0</v>
      </c>
      <c r="L15" s="1772">
        <f>SUM(L8:L14)</f>
        <v>60</v>
      </c>
      <c r="M15" s="1771">
        <f>IF(COUNT(M8:M14)=7,SUM(M8:M14),"-")</f>
        <v>12.06</v>
      </c>
      <c r="N15" s="1771">
        <f>SUM(N8:N14)</f>
        <v>12.097508946</v>
      </c>
      <c r="O15" s="1771">
        <f>IF(ISNUMBER($M15),ROUND($N15-$M15,6),"-")</f>
        <v>0.037509</v>
      </c>
      <c r="P15" s="1771">
        <f>SUM(P8:P14)</f>
        <v>12.097508946</v>
      </c>
      <c r="Q15" s="1771">
        <f>IF(ISNUMBER($M15),ROUND($P15-$M15,6),"-")</f>
        <v>0.037509</v>
      </c>
    </row>
    <row r="16">
      <c r="B16" s="1530" t="inlineStr">
        <is>
          <t>Directly funded programmes and platforms</t>
        </is>
      </c>
      <c r="C16" s="1530" t="n"/>
      <c r="D16" s="1530" t="n"/>
      <c r="E16" s="1530" t="n"/>
      <c r="F16" s="1530" t="n"/>
      <c r="G16" s="1530" t="n"/>
      <c r="H16" s="1530" t="n"/>
      <c r="I16" s="1530" t="n"/>
      <c r="J16" s="1530" t="n"/>
      <c r="K16" s="1530" t="n"/>
      <c r="L16" s="1530" t="n"/>
      <c r="M16" s="1530" t="n"/>
      <c r="N16" s="1530" t="n"/>
      <c r="O16" s="1530" t="n"/>
      <c r="P16" s="1530" t="n"/>
      <c r="Q16" s="1530" t="n"/>
    </row>
    <row r="17">
      <c r="B17" s="1531" t="inlineStr">
        <is>
          <t>EGI Customer</t>
        </is>
      </c>
      <c r="C17" s="1531" t="str">
        <f>IFERROR(INDEX('1.2 Customer'!$C$29:$C$56,MATCH($B17,'1.2 Customer'!$B$29:$B$56,0)),"Not on the 1.x tab")</f>
        <v>Strategic Programs</v>
      </c>
      <c r="D17" s="1531" t="str">
        <f>IFERROR(IF(INDEX('1.2 Customer'!$D$29:$D$56,MATCH($B17,'1.2 Customer'!$B$29:$B$56,0))="","-",INDEX('1.2 Customer'!$D$29:$D$56,MATCH($B17,'1.2 Customer'!$B$29:$B$56,0))),"-")</f>
        <v>-</v>
      </c>
      <c r="E17" s="1783" t="str">
        <f>"-"</f>
        <v>-</v>
      </c>
      <c r="F17" s="1770">
        <f>COUNTA($B$81:$B$90)</f>
        <v>10</v>
      </c>
      <c r="G17" s="1770">
        <f>COUNTIFS($D$81:$D$90,"Filled")</f>
        <v>10</v>
      </c>
      <c r="H17" s="1770">
        <f>COUNTIFS($D$81:$D$90,"Vacant")</f>
        <v>0</v>
      </c>
      <c r="I17" s="1770">
        <f>COUNTIFS($D$81:$D$90,"Vacant",$E$81:$E$90,"Hire")</f>
        <v>0</v>
      </c>
      <c r="J17" s="1770">
        <f>COUNTIFS($E$81:$E$90,"Offshore")</f>
        <v>0</v>
      </c>
      <c r="K17" s="1770">
        <f>COUNTIFS($E$81:$E$90,"Hold")</f>
        <v>0</v>
      </c>
      <c r="L17" s="1770">
        <f>$F17-$K17</f>
        <v>10</v>
      </c>
      <c r="M17" s="1769" t="str">
        <f>IFERROR(IF(N(INDEX('1.2 Customer'!$H$29:$H$56,MATCH($B17,'1.2 Customer'!$B$29:$B$56,0)))=0,"-",INDEX('1.2 Customer'!$H$29:$H$56,MATCH($B17,'1.2 Customer'!$B$29:$B$56,0))),"-")</f>
        <v>-</v>
      </c>
      <c r="N17" s="1769">
        <f>SUMIFS('REVIEW - Complete Role Mapping'!$AA$2:$AA$528,'REVIEW - Complete Role Mapping'!$AJ$2:$AJ$528,$C$3,'REVIEW - Complete Role Mapping'!$AT$2:$AT$528,$B17)/1000000</f>
        <v>2.208135308</v>
      </c>
      <c r="O17" s="1769" t="str">
        <f>IFERROR(ROUND($N17-$M17,6),"-")</f>
        <v>-</v>
      </c>
      <c r="P17" s="1769">
        <f>SUM($G$81:$G$90)/1000000</f>
        <v>2.208135308</v>
      </c>
      <c r="Q17" s="1769" t="str">
        <f>IFERROR(ROUND($P17-$M17,6),"-")</f>
        <v>-</v>
      </c>
    </row>
    <row r="18">
      <c r="B18" s="1535" t="inlineStr">
        <is>
          <t>Directly funded programmes and platforms total</t>
        </is>
      </c>
      <c r="C18" s="1535" t="n"/>
      <c r="D18" s="1535" t="n"/>
      <c r="E18" s="1784">
        <f>SUM(E17:E17)</f>
        <v>0</v>
      </c>
      <c r="F18" s="1772">
        <f>SUM(F17:F17)</f>
        <v>10</v>
      </c>
      <c r="G18" s="1772">
        <f>SUM(G17:G17)</f>
        <v>10</v>
      </c>
      <c r="H18" s="1772">
        <f>SUM(H17:H17)</f>
        <v>0</v>
      </c>
      <c r="I18" s="1772">
        <f>SUM(I17:I17)</f>
        <v>0</v>
      </c>
      <c r="J18" s="1772">
        <f>SUM(J17:J17)</f>
        <v>0</v>
      </c>
      <c r="K18" s="1772">
        <f>SUM(K17:K17)</f>
        <v>0</v>
      </c>
      <c r="L18" s="1772">
        <f>SUM(L17:L17)</f>
        <v>10</v>
      </c>
      <c r="M18" s="1771" t="str">
        <f>IF(COUNT(M17:M17)=1,SUM(M17:M17),"-")</f>
        <v>-</v>
      </c>
      <c r="N18" s="1771">
        <f>SUM(N17:N17)</f>
        <v>2.208135308</v>
      </c>
      <c r="O18" s="1771" t="str">
        <f>IF(ISNUMBER($M18),ROUND($N18-$M18,6),"-")</f>
        <v>-</v>
      </c>
      <c r="P18" s="1771">
        <f>SUM(P17:P17)</f>
        <v>2.208135308</v>
      </c>
      <c r="Q18" s="1771" t="str">
        <f>IF(ISNUMBER($M18),ROUND($P18-$M18,6),"-")</f>
        <v>-</v>
      </c>
    </row>
    <row r="19">
      <c r="B19" s="1530" t="inlineStr">
        <is>
          <t>Groups with no archetype and no funded figure</t>
        </is>
      </c>
      <c r="C19" s="1530" t="n"/>
      <c r="D19" s="1530" t="n"/>
      <c r="E19" s="1530" t="n"/>
      <c r="F19" s="1530" t="n"/>
      <c r="G19" s="1530" t="n"/>
      <c r="H19" s="1530" t="n"/>
      <c r="I19" s="1530" t="n"/>
      <c r="J19" s="1530" t="n"/>
      <c r="K19" s="1530" t="n"/>
      <c r="L19" s="1530" t="n"/>
      <c r="M19" s="1530" t="n"/>
      <c r="N19" s="1530" t="n"/>
      <c r="O19" s="1530" t="n"/>
      <c r="P19" s="1530" t="n"/>
      <c r="Q19" s="1530" t="n"/>
    </row>
    <row r="20">
      <c r="B20" s="1531" t="inlineStr">
        <is>
          <t>Leadership</t>
        </is>
      </c>
      <c r="C20" s="1531" t="str">
        <f>IFERROR(INDEX('1.2 Customer'!$C$29:$C$56,MATCH($B20,'1.2 Customer'!$B$29:$B$56,0)),"Not on the 1.x tab")</f>
        <v>Not on the 1.x tab</v>
      </c>
      <c r="D20" s="1531" t="str">
        <f>IFERROR(IF(INDEX('1.2 Customer'!$D$29:$D$56,MATCH($B20,'1.2 Customer'!$B$29:$B$56,0))="","-",INDEX('1.2 Customer'!$D$29:$D$56,MATCH($B20,'1.2 Customer'!$B$29:$B$56,0))),"-")</f>
        <v>-</v>
      </c>
      <c r="E20" s="1783" t="str">
        <f>"-"</f>
        <v>-</v>
      </c>
      <c r="F20" s="1770">
        <f>COUNTA($B$92:$B$96)</f>
        <v>5</v>
      </c>
      <c r="G20" s="1770">
        <f>COUNTIFS($D$92:$D$96,"Filled")</f>
        <v>4</v>
      </c>
      <c r="H20" s="1770">
        <f>COUNTIFS($D$92:$D$96,"Vacant")</f>
        <v>1</v>
      </c>
      <c r="I20" s="1770">
        <f>COUNTIFS($D$92:$D$96,"Vacant",$E$92:$E$96,"Hire")</f>
        <v>1</v>
      </c>
      <c r="J20" s="1770">
        <f>COUNTIFS($E$92:$E$96,"Offshore")</f>
        <v>0</v>
      </c>
      <c r="K20" s="1770">
        <f>COUNTIFS($E$92:$E$96,"Hold")</f>
        <v>0</v>
      </c>
      <c r="L20" s="1770">
        <f>$F20-$K20</f>
        <v>5</v>
      </c>
      <c r="M20" s="1769" t="str">
        <f>IFERROR(IF(N(INDEX('1.2 Customer'!$H$29:$H$56,MATCH($B20,'1.2 Customer'!$B$29:$B$56,0)))=0,"-",INDEX('1.2 Customer'!$H$29:$H$56,MATCH($B20,'1.2 Customer'!$B$29:$B$56,0))),"-")</f>
        <v>-</v>
      </c>
      <c r="N20" s="1769">
        <f>SUMIFS('REVIEW - Complete Role Mapping'!$AA$2:$AA$528,'REVIEW - Complete Role Mapping'!$AJ$2:$AJ$528,$C$3,'REVIEW - Complete Role Mapping'!$AT$2:$AT$528,$B20)/1000000</f>
        <v>1.048250048</v>
      </c>
      <c r="O20" s="1769" t="str">
        <f>IFERROR(ROUND($N20-$M20,6),"-")</f>
        <v>-</v>
      </c>
      <c r="P20" s="1769">
        <f>SUM($G$92:$G$96)/1000000</f>
        <v>1.048250048</v>
      </c>
      <c r="Q20" s="1769" t="str">
        <f>IFERROR(ROUND($P20-$M20,6),"-")</f>
        <v>-</v>
      </c>
    </row>
    <row r="21">
      <c r="B21" s="1535" t="inlineStr">
        <is>
          <t>Groups with no archetype and no funded figure total</t>
        </is>
      </c>
      <c r="C21" s="1535" t="n"/>
      <c r="D21" s="1535" t="n"/>
      <c r="E21" s="1784">
        <f>SUM(E20:E20)</f>
        <v>0</v>
      </c>
      <c r="F21" s="1772">
        <f>SUM(F20:F20)</f>
        <v>5</v>
      </c>
      <c r="G21" s="1772">
        <f>SUM(G20:G20)</f>
        <v>4</v>
      </c>
      <c r="H21" s="1772">
        <f>SUM(H20:H20)</f>
        <v>1</v>
      </c>
      <c r="I21" s="1772">
        <f>SUM(I20:I20)</f>
        <v>1</v>
      </c>
      <c r="J21" s="1772">
        <f>SUM(J20:J20)</f>
        <v>0</v>
      </c>
      <c r="K21" s="1772">
        <f>SUM(K20:K20)</f>
        <v>0</v>
      </c>
      <c r="L21" s="1772">
        <f>SUM(L20:L20)</f>
        <v>5</v>
      </c>
      <c r="M21" s="1771" t="str">
        <f>IF(COUNT(M20:M20)=1,SUM(M20:M20),"-")</f>
        <v>-</v>
      </c>
      <c r="N21" s="1771">
        <f>SUM(N20:N20)</f>
        <v>1.048250048</v>
      </c>
      <c r="O21" s="1771" t="str">
        <f>IF(ISNUMBER($M21),ROUND($N21-$M21,6),"-")</f>
        <v>-</v>
      </c>
      <c r="P21" s="1771">
        <f>SUM(P20:P20)</f>
        <v>1.048250048</v>
      </c>
      <c r="Q21" s="1771" t="str">
        <f>IF(ISNUMBER($M21),ROUND($P21-$M21,6),"-")</f>
        <v>-</v>
      </c>
    </row>
    <row r="22">
      <c r="B22" s="1530" t="inlineStr">
        <is>
          <t>Overhead roles</t>
        </is>
      </c>
      <c r="C22" s="1530" t="n"/>
      <c r="D22" s="1530" t="n"/>
      <c r="E22" s="1530" t="n"/>
      <c r="F22" s="1530" t="n"/>
      <c r="G22" s="1530" t="n"/>
      <c r="H22" s="1530" t="n"/>
      <c r="I22" s="1530" t="n"/>
      <c r="J22" s="1530" t="n"/>
      <c r="K22" s="1530" t="n"/>
      <c r="L22" s="1530" t="n"/>
      <c r="M22" s="1530" t="n"/>
      <c r="N22" s="1530" t="n"/>
      <c r="O22" s="1530" t="n"/>
      <c r="P22" s="1530" t="n"/>
      <c r="Q22" s="1530" t="n"/>
    </row>
    <row r="23">
      <c r="B23" s="1531" t="inlineStr">
        <is>
          <t>Head of Technology</t>
        </is>
      </c>
      <c r="C23" s="1531" t="str">
        <f>"-"</f>
        <v>-</v>
      </c>
      <c r="D23" s="1531" t="str">
        <f>"-"</f>
        <v>-</v>
      </c>
      <c r="E23" s="1540" t="str">
        <f>"-"</f>
        <v>-</v>
      </c>
      <c r="F23" s="1770">
        <f>COUNTA($B$119:$B$120)</f>
        <v>2</v>
      </c>
      <c r="G23" s="1770">
        <f>COUNTIFS($D$119:$D$120,"Filled")</f>
        <v>2</v>
      </c>
      <c r="H23" s="1770">
        <f>COUNTIFS($D$119:$D$120,"Vacant")</f>
        <v>0</v>
      </c>
      <c r="I23" s="1770">
        <f>COUNTIFS($D$119:$D$120,"Vacant",$E$119:$E$120,"Hire")</f>
        <v>0</v>
      </c>
      <c r="J23" s="1770">
        <f>COUNTIFS($E$119:$E$120,"Offshore")</f>
        <v>0</v>
      </c>
      <c r="K23" s="1770">
        <f>COUNTIFS($E$119:$E$120,"Hold")</f>
        <v>0</v>
      </c>
      <c r="L23" s="1770">
        <f>$F23-$K23</f>
        <v>2</v>
      </c>
      <c r="M23" s="1540" t="str">
        <f>"-"</f>
        <v>-</v>
      </c>
      <c r="N23" s="1769">
        <f>SUMIFS('REVIEW - Complete Role Mapping'!$AA$2:$AA$528,'REVIEW - Complete Role Mapping'!$AJ$2:$AJ$528,$C$3,'REVIEW - Complete Role Mapping'!$AT$2:$AT$528,$B23)/1000000</f>
        <v>0.5360151</v>
      </c>
      <c r="O23" s="1540" t="str">
        <f>"-"</f>
        <v>-</v>
      </c>
      <c r="P23" s="1769">
        <f>SUM($G$119:$G$120)/1000000</f>
        <v>0.5360151</v>
      </c>
      <c r="Q23" s="1540" t="str">
        <f>"-"</f>
        <v>-</v>
      </c>
    </row>
    <row r="24">
      <c r="B24" s="1531" t="inlineStr">
        <is>
          <t>Delivery Manager</t>
        </is>
      </c>
      <c r="C24" s="1531" t="str">
        <f>"-"</f>
        <v>-</v>
      </c>
      <c r="D24" s="1531" t="str">
        <f>"-"</f>
        <v>-</v>
      </c>
      <c r="E24" s="1540" t="str">
        <f>"-"</f>
        <v>-</v>
      </c>
      <c r="F24" s="1770">
        <f>COUNTA($B$122:$B$123)</f>
        <v>2</v>
      </c>
      <c r="G24" s="1770">
        <f>COUNTIFS($D$122:$D$123,"Filled")</f>
        <v>2</v>
      </c>
      <c r="H24" s="1770">
        <f>COUNTIFS($D$122:$D$123,"Vacant")</f>
        <v>0</v>
      </c>
      <c r="I24" s="1770">
        <f>COUNTIFS($D$122:$D$123,"Vacant",$E$122:$E$123,"Hire")</f>
        <v>0</v>
      </c>
      <c r="J24" s="1770">
        <f>COUNTIFS($E$122:$E$123,"Offshore")</f>
        <v>0</v>
      </c>
      <c r="K24" s="1770">
        <f>COUNTIFS($E$122:$E$123,"Hold")</f>
        <v>0</v>
      </c>
      <c r="L24" s="1770">
        <f>$F24-$K24</f>
        <v>2</v>
      </c>
      <c r="M24" s="1540" t="str">
        <f>"-"</f>
        <v>-</v>
      </c>
      <c r="N24" s="1769">
        <f>SUMIFS('REVIEW - Complete Role Mapping'!$AA$2:$AA$528,'REVIEW - Complete Role Mapping'!$AJ$2:$AJ$528,$C$3,'REVIEW - Complete Role Mapping'!$AT$2:$AT$528,$B24)/1000000</f>
        <v>0.4208721</v>
      </c>
      <c r="O24" s="1540" t="str">
        <f>"-"</f>
        <v>-</v>
      </c>
      <c r="P24" s="1769">
        <f>SUM($G$122:$G$123)/1000000</f>
        <v>0.4208721</v>
      </c>
      <c r="Q24" s="1540" t="str">
        <f>"-"</f>
        <v>-</v>
      </c>
    </row>
    <row r="25">
      <c r="B25" s="1531" t="inlineStr">
        <is>
          <t>Technology Manager</t>
        </is>
      </c>
      <c r="C25" s="1531" t="str">
        <f>"-"</f>
        <v>-</v>
      </c>
      <c r="D25" s="1531" t="str">
        <f>"-"</f>
        <v>-</v>
      </c>
      <c r="E25" s="1540" t="str">
        <f>"-"</f>
        <v>-</v>
      </c>
      <c r="F25" s="1770">
        <f>COUNTA($B$125:$B$128)</f>
        <v>4</v>
      </c>
      <c r="G25" s="1770">
        <f>COUNTIFS($D$125:$D$128,"Filled")</f>
        <v>3</v>
      </c>
      <c r="H25" s="1770">
        <f>COUNTIFS($D$125:$D$128,"Vacant")</f>
        <v>1</v>
      </c>
      <c r="I25" s="1770">
        <f>COUNTIFS($D$125:$D$128,"Vacant",$E$125:$E$128,"Hire")</f>
        <v>1</v>
      </c>
      <c r="J25" s="1770">
        <f>COUNTIFS($E$125:$E$128,"Offshore")</f>
        <v>0</v>
      </c>
      <c r="K25" s="1770">
        <f>COUNTIFS($E$125:$E$128,"Hold")</f>
        <v>0</v>
      </c>
      <c r="L25" s="1770">
        <f>$F25-$K25</f>
        <v>4</v>
      </c>
      <c r="M25" s="1540" t="str">
        <f>"-"</f>
        <v>-</v>
      </c>
      <c r="N25" s="1769">
        <f>SUMIFS('REVIEW - Complete Role Mapping'!$AA$2:$AA$528,'REVIEW - Complete Role Mapping'!$AJ$2:$AJ$528,$C$3,'REVIEW - Complete Role Mapping'!$AT$2:$AT$528,$B25)/1000000</f>
        <v>0.816085638</v>
      </c>
      <c r="O25" s="1540" t="str">
        <f>"-"</f>
        <v>-</v>
      </c>
      <c r="P25" s="1769">
        <f>SUM($G$125:$G$128)/1000000</f>
        <v>0.816085638</v>
      </c>
      <c r="Q25" s="1540" t="str">
        <f>"-"</f>
        <v>-</v>
      </c>
    </row>
    <row r="26">
      <c r="B26" s="1535" t="inlineStr">
        <is>
          <t>Overhead roles total</t>
        </is>
      </c>
      <c r="C26" s="1535" t="n"/>
      <c r="D26" s="1535" t="n"/>
      <c r="E26" s="1784">
        <f>SUM(E23:E25)</f>
        <v>0</v>
      </c>
      <c r="F26" s="1772">
        <f>SUM(F23:F25)</f>
        <v>8</v>
      </c>
      <c r="G26" s="1772">
        <f>SUM(G23:G25)</f>
        <v>7</v>
      </c>
      <c r="H26" s="1772">
        <f>SUM(H23:H25)</f>
        <v>1</v>
      </c>
      <c r="I26" s="1772">
        <f>SUM(I23:I25)</f>
        <v>1</v>
      </c>
      <c r="J26" s="1772">
        <f>SUM(J23:J25)</f>
        <v>0</v>
      </c>
      <c r="K26" s="1772">
        <f>SUM(K23:K25)</f>
        <v>0</v>
      </c>
      <c r="L26" s="1772">
        <f>SUM(L23:L25)</f>
        <v>8</v>
      </c>
      <c r="M26" s="1771" t="str">
        <f>IF(COUNT(M23:M25)=3,SUM(M23:M25),"-")</f>
        <v>-</v>
      </c>
      <c r="N26" s="1771">
        <f>SUM(N23:N25)</f>
        <v>1.772972838</v>
      </c>
      <c r="O26" s="1771" t="str">
        <f>IF(ISNUMBER($M26),ROUND($N26-$M26,6),"-")</f>
        <v>-</v>
      </c>
      <c r="P26" s="1771">
        <f>SUM(P23:P25)</f>
        <v>1.772972838</v>
      </c>
      <c r="Q26" s="1771" t="str">
        <f>IF(ISNUMBER($M26),ROUND($P26-$M26,6),"-")</f>
        <v>-</v>
      </c>
    </row>
    <row r="27">
      <c r="B27" s="1541" t="inlineStr">
        <is>
          <t>Total portfolio</t>
        </is>
      </c>
      <c r="C27" s="1541" t="n"/>
      <c r="D27" s="1541" t="n"/>
      <c r="E27" s="1785">
        <f>N(E15)+N(E18)+N(E21)+N(E26)</f>
        <v>57</v>
      </c>
      <c r="F27" s="1774">
        <f>N(F15)+N(F18)+N(F21)+N(F26)</f>
        <v>83</v>
      </c>
      <c r="G27" s="1774">
        <f>N(G15)+N(G18)+N(G21)+N(G26)</f>
        <v>70</v>
      </c>
      <c r="H27" s="1774">
        <f>N(H15)+N(H18)+N(H21)+N(H26)</f>
        <v>13</v>
      </c>
      <c r="I27" s="1774">
        <f>N(I15)+N(I18)+N(I21)+N(I26)</f>
        <v>13</v>
      </c>
      <c r="J27" s="1774">
        <f>N(J15)+N(J18)+N(J21)+N(J26)</f>
        <v>0</v>
      </c>
      <c r="K27" s="1774">
        <f>N(K15)+N(K18)+N(K21)+N(K26)</f>
        <v>0</v>
      </c>
      <c r="L27" s="1774">
        <f>N(L15)+N(L18)+N(L21)+N(L26)</f>
        <v>83</v>
      </c>
      <c r="M27" s="1773" t="str">
        <f>"-"</f>
        <v>-</v>
      </c>
      <c r="N27" s="1773">
        <f>N(N15)+N(N18)+N(N21)+N(N26)</f>
        <v>17.12686714</v>
      </c>
      <c r="O27" s="1773" t="str">
        <f>"-"</f>
        <v>-</v>
      </c>
      <c r="P27" s="1773">
        <f>N(P15)+N(P18)+N(P21)+N(P26)</f>
        <v>17.12686714</v>
      </c>
      <c r="Q27" s="1773" t="str">
        <f>"-"</f>
        <v>-</v>
      </c>
    </row>
    <row r="29">
      <c r="B29" s="1526" t="inlineStr">
        <is>
          <t>Control - roles against the ledger, must be 0</t>
        </is>
      </c>
      <c r="F29" s="1778">
        <f>$F$27-COUNTIFS('REVIEW - Complete Role Mapping'!$AJ$2:$AJ$528,$C$3)</f>
        <v>0</v>
      </c>
    </row>
    <row r="30">
      <c r="B30" s="1526" t="inlineStr">
        <is>
          <t>Control - cost against the ledger ($m), must be 0</t>
        </is>
      </c>
      <c r="N30" s="1779">
        <f>ROUND($N$27-SUMIFS('REVIEW - Complete Role Mapping'!$AA$2:$AA$528,'REVIEW - Complete Role Mapping'!$AJ$2:$AJ$528,$C$3)/1000000,6)</f>
        <v>0</v>
      </c>
    </row>
    <row r="32" ht="19" customHeight="1" s="866">
      <c r="B32" s="1527" t="inlineStr">
        <is>
          <t>Customer FTE</t>
        </is>
      </c>
      <c r="C32" s="1528" t="n"/>
      <c r="D32" s="1528" t="n"/>
      <c r="E32" s="1528" t="n"/>
      <c r="F32" s="1528" t="n"/>
      <c r="G32" s="1528" t="n"/>
    </row>
    <row r="33" ht="34" customHeight="1" s="866">
      <c r="B33" s="1529" t="inlineStr">
        <is>
          <t>Name</t>
        </is>
      </c>
      <c r="C33" s="1529" t="inlineStr">
        <is>
          <t>Role</t>
        </is>
      </c>
      <c r="D33" s="1529" t="inlineStr">
        <is>
          <t>Status</t>
        </is>
      </c>
      <c r="E33" s="1529" t="inlineStr">
        <is>
          <t>Vacancy lever</t>
        </is>
      </c>
      <c r="F33" s="1529" t="inlineStr">
        <is>
          <t>Role cost ($)</t>
        </is>
      </c>
      <c r="G33" s="1529" t="inlineStr">
        <is>
          <t>Cost after decision ($)</t>
        </is>
      </c>
    </row>
    <row r="34">
      <c r="B34" s="1530" t="inlineStr">
        <is>
          <t>Ampol App</t>
        </is>
      </c>
      <c r="C34" s="1530" t="str">
        <f>COUNTA($B$35:$B$48)&amp;IF(COUNTA($B$35:$B$48)=1," role"," roles")</f>
        <v>14 roles</v>
      </c>
      <c r="D34" s="1530" t="n"/>
      <c r="E34" s="1530" t="n"/>
      <c r="F34" s="1786">
        <f>SUM(F35:F48)</f>
        <v>3360592.33</v>
      </c>
      <c r="G34" s="1786">
        <f>SUM(G35:G48)</f>
        <v>3360592.33</v>
      </c>
    </row>
    <row r="35">
      <c r="B35" s="1531" t="str">
        <f>INDEX('REVIEW - Complete Role Mapping'!$B:$B,112)</f>
        <v>Alisha Allport</v>
      </c>
      <c r="C35" s="1531" t="str">
        <f>INDEX('REVIEW - Complete Role Mapping'!$C:$C,112)</f>
        <v>Principal Experience Designer</v>
      </c>
      <c r="D35" s="1531" t="str">
        <f>INDEX('REVIEW - Complete Role Mapping'!$AK:$AK,112)</f>
        <v>Filled</v>
      </c>
      <c r="E35" s="1548" t="inlineStr">
        <is>
          <t>Filled</t>
        </is>
      </c>
      <c r="F35" s="1770">
        <f>INDEX('REVIEW - Complete Role Mapping'!$AA:$AA,112)</f>
        <v>146464.7</v>
      </c>
      <c r="G35" s="1770">
        <f>$F35*IFERROR(INDEX(Lists!$AD:$AD,MATCH($E35,Lists!$AC:$AC,0)),1)</f>
        <v>146464.7</v>
      </c>
    </row>
    <row r="36">
      <c r="B36" s="1531" t="str">
        <f>INDEX('REVIEW - Complete Role Mapping'!$B:$B,116)</f>
        <v>Annabel Phu</v>
      </c>
      <c r="C36" s="1531" t="str">
        <f>INDEX('REVIEW - Complete Role Mapping'!$C:$C,116)</f>
        <v>Engineer - Mobile</v>
      </c>
      <c r="D36" s="1531" t="str">
        <f>INDEX('REVIEW - Complete Role Mapping'!$AK:$AK,116)</f>
        <v>Filled</v>
      </c>
      <c r="E36" s="1548" t="inlineStr">
        <is>
          <t>Filled</t>
        </is>
      </c>
      <c r="F36" s="1770">
        <f>INDEX('REVIEW - Complete Role Mapping'!$AA:$AA,116)</f>
        <v>266400</v>
      </c>
      <c r="G36" s="1770">
        <f>$F36*IFERROR(INDEX(Lists!$AD:$AD,MATCH($E36,Lists!$AC:$AC,0)),1)</f>
        <v>266400</v>
      </c>
    </row>
    <row r="37">
      <c r="B37" s="1531" t="str">
        <f>INDEX('REVIEW - Complete Role Mapping'!$B:$B,119)</f>
        <v>Anup Antony</v>
      </c>
      <c r="C37" s="1531" t="str">
        <f>INDEX('REVIEW - Complete Role Mapping'!$C:$C,119)</f>
        <v>Engineer - BE</v>
      </c>
      <c r="D37" s="1531" t="str">
        <f>INDEX('REVIEW - Complete Role Mapping'!$AK:$AK,119)</f>
        <v>Filled</v>
      </c>
      <c r="E37" s="1548" t="inlineStr">
        <is>
          <t>Filled</t>
        </is>
      </c>
      <c r="F37" s="1770">
        <f>INDEX('REVIEW - Complete Role Mapping'!$AA:$AA,119)</f>
        <v>255300</v>
      </c>
      <c r="G37" s="1770">
        <f>$F37*IFERROR(INDEX(Lists!$AD:$AD,MATCH($E37,Lists!$AC:$AC,0)),1)</f>
        <v>255300</v>
      </c>
    </row>
    <row r="38">
      <c r="B38" s="1531" t="str">
        <f>INDEX('REVIEW - Complete Role Mapping'!$B:$B,122)</f>
        <v>Binumon Mathai</v>
      </c>
      <c r="C38" s="1531" t="str">
        <f>INDEX('REVIEW - Complete Role Mapping'!$C:$C,122)</f>
        <v>Senior Quality Assurance</v>
      </c>
      <c r="D38" s="1531" t="str">
        <f>INDEX('REVIEW - Complete Role Mapping'!$AK:$AK,122)</f>
        <v>Filled</v>
      </c>
      <c r="E38" s="1548" t="inlineStr">
        <is>
          <t>Filled</t>
        </is>
      </c>
      <c r="F38" s="1770">
        <f>INDEX('REVIEW - Complete Role Mapping'!$AA:$AA,122)</f>
        <v>223776</v>
      </c>
      <c r="G38" s="1770">
        <f>$F38*IFERROR(INDEX(Lists!$AD:$AD,MATCH($E38,Lists!$AC:$AC,0)),1)</f>
        <v>223776</v>
      </c>
    </row>
    <row r="39">
      <c r="B39" s="1531" t="str">
        <f>INDEX('REVIEW - Complete Role Mapping'!$B:$B,132)</f>
        <v>Edwin Justin</v>
      </c>
      <c r="C39" s="1531" t="str">
        <f>INDEX('REVIEW - Complete Role Mapping'!$C:$C,132)</f>
        <v>Senior Engineer - BE</v>
      </c>
      <c r="D39" s="1531" t="str">
        <f>INDEX('REVIEW - Complete Role Mapping'!$AK:$AK,132)</f>
        <v>Filled</v>
      </c>
      <c r="E39" s="1548" t="inlineStr">
        <is>
          <t>Filled</t>
        </is>
      </c>
      <c r="F39" s="1770">
        <f>INDEX('REVIEW - Complete Role Mapping'!$AA:$AA,132)</f>
        <v>194789.85</v>
      </c>
      <c r="G39" s="1770">
        <f>$F39*IFERROR(INDEX(Lists!$AD:$AD,MATCH($E39,Lists!$AC:$AC,0)),1)</f>
        <v>194789.85</v>
      </c>
    </row>
    <row r="40">
      <c r="B40" s="1531" t="str">
        <f>INDEX('REVIEW - Complete Role Mapping'!$B:$B,134)</f>
        <v>Ethan Laffan</v>
      </c>
      <c r="C40" s="1531" t="str">
        <f>INDEX('REVIEW - Complete Role Mapping'!$C:$C,134)</f>
        <v>Associate Experience Designer</v>
      </c>
      <c r="D40" s="1531" t="str">
        <f>INDEX('REVIEW - Complete Role Mapping'!$AK:$AK,134)</f>
        <v>Filled</v>
      </c>
      <c r="E40" s="1548" t="inlineStr">
        <is>
          <t>Filled</t>
        </is>
      </c>
      <c r="F40" s="1770">
        <f>INDEX('REVIEW - Complete Role Mapping'!$AA:$AA,134)</f>
        <v>201585</v>
      </c>
      <c r="G40" s="1770">
        <f>$F40*IFERROR(INDEX(Lists!$AD:$AD,MATCH($E40,Lists!$AC:$AC,0)),1)</f>
        <v>201585</v>
      </c>
    </row>
    <row r="41">
      <c r="B41" s="1531" t="str">
        <f>INDEX('REVIEW - Complete Role Mapping'!$B:$B,145)</f>
        <v>Khalid Mahmud</v>
      </c>
      <c r="C41" s="1531" t="str">
        <f>INDEX('REVIEW - Complete Role Mapping'!$C:$C,145)</f>
        <v>Lead Engineer - BE</v>
      </c>
      <c r="D41" s="1531" t="str">
        <f>INDEX('REVIEW - Complete Role Mapping'!$AK:$AK,145)</f>
        <v>Filled</v>
      </c>
      <c r="E41" s="1548" t="inlineStr">
        <is>
          <t>Filled</t>
        </is>
      </c>
      <c r="F41" s="1770">
        <f>INDEX('REVIEW - Complete Role Mapping'!$AA:$AA,145)</f>
        <v>266400</v>
      </c>
      <c r="G41" s="1770">
        <f>$F41*IFERROR(INDEX(Lists!$AD:$AD,MATCH($E41,Lists!$AC:$AC,0)),1)</f>
        <v>266400</v>
      </c>
    </row>
    <row r="42">
      <c r="B42" s="1531" t="str">
        <f>INDEX('REVIEW - Complete Role Mapping'!$B:$B,149)</f>
        <v>Maria Salman</v>
      </c>
      <c r="C42" s="1531" t="str">
        <f>INDEX('REVIEW - Complete Role Mapping'!$C:$C,149)</f>
        <v>Experience Designer</v>
      </c>
      <c r="D42" s="1531" t="str">
        <f>INDEX('REVIEW - Complete Role Mapping'!$AK:$AK,149)</f>
        <v>Filled</v>
      </c>
      <c r="E42" s="1548" t="inlineStr">
        <is>
          <t>Filled</t>
        </is>
      </c>
      <c r="F42" s="1770">
        <f>INDEX('REVIEW - Complete Role Mapping'!$AA:$AA,149)</f>
        <v>240834.48</v>
      </c>
      <c r="G42" s="1770">
        <f>$F42*IFERROR(INDEX(Lists!$AD:$AD,MATCH($E42,Lists!$AC:$AC,0)),1)</f>
        <v>240834.48</v>
      </c>
    </row>
    <row r="43">
      <c r="B43" s="1531" t="str">
        <f>INDEX('REVIEW - Complete Role Mapping'!$B:$B,154)</f>
        <v>Penny Pennisi</v>
      </c>
      <c r="C43" s="1531" t="str">
        <f>INDEX('REVIEW - Complete Role Mapping'!$C:$C,154)</f>
        <v>Delivery Lead</v>
      </c>
      <c r="D43" s="1531" t="str">
        <f>INDEX('REVIEW - Complete Role Mapping'!$AK:$AK,154)</f>
        <v>Filled</v>
      </c>
      <c r="E43" s="1548" t="inlineStr">
        <is>
          <t>Filled</t>
        </is>
      </c>
      <c r="F43" s="1770">
        <f>INDEX('REVIEW - Complete Role Mapping'!$AA:$AA,154)</f>
        <v>299700</v>
      </c>
      <c r="G43" s="1770">
        <f>$F43*IFERROR(INDEX(Lists!$AD:$AD,MATCH($E43,Lists!$AC:$AC,0)),1)</f>
        <v>299700</v>
      </c>
    </row>
    <row r="44">
      <c r="B44" s="1531" t="str">
        <f>INDEX('REVIEW - Complete Role Mapping'!$B:$B,155)</f>
        <v>Peter Lee</v>
      </c>
      <c r="C44" s="1531" t="str">
        <f>INDEX('REVIEW - Complete Role Mapping'!$C:$C,155)</f>
        <v>Snr Business Analyst</v>
      </c>
      <c r="D44" s="1531" t="str">
        <f>INDEX('REVIEW - Complete Role Mapping'!$AK:$AK,155)</f>
        <v>Filled</v>
      </c>
      <c r="E44" s="1548" t="inlineStr">
        <is>
          <t>Filled</t>
        </is>
      </c>
      <c r="F44" s="1770">
        <f>INDEX('REVIEW - Complete Role Mapping'!$AA:$AA,155)</f>
        <v>243984.6</v>
      </c>
      <c r="G44" s="1770">
        <f>$F44*IFERROR(INDEX(Lists!$AD:$AD,MATCH($E44,Lists!$AC:$AC,0)),1)</f>
        <v>243984.6</v>
      </c>
    </row>
    <row r="45">
      <c r="B45" s="1531" t="str">
        <f>INDEX('REVIEW - Complete Role Mapping'!$B:$B,156)</f>
        <v>Phillip Kewley</v>
      </c>
      <c r="C45" s="1531" t="str">
        <f>INDEX('REVIEW - Complete Role Mapping'!$C:$C,156)</f>
        <v>Quality Assurance</v>
      </c>
      <c r="D45" s="1531" t="str">
        <f>INDEX('REVIEW - Complete Role Mapping'!$AK:$AK,156)</f>
        <v>Filled</v>
      </c>
      <c r="E45" s="1548" t="inlineStr">
        <is>
          <t>Filled</t>
        </is>
      </c>
      <c r="F45" s="1770">
        <f>INDEX('REVIEW - Complete Role Mapping'!$AA:$AA,156)</f>
        <v>213600</v>
      </c>
      <c r="G45" s="1770">
        <f>$F45*IFERROR(INDEX(Lists!$AD:$AD,MATCH($E45,Lists!$AC:$AC,0)),1)</f>
        <v>213600</v>
      </c>
    </row>
    <row r="46">
      <c r="B46" s="1531" t="str">
        <f>INDEX('REVIEW - Complete Role Mapping'!$B:$B,157)</f>
        <v>Raj Ganesan</v>
      </c>
      <c r="C46" s="1531" t="str">
        <f>INDEX('REVIEW - Complete Role Mapping'!$C:$C,157)</f>
        <v>Engineer - Mobile (ios)</v>
      </c>
      <c r="D46" s="1531" t="str">
        <f>INDEX('REVIEW - Complete Role Mapping'!$AK:$AK,157)</f>
        <v>Filled</v>
      </c>
      <c r="E46" s="1548" t="inlineStr">
        <is>
          <t>Filled</t>
        </is>
      </c>
      <c r="F46" s="1770">
        <f>INDEX('REVIEW - Complete Role Mapping'!$AA:$AA,157)</f>
        <v>230880</v>
      </c>
      <c r="G46" s="1770">
        <f>$F46*IFERROR(INDEX(Lists!$AD:$AD,MATCH($E46,Lists!$AC:$AC,0)),1)</f>
        <v>230880</v>
      </c>
    </row>
    <row r="47">
      <c r="B47" s="1531" t="str">
        <f>INDEX('REVIEW - Complete Role Mapping'!$B:$B,166)</f>
        <v>Sheetal Karkera</v>
      </c>
      <c r="C47" s="1531" t="str">
        <f>INDEX('REVIEW - Complete Role Mapping'!$C:$C,166)</f>
        <v>Lead Engineer - Mobile</v>
      </c>
      <c r="D47" s="1531" t="str">
        <f>INDEX('REVIEW - Complete Role Mapping'!$AK:$AK,166)</f>
        <v>Filled</v>
      </c>
      <c r="E47" s="1548" t="inlineStr">
        <is>
          <t>Filled</t>
        </is>
      </c>
      <c r="F47" s="1770">
        <f>INDEX('REVIEW - Complete Role Mapping'!$AA:$AA,166)</f>
        <v>301067.45</v>
      </c>
      <c r="G47" s="1770">
        <f>$F47*IFERROR(INDEX(Lists!$AD:$AD,MATCH($E47,Lists!$AC:$AC,0)),1)</f>
        <v>301067.45</v>
      </c>
    </row>
    <row r="48">
      <c r="B48" s="1531" t="str">
        <f>INDEX('REVIEW - Complete Role Mapping'!$B:$B,173)</f>
        <v>Toby Clark</v>
      </c>
      <c r="C48" s="1531" t="str">
        <f>INDEX('REVIEW - Complete Role Mapping'!$C:$C,173)</f>
        <v>Engineer - Mobile (iOS)</v>
      </c>
      <c r="D48" s="1531" t="str">
        <f>INDEX('REVIEW - Complete Role Mapping'!$AK:$AK,173)</f>
        <v>Filled</v>
      </c>
      <c r="E48" s="1548" t="inlineStr">
        <is>
          <t>Filled</t>
        </is>
      </c>
      <c r="F48" s="1770">
        <f>INDEX('REVIEW - Complete Role Mapping'!$AA:$AA,173)</f>
        <v>275810.25</v>
      </c>
      <c r="G48" s="1770">
        <f>$F48*IFERROR(INDEX(Lists!$AD:$AD,MATCH($E48,Lists!$AC:$AC,0)),1)</f>
        <v>275810.25</v>
      </c>
    </row>
    <row r="49">
      <c r="B49" s="1530" t="inlineStr">
        <is>
          <t>Ampol Loyalty &amp; Martech</t>
        </is>
      </c>
      <c r="C49" s="1530" t="str">
        <f>COUNTA($B$50:$B$58)&amp;IF(COUNTA($B$50:$B$58)=1," role"," roles")</f>
        <v>9 roles</v>
      </c>
      <c r="D49" s="1530" t="n"/>
      <c r="E49" s="1530" t="n"/>
      <c r="F49" s="1786">
        <f>SUM(F50:F58)</f>
        <v>1331225.988</v>
      </c>
      <c r="G49" s="1786">
        <f>SUM(G50:G58)</f>
        <v>1331225.988</v>
      </c>
    </row>
    <row r="50">
      <c r="B50" s="1531" t="str">
        <f>INDEX('REVIEW - Complete Role Mapping'!$B:$B,114)</f>
        <v>Angela Gilbert</v>
      </c>
      <c r="C50" s="1531" t="str">
        <f>INDEX('REVIEW - Complete Role Mapping'!$C:$C,114)</f>
        <v>Martech Lead - Dynamics</v>
      </c>
      <c r="D50" s="1531" t="str">
        <f>INDEX('REVIEW - Complete Role Mapping'!$AK:$AK,114)</f>
        <v>Filled</v>
      </c>
      <c r="E50" s="1548" t="inlineStr">
        <is>
          <t>Filled</t>
        </is>
      </c>
      <c r="F50" s="1770">
        <f>INDEX('REVIEW - Complete Role Mapping'!$AA:$AA,114)</f>
        <v>200250</v>
      </c>
      <c r="G50" s="1770">
        <f>$F50*IFERROR(INDEX(Lists!$AD:$AD,MATCH($E50,Lists!$AC:$AC,0)),1)</f>
        <v>200250</v>
      </c>
    </row>
    <row r="51">
      <c r="B51" s="1531" t="str">
        <f>INDEX('REVIEW - Complete Role Mapping'!$B:$B,137)</f>
        <v>Jawad Hassan</v>
      </c>
      <c r="C51" s="1531" t="str">
        <f>INDEX('REVIEW - Complete Role Mapping'!$C:$C,137)</f>
        <v>Engineer Data (Snowflake)</v>
      </c>
      <c r="D51" s="1531" t="str">
        <f>INDEX('REVIEW - Complete Role Mapping'!$AK:$AK,137)</f>
        <v>Filled</v>
      </c>
      <c r="E51" s="1548" t="inlineStr">
        <is>
          <t>Filled</t>
        </is>
      </c>
      <c r="F51" s="1770">
        <f>INDEX('REVIEW - Complete Role Mapping'!$AA:$AA,137)</f>
        <v>202853.25</v>
      </c>
      <c r="G51" s="1770">
        <f>$F51*IFERROR(INDEX(Lists!$AD:$AD,MATCH($E51,Lists!$AC:$AC,0)),1)</f>
        <v>202853.25</v>
      </c>
    </row>
    <row r="52">
      <c r="B52" s="1531" t="str">
        <f>INDEX('REVIEW - Complete Role Mapping'!$B:$B,138)</f>
        <v>Jeremy Xu</v>
      </c>
      <c r="C52" s="1531" t="str">
        <f>INDEX('REVIEW - Complete Role Mapping'!$C:$C,138)</f>
        <v>Data Analyst</v>
      </c>
      <c r="D52" s="1531" t="str">
        <f>INDEX('REVIEW - Complete Role Mapping'!$AK:$AK,138)</f>
        <v>Filled</v>
      </c>
      <c r="E52" s="1548" t="inlineStr">
        <is>
          <t>Filled</t>
        </is>
      </c>
      <c r="F52" s="1770">
        <f>INDEX('REVIEW - Complete Role Mapping'!$AA:$AA,138)</f>
        <v>202853.25</v>
      </c>
      <c r="G52" s="1770">
        <f>$F52*IFERROR(INDEX(Lists!$AD:$AD,MATCH($E52,Lists!$AC:$AC,0)),1)</f>
        <v>202853.25</v>
      </c>
    </row>
    <row r="53">
      <c r="B53" s="1531" t="str">
        <f>INDEX('REVIEW - Complete Role Mapping'!$B:$B,178)</f>
        <v>Vacant</v>
      </c>
      <c r="C53" s="1531" t="str">
        <f>INDEX('REVIEW - Complete Role Mapping'!$C:$C,178)</f>
        <v>Engineer, Software</v>
      </c>
      <c r="D53" s="1531" t="str">
        <f>INDEX('REVIEW - Complete Role Mapping'!$AK:$AK,178)</f>
        <v>Vacant</v>
      </c>
      <c r="E53" s="1548" t="inlineStr">
        <is>
          <t>Hire</t>
        </is>
      </c>
      <c r="F53" s="1770">
        <f>INDEX('REVIEW - Complete Role Mapping'!$AA:$AA,178)</f>
        <v>155676</v>
      </c>
      <c r="G53" s="1770">
        <f>$F53*IFERROR(INDEX(Lists!$AD:$AD,MATCH($E53,Lists!$AC:$AC,0)),1)</f>
        <v>155676</v>
      </c>
    </row>
    <row r="54">
      <c r="B54" s="1531" t="str">
        <f>INDEX('REVIEW - Complete Role Mapping'!$B:$B,179)</f>
        <v>Vacant</v>
      </c>
      <c r="C54" s="1531" t="str">
        <f>INDEX('REVIEW - Complete Role Mapping'!$C:$C,179)</f>
        <v>Snr Engineer, Data</v>
      </c>
      <c r="D54" s="1531" t="str">
        <f>INDEX('REVIEW - Complete Role Mapping'!$AK:$AK,179)</f>
        <v>Vacant</v>
      </c>
      <c r="E54" s="1548" t="inlineStr">
        <is>
          <t>Hire</t>
        </is>
      </c>
      <c r="F54" s="1770">
        <f>INDEX('REVIEW - Complete Role Mapping'!$AA:$AA,179)</f>
        <v>174743.46</v>
      </c>
      <c r="G54" s="1770">
        <f>$F54*IFERROR(INDEX(Lists!$AD:$AD,MATCH($E54,Lists!$AC:$AC,0)),1)</f>
        <v>174743.46</v>
      </c>
    </row>
    <row r="55">
      <c r="B55" s="1531" t="str">
        <f>INDEX('REVIEW - Complete Role Mapping'!$B:$B,180)</f>
        <v>Vacant</v>
      </c>
      <c r="C55" s="1531" t="str">
        <f>INDEX('REVIEW - Complete Role Mapping'!$C:$C,180)</f>
        <v>Solution Architect</v>
      </c>
      <c r="D55" s="1531" t="str">
        <f>INDEX('REVIEW - Complete Role Mapping'!$AK:$AK,180)</f>
        <v>Vacant</v>
      </c>
      <c r="E55" s="1548" t="inlineStr">
        <is>
          <t>Hire</t>
        </is>
      </c>
      <c r="F55" s="1770">
        <f>INDEX('REVIEW - Complete Role Mapping'!$AA:$AA,180)</f>
        <v>75457.8</v>
      </c>
      <c r="G55" s="1770">
        <f>$F55*IFERROR(INDEX(Lists!$AD:$AD,MATCH($E55,Lists!$AC:$AC,0)),1)</f>
        <v>75457.8</v>
      </c>
    </row>
    <row r="56">
      <c r="B56" s="1531" t="str">
        <f>INDEX('REVIEW - Complete Role Mapping'!$B:$B,181)</f>
        <v>Vacant</v>
      </c>
      <c r="C56" s="1531" t="str">
        <f>INDEX('REVIEW - Complete Role Mapping'!$C:$C,181)</f>
        <v>Data Analyst</v>
      </c>
      <c r="D56" s="1531" t="str">
        <f>INDEX('REVIEW - Complete Role Mapping'!$AK:$AK,181)</f>
        <v>Vacant</v>
      </c>
      <c r="E56" s="1548" t="inlineStr">
        <is>
          <t>Hire</t>
        </is>
      </c>
      <c r="F56" s="1770">
        <f>INDEX('REVIEW - Complete Role Mapping'!$AA:$AA,181)</f>
        <v>75457.8</v>
      </c>
      <c r="G56" s="1770">
        <f>$F56*IFERROR(INDEX(Lists!$AD:$AD,MATCH($E56,Lists!$AC:$AC,0)),1)</f>
        <v>75457.8</v>
      </c>
    </row>
    <row r="57">
      <c r="B57" s="1531" t="str">
        <f>INDEX('REVIEW - Complete Role Mapping'!$B:$B,185)</f>
        <v>Vacant</v>
      </c>
      <c r="C57" s="1531" t="str">
        <f>INDEX('REVIEW - Complete Role Mapping'!$C:$C,185)</f>
        <v>QA / Tester / Mid</v>
      </c>
      <c r="D57" s="1531" t="str">
        <f>INDEX('REVIEW - Complete Role Mapping'!$AK:$AK,185)</f>
        <v>Vacant</v>
      </c>
      <c r="E57" s="1548" t="inlineStr">
        <is>
          <t>Hire</t>
        </is>
      </c>
      <c r="F57" s="1770">
        <f>INDEX('REVIEW - Complete Role Mapping'!$AA:$AA,185)</f>
        <v>95579.88</v>
      </c>
      <c r="G57" s="1770">
        <f>$F57*IFERROR(INDEX(Lists!$AD:$AD,MATCH($E57,Lists!$AC:$AC,0)),1)</f>
        <v>95579.88</v>
      </c>
    </row>
    <row r="58">
      <c r="B58" s="1531" t="str">
        <f>INDEX('REVIEW - Complete Role Mapping'!$B:$B,186)</f>
        <v>Vacant</v>
      </c>
      <c r="C58" s="1531" t="str">
        <f>INDEX('REVIEW - Complete Role Mapping'!$C:$C,186)</f>
        <v>Systems Analyst / Mid</v>
      </c>
      <c r="D58" s="1531" t="str">
        <f>INDEX('REVIEW - Complete Role Mapping'!$AK:$AK,186)</f>
        <v>Vacant</v>
      </c>
      <c r="E58" s="1548" t="inlineStr">
        <is>
          <t>Hire</t>
        </is>
      </c>
      <c r="F58" s="1770">
        <f>INDEX('REVIEW - Complete Role Mapping'!$AA:$AA,186)</f>
        <v>148354.548</v>
      </c>
      <c r="G58" s="1770">
        <f>$F58*IFERROR(INDEX(Lists!$AD:$AD,MATCH($E58,Lists!$AC:$AC,0)),1)</f>
        <v>148354.548</v>
      </c>
    </row>
    <row r="59">
      <c r="B59" s="1530" t="inlineStr">
        <is>
          <t>Ampol Web</t>
        </is>
      </c>
      <c r="C59" s="1530" t="str">
        <f>COUNTA($B$60:$B$68)&amp;IF(COUNTA($B$60:$B$68)=1," role"," roles")</f>
        <v>9 roles</v>
      </c>
      <c r="D59" s="1530" t="n"/>
      <c r="E59" s="1530" t="n"/>
      <c r="F59" s="1786">
        <f>SUM(F60:F68)</f>
        <v>1761719.2</v>
      </c>
      <c r="G59" s="1786">
        <f>SUM(G60:G68)</f>
        <v>1761719.2</v>
      </c>
    </row>
    <row r="60">
      <c r="B60" s="1531" t="str">
        <f>INDEX('REVIEW - Complete Role Mapping'!$B:$B,108)</f>
        <v>Aaron Lu</v>
      </c>
      <c r="C60" s="1531" t="str">
        <f>INDEX('REVIEW - Complete Role Mapping'!$C:$C,108)</f>
        <v>Engineer - BE</v>
      </c>
      <c r="D60" s="1531" t="str">
        <f>INDEX('REVIEW - Complete Role Mapping'!$AK:$AK,108)</f>
        <v>Filled</v>
      </c>
      <c r="E60" s="1548" t="inlineStr">
        <is>
          <t>Filled</t>
        </is>
      </c>
      <c r="F60" s="1770">
        <f>INDEX('REVIEW - Complete Role Mapping'!$AA:$AA,108)</f>
        <v>235333.8</v>
      </c>
      <c r="G60" s="1770">
        <f>$F60*IFERROR(INDEX(Lists!$AD:$AD,MATCH($E60,Lists!$AC:$AC,0)),1)</f>
        <v>235333.8</v>
      </c>
    </row>
    <row r="61">
      <c r="B61" s="1531" t="str">
        <f>INDEX('REVIEW - Complete Role Mapping'!$B:$B,120)</f>
        <v>Ashwini Gaikwad</v>
      </c>
      <c r="C61" s="1531" t="str">
        <f>INDEX('REVIEW - Complete Role Mapping'!$C:$C,120)</f>
        <v>Quality Assurance</v>
      </c>
      <c r="D61" s="1531" t="str">
        <f>INDEX('REVIEW - Complete Role Mapping'!$AK:$AK,120)</f>
        <v>Filled</v>
      </c>
      <c r="E61" s="1548" t="inlineStr">
        <is>
          <t>Filled</t>
        </is>
      </c>
      <c r="F61" s="1770">
        <f>INDEX('REVIEW - Complete Role Mapping'!$AA:$AA,120)</f>
        <v>168677.25</v>
      </c>
      <c r="G61" s="1770">
        <f>$F61*IFERROR(INDEX(Lists!$AD:$AD,MATCH($E61,Lists!$AC:$AC,0)),1)</f>
        <v>168677.25</v>
      </c>
    </row>
    <row r="62">
      <c r="B62" s="1531" t="str">
        <f>INDEX('REVIEW - Complete Role Mapping'!$B:$B,128)</f>
        <v>Darwin Morales</v>
      </c>
      <c r="C62" s="1531" t="str">
        <f>INDEX('REVIEW - Complete Role Mapping'!$C:$C,128)</f>
        <v>Snr Engineer - FE</v>
      </c>
      <c r="D62" s="1531" t="str">
        <f>INDEX('REVIEW - Complete Role Mapping'!$AK:$AK,128)</f>
        <v>Filled</v>
      </c>
      <c r="E62" s="1548" t="inlineStr">
        <is>
          <t>Filled</t>
        </is>
      </c>
      <c r="F62" s="1770">
        <f>INDEX('REVIEW - Complete Role Mapping'!$AA:$AA,128)</f>
        <v>243090.15</v>
      </c>
      <c r="G62" s="1770">
        <f>$F62*IFERROR(INDEX(Lists!$AD:$AD,MATCH($E62,Lists!$AC:$AC,0)),1)</f>
        <v>243090.15</v>
      </c>
    </row>
    <row r="63">
      <c r="B63" s="1531" t="str">
        <f>INDEX('REVIEW - Complete Role Mapping'!$B:$B,136)</f>
        <v>Jasper Na</v>
      </c>
      <c r="C63" s="1531" t="str">
        <f>INDEX('REVIEW - Complete Role Mapping'!$C:$C,136)</f>
        <v>Associate Engineer - BE</v>
      </c>
      <c r="D63" s="1531" t="str">
        <f>INDEX('REVIEW - Complete Role Mapping'!$AK:$AK,136)</f>
        <v>Filled</v>
      </c>
      <c r="E63" s="1548" t="inlineStr">
        <is>
          <t>Filled</t>
        </is>
      </c>
      <c r="F63" s="1770">
        <f>INDEX('REVIEW - Complete Role Mapping'!$AA:$AA,136)</f>
        <v>170489.75</v>
      </c>
      <c r="G63" s="1770">
        <f>$F63*IFERROR(INDEX(Lists!$AD:$AD,MATCH($E63,Lists!$AC:$AC,0)),1)</f>
        <v>170489.75</v>
      </c>
    </row>
    <row r="64">
      <c r="B64" s="1531" t="str">
        <f>INDEX('REVIEW - Complete Role Mapping'!$B:$B,140)</f>
        <v>Jin Zhong</v>
      </c>
      <c r="C64" s="1531" t="str">
        <f>INDEX('REVIEW - Complete Role Mapping'!$C:$C,140)</f>
        <v>Lead Engineer - BE</v>
      </c>
      <c r="D64" s="1531" t="str">
        <f>INDEX('REVIEW - Complete Role Mapping'!$AK:$AK,140)</f>
        <v>Filled</v>
      </c>
      <c r="E64" s="1548" t="inlineStr">
        <is>
          <t>Filled</t>
        </is>
      </c>
      <c r="F64" s="1770">
        <f>INDEX('REVIEW - Complete Role Mapping'!$AA:$AA,140)</f>
        <v>202853.25</v>
      </c>
      <c r="G64" s="1770">
        <f>$F64*IFERROR(INDEX(Lists!$AD:$AD,MATCH($E64,Lists!$AC:$AC,0)),1)</f>
        <v>202853.25</v>
      </c>
    </row>
    <row r="65">
      <c r="B65" s="1531" t="str">
        <f>INDEX('REVIEW - Complete Role Mapping'!$B:$B,141)</f>
        <v>Jordan Askwith</v>
      </c>
      <c r="C65" s="1531" t="str">
        <f>INDEX('REVIEW - Complete Role Mapping'!$C:$C,141)</f>
        <v>Solution Architect</v>
      </c>
      <c r="D65" s="1531" t="str">
        <f>INDEX('REVIEW - Complete Role Mapping'!$AK:$AK,141)</f>
        <v>Filled</v>
      </c>
      <c r="E65" s="1548" t="inlineStr">
        <is>
          <t>Filled</t>
        </is>
      </c>
      <c r="F65" s="1770">
        <f>INDEX('REVIEW - Complete Role Mapping'!$AA:$AA,141)</f>
        <v>202853.25</v>
      </c>
      <c r="G65" s="1770">
        <f>$F65*IFERROR(INDEX(Lists!$AD:$AD,MATCH($E65,Lists!$AC:$AC,0)),1)</f>
        <v>202853.25</v>
      </c>
    </row>
    <row r="66">
      <c r="B66" s="1531" t="str">
        <f>INDEX('REVIEW - Complete Role Mapping'!$B:$B,148)</f>
        <v>Lily Fong</v>
      </c>
      <c r="C66" s="1531" t="str">
        <f>INDEX('REVIEW - Complete Role Mapping'!$C:$C,148)</f>
        <v>Snr Business Analyst</v>
      </c>
      <c r="D66" s="1531" t="str">
        <f>INDEX('REVIEW - Complete Role Mapping'!$AK:$AK,148)</f>
        <v>Filled</v>
      </c>
      <c r="E66" s="1548" t="inlineStr">
        <is>
          <t>Filled</t>
        </is>
      </c>
      <c r="F66" s="1770">
        <f>INDEX('REVIEW - Complete Role Mapping'!$AA:$AA,148)</f>
        <v>170489.75</v>
      </c>
      <c r="G66" s="1770">
        <f>$F66*IFERROR(INDEX(Lists!$AD:$AD,MATCH($E66,Lists!$AC:$AC,0)),1)</f>
        <v>170489.75</v>
      </c>
    </row>
    <row r="67">
      <c r="B67" s="1531" t="str">
        <f>INDEX('REVIEW - Complete Role Mapping'!$B:$B,163)</f>
        <v>Saugata Acharya</v>
      </c>
      <c r="C67" s="1531" t="str">
        <f>INDEX('REVIEW - Complete Role Mapping'!$C:$C,163)</f>
        <v>Delivery Lead</v>
      </c>
      <c r="D67" s="1531" t="str">
        <f>INDEX('REVIEW - Complete Role Mapping'!$AK:$AK,163)</f>
        <v>Filled</v>
      </c>
      <c r="E67" s="1548" t="inlineStr">
        <is>
          <t>Filled</t>
        </is>
      </c>
      <c r="F67" s="1770">
        <f>INDEX('REVIEW - Complete Role Mapping'!$AA:$AA,163)</f>
        <v>217914</v>
      </c>
      <c r="G67" s="1770">
        <f>$F67*IFERROR(INDEX(Lists!$AD:$AD,MATCH($E67,Lists!$AC:$AC,0)),1)</f>
        <v>217914</v>
      </c>
    </row>
    <row r="68">
      <c r="B68" s="1531" t="str">
        <f>INDEX('REVIEW - Complete Role Mapping'!$B:$B,190)</f>
        <v>Zohan Sim</v>
      </c>
      <c r="C68" s="1531" t="str">
        <f>INDEX('REVIEW - Complete Role Mapping'!$C:$C,190)</f>
        <v>Engineer - BE</v>
      </c>
      <c r="D68" s="1531" t="str">
        <f>INDEX('REVIEW - Complete Role Mapping'!$AK:$AK,190)</f>
        <v>Filled</v>
      </c>
      <c r="E68" s="1548" t="inlineStr">
        <is>
          <t>Filled</t>
        </is>
      </c>
      <c r="F68" s="1770">
        <f>INDEX('REVIEW - Complete Role Mapping'!$AA:$AA,190)</f>
        <v>150018</v>
      </c>
      <c r="G68" s="1770">
        <f>$F68*IFERROR(INDEX(Lists!$AD:$AD,MATCH($E68,Lists!$AC:$AC,0)),1)</f>
        <v>150018</v>
      </c>
    </row>
    <row r="69">
      <c r="B69" s="1530" t="inlineStr">
        <is>
          <t>Customer AI</t>
        </is>
      </c>
      <c r="C69" s="1530" t="str">
        <f>COUNTA($B$70:$B$71)&amp;IF(COUNTA($B$70:$B$71)=1," role"," roles")</f>
        <v>2 roles</v>
      </c>
      <c r="D69" s="1530" t="n"/>
      <c r="E69" s="1530" t="n"/>
      <c r="F69" s="1786">
        <f>SUM(F70:F71)</f>
        <v>171037.68</v>
      </c>
      <c r="G69" s="1786">
        <f>SUM(G70:G71)</f>
        <v>171037.68</v>
      </c>
    </row>
    <row r="70">
      <c r="B70" s="1531" t="str">
        <f>INDEX('REVIEW - Complete Role Mapping'!$B:$B,174)</f>
        <v>Vacant</v>
      </c>
      <c r="C70" s="1531" t="str">
        <f>INDEX('REVIEW - Complete Role Mapping'!$C:$C,174)</f>
        <v>AI Engineer - Front End</v>
      </c>
      <c r="D70" s="1531" t="str">
        <f>INDEX('REVIEW - Complete Role Mapping'!$AK:$AK,174)</f>
        <v>Vacant</v>
      </c>
      <c r="E70" s="1548" t="inlineStr">
        <is>
          <t>Hire</t>
        </is>
      </c>
      <c r="F70" s="1770">
        <f>INDEX('REVIEW - Complete Role Mapping'!$AA:$AA,174)</f>
        <v>85518.84</v>
      </c>
      <c r="G70" s="1770">
        <f>$F70*IFERROR(INDEX(Lists!$AD:$AD,MATCH($E70,Lists!$AC:$AC,0)),1)</f>
        <v>85518.84</v>
      </c>
    </row>
    <row r="71">
      <c r="B71" s="1531" t="str">
        <f>INDEX('REVIEW - Complete Role Mapping'!$B:$B,175)</f>
        <v>Vacant</v>
      </c>
      <c r="C71" s="1531" t="str">
        <f>INDEX('REVIEW - Complete Role Mapping'!$C:$C,175)</f>
        <v>AI Engineer - Full Stack </v>
      </c>
      <c r="D71" s="1531" t="str">
        <f>INDEX('REVIEW - Complete Role Mapping'!$AK:$AK,175)</f>
        <v>Vacant</v>
      </c>
      <c r="E71" s="1548" t="inlineStr">
        <is>
          <t>Hire</t>
        </is>
      </c>
      <c r="F71" s="1770">
        <f>INDEX('REVIEW - Complete Role Mapping'!$AA:$AA,175)</f>
        <v>85518.84</v>
      </c>
      <c r="G71" s="1770">
        <f>$F71*IFERROR(INDEX(Lists!$AD:$AD,MATCH($E71,Lists!$AC:$AC,0)),1)</f>
        <v>85518.84</v>
      </c>
    </row>
    <row r="72">
      <c r="B72" s="1530" t="inlineStr">
        <is>
          <t>Digital Operations</t>
        </is>
      </c>
      <c r="C72" s="1530" t="str">
        <f>COUNTA($B$73:$B$79)&amp;IF(COUNTA($B$73:$B$79)=1," role"," roles")</f>
        <v>7 roles</v>
      </c>
      <c r="D72" s="1530" t="n"/>
      <c r="E72" s="1530" t="n"/>
      <c r="F72" s="1786">
        <f>SUM(F73:F79)</f>
        <v>1303645.928</v>
      </c>
      <c r="G72" s="1786">
        <f>SUM(G73:G79)</f>
        <v>1303645.928</v>
      </c>
    </row>
    <row r="73">
      <c r="B73" s="1531" t="str">
        <f>INDEX('REVIEW - Complete Role Mapping'!$B:$B,127)</f>
        <v>Daniel Arban</v>
      </c>
      <c r="C73" s="1531" t="str">
        <f>INDEX('REVIEW - Complete Role Mapping'!$C:$C,127)</f>
        <v>Service Delivery Lead</v>
      </c>
      <c r="D73" s="1531" t="str">
        <f>INDEX('REVIEW - Complete Role Mapping'!$AK:$AK,127)</f>
        <v>Filled</v>
      </c>
      <c r="E73" s="1548" t="inlineStr">
        <is>
          <t>Filled</t>
        </is>
      </c>
      <c r="F73" s="1770">
        <f>INDEX('REVIEW - Complete Role Mapping'!$AA:$AA,127)</f>
        <v>248640</v>
      </c>
      <c r="G73" s="1770">
        <f>$F73*IFERROR(INDEX(Lists!$AD:$AD,MATCH($E73,Lists!$AC:$AC,0)),1)</f>
        <v>248640</v>
      </c>
    </row>
    <row r="74">
      <c r="B74" s="1531" t="str">
        <f>INDEX('REVIEW - Complete Role Mapping'!$B:$B,133)</f>
        <v>Emile Violi</v>
      </c>
      <c r="C74" s="1531" t="str">
        <f>INDEX('REVIEW - Complete Role Mapping'!$C:$C,133)</f>
        <v>Engineer - BE</v>
      </c>
      <c r="D74" s="1531" t="str">
        <f>INDEX('REVIEW - Complete Role Mapping'!$AK:$AK,133)</f>
        <v>Filled</v>
      </c>
      <c r="E74" s="1548" t="inlineStr">
        <is>
          <t>Filled</t>
        </is>
      </c>
      <c r="F74" s="1770">
        <f>INDEX('REVIEW - Complete Role Mapping'!$AA:$AA,133)</f>
        <v>154465.188</v>
      </c>
      <c r="G74" s="1770">
        <f>$F74*IFERROR(INDEX(Lists!$AD:$AD,MATCH($E74,Lists!$AC:$AC,0)),1)</f>
        <v>154465.188</v>
      </c>
    </row>
    <row r="75">
      <c r="B75" s="1531" t="str">
        <f>INDEX('REVIEW - Complete Role Mapping'!$B:$B,150)</f>
        <v>Mark Wilson</v>
      </c>
      <c r="C75" s="1531" t="str">
        <f>INDEX('REVIEW - Complete Role Mapping'!$C:$C,150)</f>
        <v>Digital Support Manager (AU)</v>
      </c>
      <c r="D75" s="1531" t="str">
        <f>INDEX('REVIEW - Complete Role Mapping'!$AK:$AK,150)</f>
        <v>Filled</v>
      </c>
      <c r="E75" s="1548" t="inlineStr">
        <is>
          <t>Filled</t>
        </is>
      </c>
      <c r="F75" s="1770">
        <f>INDEX('REVIEW - Complete Role Mapping'!$AA:$AA,150)</f>
        <v>218926.65</v>
      </c>
      <c r="G75" s="1770">
        <f>$F75*IFERROR(INDEX(Lists!$AD:$AD,MATCH($E75,Lists!$AC:$AC,0)),1)</f>
        <v>218926.65</v>
      </c>
    </row>
    <row r="76">
      <c r="B76" s="1531" t="str">
        <f>INDEX('REVIEW - Complete Role Mapping'!$B:$B,169)</f>
        <v>Shreema Das</v>
      </c>
      <c r="C76" s="1531" t="str">
        <f>INDEX('REVIEW - Complete Role Mapping'!$C:$C,169)</f>
        <v>Solution Architect</v>
      </c>
      <c r="D76" s="1531" t="str">
        <f>INDEX('REVIEW - Complete Role Mapping'!$AK:$AK,169)</f>
        <v>Filled</v>
      </c>
      <c r="E76" s="1548" t="inlineStr">
        <is>
          <t>Filled</t>
        </is>
      </c>
      <c r="F76" s="1770">
        <f>INDEX('REVIEW - Complete Role Mapping'!$AA:$AA,169)</f>
        <v>275810.25</v>
      </c>
      <c r="G76" s="1770">
        <f>$F76*IFERROR(INDEX(Lists!$AD:$AD,MATCH($E76,Lists!$AC:$AC,0)),1)</f>
        <v>275810.25</v>
      </c>
    </row>
    <row r="77">
      <c r="B77" s="1531" t="str">
        <f>INDEX('REVIEW - Complete Role Mapping'!$B:$B,182)</f>
        <v>Vacant</v>
      </c>
      <c r="C77" s="1531" t="str">
        <f>INDEX('REVIEW - Complete Role Mapping'!$C:$C,182)</f>
        <v>.NET Back End Developer / Mid</v>
      </c>
      <c r="D77" s="1531" t="str">
        <f>INDEX('REVIEW - Complete Role Mapping'!$AK:$AK,182)</f>
        <v>Vacant</v>
      </c>
      <c r="E77" s="1548" t="inlineStr">
        <is>
          <t>Hire</t>
        </is>
      </c>
      <c r="F77" s="1770">
        <f>INDEX('REVIEW - Complete Role Mapping'!$AA:$AA,182)</f>
        <v>106519.664</v>
      </c>
      <c r="G77" s="1770">
        <f>$F77*IFERROR(INDEX(Lists!$AD:$AD,MATCH($E77,Lists!$AC:$AC,0)),1)</f>
        <v>106519.664</v>
      </c>
    </row>
    <row r="78">
      <c r="B78" s="1531" t="str">
        <f>INDEX('REVIEW - Complete Role Mapping'!$B:$B,183)</f>
        <v>Vacant</v>
      </c>
      <c r="C78" s="1531" t="str">
        <f>INDEX('REVIEW - Complete Role Mapping'!$C:$C,183)</f>
        <v>.NET Back End Developer / Mid</v>
      </c>
      <c r="D78" s="1531" t="str">
        <f>INDEX('REVIEW - Complete Role Mapping'!$AK:$AK,183)</f>
        <v>Vacant</v>
      </c>
      <c r="E78" s="1548" t="inlineStr">
        <is>
          <t>Hire</t>
        </is>
      </c>
      <c r="F78" s="1770">
        <f>INDEX('REVIEW - Complete Role Mapping'!$AA:$AA,183)</f>
        <v>105043.248</v>
      </c>
      <c r="G78" s="1770">
        <f>$F78*IFERROR(INDEX(Lists!$AD:$AD,MATCH($E78,Lists!$AC:$AC,0)),1)</f>
        <v>105043.248</v>
      </c>
    </row>
    <row r="79">
      <c r="B79" s="1531" t="str">
        <f>INDEX('REVIEW - Complete Role Mapping'!$B:$B,184)</f>
        <v>Vacant</v>
      </c>
      <c r="C79" s="1531" t="str">
        <f>INDEX('REVIEW - Complete Role Mapping'!$C:$C,184)</f>
        <v>QA / Tester / Mid</v>
      </c>
      <c r="D79" s="1531" t="str">
        <f>INDEX('REVIEW - Complete Role Mapping'!$AK:$AK,184)</f>
        <v>Vacant</v>
      </c>
      <c r="E79" s="1548" t="inlineStr">
        <is>
          <t>Hire</t>
        </is>
      </c>
      <c r="F79" s="1770">
        <f>INDEX('REVIEW - Complete Role Mapping'!$AA:$AA,184)</f>
        <v>194240.928</v>
      </c>
      <c r="G79" s="1770">
        <f>$F79*IFERROR(INDEX(Lists!$AD:$AD,MATCH($E79,Lists!$AC:$AC,0)),1)</f>
        <v>194240.928</v>
      </c>
    </row>
    <row r="80">
      <c r="B80" s="1530" t="inlineStr">
        <is>
          <t>EGI Customer</t>
        </is>
      </c>
      <c r="C80" s="1530" t="str">
        <f>COUNTA($B$81:$B$90)&amp;IF(COUNTA($B$81:$B$90)=1," role"," roles")</f>
        <v>10 roles</v>
      </c>
      <c r="D80" s="1530" t="n"/>
      <c r="E80" s="1530" t="n"/>
      <c r="F80" s="1786">
        <f>SUM(F81:F90)</f>
        <v>2208135.308</v>
      </c>
      <c r="G80" s="1786">
        <f>SUM(G81:G90)</f>
        <v>2208135.308</v>
      </c>
    </row>
    <row r="81">
      <c r="B81" s="1531" t="str">
        <f>INDEX('REVIEW - Complete Role Mapping'!$B:$B,111)</f>
        <v>Alan Peng</v>
      </c>
      <c r="C81" s="1531" t="str">
        <f>INDEX('REVIEW - Complete Role Mapping'!$C:$C,111)</f>
        <v>Delivery Lead</v>
      </c>
      <c r="D81" s="1531" t="str">
        <f>INDEX('REVIEW - Complete Role Mapping'!$AK:$AK,111)</f>
        <v>Filled</v>
      </c>
      <c r="E81" s="1548" t="inlineStr">
        <is>
          <t>Filled</t>
        </is>
      </c>
      <c r="F81" s="1770">
        <f>INDEX('REVIEW - Complete Role Mapping'!$AA:$AA,111)</f>
        <v>216043.05</v>
      </c>
      <c r="G81" s="1770">
        <f>$F81*IFERROR(INDEX(Lists!$AD:$AD,MATCH($E81,Lists!$AC:$AC,0)),1)</f>
        <v>216043.05</v>
      </c>
    </row>
    <row r="82">
      <c r="B82" s="1531" t="str">
        <f>INDEX('REVIEW - Complete Role Mapping'!$B:$B,115)</f>
        <v>Angie Ng</v>
      </c>
      <c r="C82" s="1531" t="str">
        <f>INDEX('REVIEW - Complete Role Mapping'!$C:$C,115)</f>
        <v>Snr Engineer - BE</v>
      </c>
      <c r="D82" s="1531" t="str">
        <f>INDEX('REVIEW - Complete Role Mapping'!$AK:$AK,115)</f>
        <v>Filled</v>
      </c>
      <c r="E82" s="1548" t="inlineStr">
        <is>
          <t>Filled</t>
        </is>
      </c>
      <c r="F82" s="1770">
        <f>INDEX('REVIEW - Complete Role Mapping'!$AA:$AA,115)</f>
        <v>254958.3</v>
      </c>
      <c r="G82" s="1770">
        <f>$F82*IFERROR(INDEX(Lists!$AD:$AD,MATCH($E82,Lists!$AC:$AC,0)),1)</f>
        <v>254958.3</v>
      </c>
    </row>
    <row r="83">
      <c r="B83" s="1531" t="str">
        <f>INDEX('REVIEW - Complete Role Mapping'!$B:$B,129)</f>
        <v>Dasha Fothergill</v>
      </c>
      <c r="C83" s="1531" t="str">
        <f>INDEX('REVIEW - Complete Role Mapping'!$C:$C,129)</f>
        <v>Data Analyst</v>
      </c>
      <c r="D83" s="1531" t="str">
        <f>INDEX('REVIEW - Complete Role Mapping'!$AK:$AK,129)</f>
        <v>Filled</v>
      </c>
      <c r="E83" s="1548" t="inlineStr">
        <is>
          <t>Filled</t>
        </is>
      </c>
      <c r="F83" s="1770">
        <f>INDEX('REVIEW - Complete Role Mapping'!$AA:$AA,129)</f>
        <v>188492.4</v>
      </c>
      <c r="G83" s="1770">
        <f>$F83*IFERROR(INDEX(Lists!$AD:$AD,MATCH($E83,Lists!$AC:$AC,0)),1)</f>
        <v>188492.4</v>
      </c>
    </row>
    <row r="84">
      <c r="B84" s="1531" t="str">
        <f>INDEX('REVIEW - Complete Role Mapping'!$B:$B,158)</f>
        <v>Ramez Haider</v>
      </c>
      <c r="C84" s="1531" t="str">
        <f>INDEX('REVIEW - Complete Role Mapping'!$C:$C,158)</f>
        <v>Solution Architect</v>
      </c>
      <c r="D84" s="1531" t="str">
        <f>INDEX('REVIEW - Complete Role Mapping'!$AK:$AK,158)</f>
        <v>Filled</v>
      </c>
      <c r="E84" s="1548" t="inlineStr">
        <is>
          <t>Filled</t>
        </is>
      </c>
      <c r="F84" s="1770">
        <f>INDEX('REVIEW - Complete Role Mapping'!$AA:$AA,158)</f>
        <v>247530</v>
      </c>
      <c r="G84" s="1770">
        <f>$F84*IFERROR(INDEX(Lists!$AD:$AD,MATCH($E84,Lists!$AC:$AC,0)),1)</f>
        <v>247530</v>
      </c>
    </row>
    <row r="85">
      <c r="B85" s="1531" t="str">
        <f>INDEX('REVIEW - Complete Role Mapping'!$B:$B,159)</f>
        <v>Rishabh Bhatia</v>
      </c>
      <c r="C85" s="1531" t="str">
        <f>INDEX('REVIEW - Complete Role Mapping'!$C:$C,159)</f>
        <v>Engineer - Mobile (Android)</v>
      </c>
      <c r="D85" s="1531" t="str">
        <f>INDEX('REVIEW - Complete Role Mapping'!$AK:$AK,159)</f>
        <v>Filled</v>
      </c>
      <c r="E85" s="1548" t="inlineStr">
        <is>
          <t>Filled</t>
        </is>
      </c>
      <c r="F85" s="1770">
        <f>INDEX('REVIEW - Complete Role Mapping'!$AA:$AA,159)</f>
        <v>136760</v>
      </c>
      <c r="G85" s="1770">
        <f>$F85*IFERROR(INDEX(Lists!$AD:$AD,MATCH($E85,Lists!$AC:$AC,0)),1)</f>
        <v>136760</v>
      </c>
    </row>
    <row r="86">
      <c r="B86" s="1531" t="str">
        <f>INDEX('REVIEW - Complete Role Mapping'!$B:$B,160)</f>
        <v>Rob Jadrjevic</v>
      </c>
      <c r="C86" s="1531" t="str">
        <f>INDEX('REVIEW - Complete Role Mapping'!$C:$C,160)</f>
        <v>Engineer - BE</v>
      </c>
      <c r="D86" s="1531" t="str">
        <f>INDEX('REVIEW - Complete Role Mapping'!$AK:$AK,160)</f>
        <v>Filled</v>
      </c>
      <c r="E86" s="1548" t="inlineStr">
        <is>
          <t>Filled</t>
        </is>
      </c>
      <c r="F86" s="1770">
        <f>INDEX('REVIEW - Complete Role Mapping'!$AA:$AA,160)</f>
        <v>202853.25</v>
      </c>
      <c r="G86" s="1770">
        <f>$F86*IFERROR(INDEX(Lists!$AD:$AD,MATCH($E86,Lists!$AC:$AC,0)),1)</f>
        <v>202853.25</v>
      </c>
    </row>
    <row r="87">
      <c r="B87" s="1531" t="str">
        <f>INDEX('REVIEW - Complete Role Mapping'!$B:$B,161)</f>
        <v>Safiq Iqbal</v>
      </c>
      <c r="C87" s="1531" t="str">
        <f>INDEX('REVIEW - Complete Role Mapping'!$C:$C,161)</f>
        <v>Principal Engineer</v>
      </c>
      <c r="D87" s="1531" t="str">
        <f>INDEX('REVIEW - Complete Role Mapping'!$AK:$AK,161)</f>
        <v>Filled</v>
      </c>
      <c r="E87" s="1548" t="inlineStr">
        <is>
          <t>Filled</t>
        </is>
      </c>
      <c r="F87" s="1770">
        <f>INDEX('REVIEW - Complete Role Mapping'!$AA:$AA,161)</f>
        <v>213600</v>
      </c>
      <c r="G87" s="1770">
        <f>$F87*IFERROR(INDEX(Lists!$AD:$AD,MATCH($E87,Lists!$AC:$AC,0)),1)</f>
        <v>213600</v>
      </c>
    </row>
    <row r="88">
      <c r="B88" s="1531" t="str">
        <f>INDEX('REVIEW - Complete Role Mapping'!$B:$B,170)</f>
        <v>Sri Balan Raj</v>
      </c>
      <c r="C88" s="1531" t="str">
        <f>INDEX('REVIEW - Complete Role Mapping'!$C:$C,170)</f>
        <v>Business Analyst</v>
      </c>
      <c r="D88" s="1531" t="str">
        <f>INDEX('REVIEW - Complete Role Mapping'!$AK:$AK,170)</f>
        <v>Filled</v>
      </c>
      <c r="E88" s="1548" t="inlineStr">
        <is>
          <t>Filled</t>
        </is>
      </c>
      <c r="F88" s="1770">
        <f>INDEX('REVIEW - Complete Role Mapping'!$AA:$AA,170)</f>
        <v>275810.25</v>
      </c>
      <c r="G88" s="1770">
        <f>$F88*IFERROR(INDEX(Lists!$AD:$AD,MATCH($E88,Lists!$AC:$AC,0)),1)</f>
        <v>275810.25</v>
      </c>
    </row>
    <row r="89">
      <c r="B89" s="1531" t="str">
        <f>INDEX('REVIEW - Complete Role Mapping'!$B:$B,171)</f>
        <v>Swapnil Pithwa</v>
      </c>
      <c r="C89" s="1531" t="str">
        <f>INDEX('REVIEW - Complete Role Mapping'!$C:$C,171)</f>
        <v>Engineer - BE</v>
      </c>
      <c r="D89" s="1531" t="str">
        <f>INDEX('REVIEW - Complete Role Mapping'!$AK:$AK,171)</f>
        <v>Filled</v>
      </c>
      <c r="E89" s="1548" t="inlineStr">
        <is>
          <t>Filled</t>
        </is>
      </c>
      <c r="F89" s="1770">
        <f>INDEX('REVIEW - Complete Role Mapping'!$AA:$AA,171)</f>
        <v>275810.25</v>
      </c>
      <c r="G89" s="1770">
        <f>$F89*IFERROR(INDEX(Lists!$AD:$AD,MATCH($E89,Lists!$AC:$AC,0)),1)</f>
        <v>275810.25</v>
      </c>
    </row>
    <row r="90">
      <c r="B90" s="1531" t="str">
        <f>INDEX('REVIEW - Complete Role Mapping'!$B:$B,187)</f>
        <v>Waheed Malek</v>
      </c>
      <c r="C90" s="1531" t="str">
        <f>INDEX('REVIEW - Complete Role Mapping'!$C:$C,187)</f>
        <v>Quality Assurance</v>
      </c>
      <c r="D90" s="1531" t="str">
        <f>INDEX('REVIEW - Complete Role Mapping'!$AK:$AK,187)</f>
        <v>Filled</v>
      </c>
      <c r="E90" s="1548" t="inlineStr">
        <is>
          <t>Filled</t>
        </is>
      </c>
      <c r="F90" s="1770">
        <f>INDEX('REVIEW - Complete Role Mapping'!$AA:$AA,187)</f>
        <v>196277.808</v>
      </c>
      <c r="G90" s="1770">
        <f>$F90*IFERROR(INDEX(Lists!$AD:$AD,MATCH($E90,Lists!$AC:$AC,0)),1)</f>
        <v>196277.808</v>
      </c>
    </row>
    <row r="91">
      <c r="B91" s="1530" t="inlineStr">
        <is>
          <t>Leadership</t>
        </is>
      </c>
      <c r="C91" s="1530" t="str">
        <f>COUNTA($B$92:$B$96)&amp;IF(COUNTA($B$92:$B$96)=1," role"," roles")</f>
        <v>5 roles</v>
      </c>
      <c r="D91" s="1530" t="n"/>
      <c r="E91" s="1530" t="n"/>
      <c r="F91" s="1786">
        <f>SUM(F92:F96)</f>
        <v>1048250.048</v>
      </c>
      <c r="G91" s="1786">
        <f>SUM(G92:G96)</f>
        <v>1048250.048</v>
      </c>
    </row>
    <row r="92">
      <c r="B92" s="1531" t="str">
        <f>INDEX('REVIEW - Complete Role Mapping'!$B:$B,109)</f>
        <v>Abhilash Reddy</v>
      </c>
      <c r="C92" s="1531" t="str">
        <f>INDEX('REVIEW - Complete Role Mapping'!$C:$C,109)</f>
        <v>Project Manager</v>
      </c>
      <c r="D92" s="1531" t="str">
        <f>INDEX('REVIEW - Complete Role Mapping'!$AK:$AK,109)</f>
        <v>Filled</v>
      </c>
      <c r="E92" s="1548" t="inlineStr">
        <is>
          <t>Filled</t>
        </is>
      </c>
      <c r="F92" s="1770">
        <f>INDEX('REVIEW - Complete Role Mapping'!$AA:$AA,109)</f>
        <v>266400</v>
      </c>
      <c r="G92" s="1770">
        <f>$F92*IFERROR(INDEX(Lists!$AD:$AD,MATCH($E92,Lists!$AC:$AC,0)),1)</f>
        <v>266400</v>
      </c>
    </row>
    <row r="93">
      <c r="B93" s="1531" t="str">
        <f>INDEX('REVIEW - Complete Role Mapping'!$B:$B,123)</f>
        <v>Byron Thornhill</v>
      </c>
      <c r="C93" s="1531" t="str">
        <f>INDEX('REVIEW - Complete Role Mapping'!$C:$C,123)</f>
        <v>Design Manager</v>
      </c>
      <c r="D93" s="1531" t="str">
        <f>INDEX('REVIEW - Complete Role Mapping'!$AK:$AK,123)</f>
        <v>Filled</v>
      </c>
      <c r="E93" s="1548" t="inlineStr">
        <is>
          <t>Filled</t>
        </is>
      </c>
      <c r="F93" s="1770">
        <f>INDEX('REVIEW - Complete Role Mapping'!$AA:$AA,123)</f>
        <v>157668.5</v>
      </c>
      <c r="G93" s="1770">
        <f>$F93*IFERROR(INDEX(Lists!$AD:$AD,MATCH($E93,Lists!$AC:$AC,0)),1)</f>
        <v>157668.5</v>
      </c>
    </row>
    <row r="94">
      <c r="B94" s="1531" t="str">
        <f>INDEX('REVIEW - Complete Role Mapping'!$B:$B,126)</f>
        <v>Christian Lazano</v>
      </c>
      <c r="C94" s="1531" t="str">
        <f>INDEX('REVIEW - Complete Role Mapping'!$C:$C,126)</f>
        <v>Business Analyst</v>
      </c>
      <c r="D94" s="1531" t="str">
        <f>INDEX('REVIEW - Complete Role Mapping'!$AK:$AK,126)</f>
        <v>Filled</v>
      </c>
      <c r="E94" s="1548" t="inlineStr">
        <is>
          <t>Filled</t>
        </is>
      </c>
      <c r="F94" s="1770">
        <f>INDEX('REVIEW - Complete Role Mapping'!$AA:$AA,126)</f>
        <v>266400</v>
      </c>
      <c r="G94" s="1770">
        <f>$F94*IFERROR(INDEX(Lists!$AD:$AD,MATCH($E94,Lists!$AC:$AC,0)),1)</f>
        <v>266400</v>
      </c>
    </row>
    <row r="95">
      <c r="B95" s="1531" t="str">
        <f>INDEX('REVIEW - Complete Role Mapping'!$B:$B,131)</f>
        <v>Ed Tacey</v>
      </c>
      <c r="C95" s="1531" t="str">
        <f>INDEX('REVIEW - Complete Role Mapping'!$C:$C,131)</f>
        <v>AI Enablement Lead</v>
      </c>
      <c r="D95" s="1531" t="str">
        <f>INDEX('REVIEW - Complete Role Mapping'!$AK:$AK,131)</f>
        <v>Filled</v>
      </c>
      <c r="E95" s="1548" t="inlineStr">
        <is>
          <t>Filled</t>
        </is>
      </c>
      <c r="F95" s="1770">
        <f>INDEX('REVIEW - Complete Role Mapping'!$AA:$AA,131)</f>
        <v>194184.348</v>
      </c>
      <c r="G95" s="1770">
        <f>$F95*IFERROR(INDEX(Lists!$AD:$AD,MATCH($E95,Lists!$AC:$AC,0)),1)</f>
        <v>194184.348</v>
      </c>
    </row>
    <row r="96">
      <c r="B96" s="1531" t="str">
        <f>INDEX('REVIEW - Complete Role Mapping'!$B:$B,177)</f>
        <v>Vacant</v>
      </c>
      <c r="C96" s="1531" t="str">
        <f>INDEX('REVIEW - Complete Role Mapping'!$C:$C,177)</f>
        <v>Program Manager</v>
      </c>
      <c r="D96" s="1531" t="str">
        <f>INDEX('REVIEW - Complete Role Mapping'!$AK:$AK,177)</f>
        <v>Vacant</v>
      </c>
      <c r="E96" s="1548" t="inlineStr">
        <is>
          <t>Hire</t>
        </is>
      </c>
      <c r="F96" s="1770">
        <f>INDEX('REVIEW - Complete Role Mapping'!$AA:$AA,177)</f>
        <v>163597.2</v>
      </c>
      <c r="G96" s="1770">
        <f>$F96*IFERROR(INDEX(Lists!$AD:$AD,MATCH($E96,Lists!$AC:$AC,0)),1)</f>
        <v>163597.2</v>
      </c>
    </row>
    <row r="97">
      <c r="B97" s="1530" t="inlineStr">
        <is>
          <t>Z App and Web</t>
        </is>
      </c>
      <c r="C97" s="1530" t="str">
        <f>COUNTA($B$98:$B$102)&amp;IF(COUNTA($B$98:$B$102)=1," role"," roles")</f>
        <v>5 roles</v>
      </c>
      <c r="D97" s="1530" t="n"/>
      <c r="E97" s="1530" t="n"/>
      <c r="F97" s="1786">
        <f>SUM(F98:F102)</f>
        <v>1223286.048</v>
      </c>
      <c r="G97" s="1786">
        <f>SUM(G98:G102)</f>
        <v>1223286.048</v>
      </c>
    </row>
    <row r="98">
      <c r="B98" s="1531" t="str">
        <f>INDEX('REVIEW - Complete Role Mapping'!$B:$B,118)</f>
        <v>Ants Jackson</v>
      </c>
      <c r="C98" s="1531" t="str">
        <f>INDEX('REVIEW - Complete Role Mapping'!$C:$C,118)</f>
        <v>Experience Designer</v>
      </c>
      <c r="D98" s="1531" t="str">
        <f>INDEX('REVIEW - Complete Role Mapping'!$AK:$AK,118)</f>
        <v>Filled</v>
      </c>
      <c r="E98" s="1548" t="inlineStr">
        <is>
          <t>Filled</t>
        </is>
      </c>
      <c r="F98" s="1770">
        <f>INDEX('REVIEW - Complete Role Mapping'!$AA:$AA,118)</f>
        <v>220275</v>
      </c>
      <c r="G98" s="1770">
        <f>$F98*IFERROR(INDEX(Lists!$AD:$AD,MATCH($E98,Lists!$AC:$AC,0)),1)</f>
        <v>220275</v>
      </c>
    </row>
    <row r="99">
      <c r="B99" s="1531" t="str">
        <f>INDEX('REVIEW - Complete Role Mapping'!$B:$B,135)</f>
        <v>James Nicolle</v>
      </c>
      <c r="C99" s="1531" t="str">
        <f>INDEX('REVIEW - Complete Role Mapping'!$C:$C,135)</f>
        <v>Delivery Lead</v>
      </c>
      <c r="D99" s="1531" t="str">
        <f>INDEX('REVIEW - Complete Role Mapping'!$AK:$AK,135)</f>
        <v>Filled</v>
      </c>
      <c r="E99" s="1548" t="inlineStr">
        <is>
          <t>Filled</t>
        </is>
      </c>
      <c r="F99" s="1770">
        <f>INDEX('REVIEW - Complete Role Mapping'!$AA:$AA,135)</f>
        <v>202853.25</v>
      </c>
      <c r="G99" s="1770">
        <f>$F99*IFERROR(INDEX(Lists!$AD:$AD,MATCH($E99,Lists!$AC:$AC,0)),1)</f>
        <v>202853.25</v>
      </c>
    </row>
    <row r="100">
      <c r="B100" s="1531" t="str">
        <f>INDEX('REVIEW - Complete Role Mapping'!$B:$B,162)</f>
        <v>Sam Turnball</v>
      </c>
      <c r="C100" s="1531" t="str">
        <f>INDEX('REVIEW - Complete Role Mapping'!$C:$C,162)</f>
        <v>Associate Experience Designer</v>
      </c>
      <c r="D100" s="1531" t="str">
        <f>INDEX('REVIEW - Complete Role Mapping'!$AK:$AK,162)</f>
        <v>Filled</v>
      </c>
      <c r="E100" s="1548" t="inlineStr">
        <is>
          <t>Filled</t>
        </is>
      </c>
      <c r="F100" s="1770">
        <f>INDEX('REVIEW - Complete Role Mapping'!$AA:$AA,162)</f>
        <v>301148.976</v>
      </c>
      <c r="G100" s="1770">
        <f>$F100*IFERROR(INDEX(Lists!$AD:$AD,MATCH($E100,Lists!$AC:$AC,0)),1)</f>
        <v>301148.976</v>
      </c>
    </row>
    <row r="101">
      <c r="B101" s="1531" t="str">
        <f>INDEX('REVIEW - Complete Role Mapping'!$B:$B,165)</f>
        <v>Shane Abrahams</v>
      </c>
      <c r="C101" s="1531" t="str">
        <f>INDEX('REVIEW - Complete Role Mapping'!$C:$C,165)</f>
        <v>Digital Support Manager - NZ</v>
      </c>
      <c r="D101" s="1531" t="str">
        <f>INDEX('REVIEW - Complete Role Mapping'!$AK:$AK,165)</f>
        <v>Filled</v>
      </c>
      <c r="E101" s="1548" t="inlineStr">
        <is>
          <t>Filled</t>
        </is>
      </c>
      <c r="F101" s="1770">
        <f>INDEX('REVIEW - Complete Role Mapping'!$AA:$AA,165)</f>
        <v>223198.572</v>
      </c>
      <c r="G101" s="1770">
        <f>$F101*IFERROR(INDEX(Lists!$AD:$AD,MATCH($E101,Lists!$AC:$AC,0)),1)</f>
        <v>223198.572</v>
      </c>
    </row>
    <row r="102">
      <c r="B102" s="1531" t="str">
        <f>INDEX('REVIEW - Complete Role Mapping'!$B:$B,172)</f>
        <v>Tim Corin</v>
      </c>
      <c r="C102" s="1531" t="str">
        <f>INDEX('REVIEW - Complete Role Mapping'!$C:$C,172)</f>
        <v>Experience Designer</v>
      </c>
      <c r="D102" s="1531" t="str">
        <f>INDEX('REVIEW - Complete Role Mapping'!$AK:$AK,172)</f>
        <v>Filled</v>
      </c>
      <c r="E102" s="1548" t="inlineStr">
        <is>
          <t>Filled</t>
        </is>
      </c>
      <c r="F102" s="1770">
        <f>INDEX('REVIEW - Complete Role Mapping'!$AA:$AA,172)</f>
        <v>275810.25</v>
      </c>
      <c r="G102" s="1770">
        <f>$F102*IFERROR(INDEX(Lists!$AD:$AD,MATCH($E102,Lists!$AC:$AC,0)),1)</f>
        <v>275810.25</v>
      </c>
    </row>
    <row r="103">
      <c r="B103" s="1530" t="inlineStr">
        <is>
          <t>Z Loyalty &amp; Martech</t>
        </is>
      </c>
      <c r="C103" s="1530" t="str">
        <f>COUNTA($B$104:$B$117)&amp;IF(COUNTA($B$104:$B$117)=1," role"," roles")</f>
        <v>14 roles</v>
      </c>
      <c r="D103" s="1530" t="n"/>
      <c r="E103" s="1530" t="n"/>
      <c r="F103" s="1786">
        <f>SUM(F104:F117)</f>
        <v>2946001.772</v>
      </c>
      <c r="G103" s="1786">
        <f>SUM(G104:G117)</f>
        <v>2946001.772</v>
      </c>
    </row>
    <row r="104">
      <c r="B104" s="1531" t="str">
        <f>INDEX('REVIEW - Complete Role Mapping'!$B:$B,117)</f>
        <v>Anthony Gen</v>
      </c>
      <c r="C104" s="1531" t="str">
        <f>INDEX('REVIEW - Complete Role Mapping'!$C:$C,117)</f>
        <v>Data Analyst</v>
      </c>
      <c r="D104" s="1531" t="str">
        <f>INDEX('REVIEW - Complete Role Mapping'!$AK:$AK,117)</f>
        <v>Filled</v>
      </c>
      <c r="E104" s="1548" t="inlineStr">
        <is>
          <t>Filled</t>
        </is>
      </c>
      <c r="F104" s="1770">
        <f>INDEX('REVIEW - Complete Role Mapping'!$AA:$AA,117)</f>
        <v>179198.4</v>
      </c>
      <c r="G104" s="1770">
        <f>$F104*IFERROR(INDEX(Lists!$AD:$AD,MATCH($E104,Lists!$AC:$AC,0)),1)</f>
        <v>179198.4</v>
      </c>
    </row>
    <row r="105">
      <c r="B105" s="1531" t="str">
        <f>INDEX('REVIEW - Complete Role Mapping'!$B:$B,121)</f>
        <v>Bharat Talreja</v>
      </c>
      <c r="C105" s="1531" t="str">
        <f>INDEX('REVIEW - Complete Role Mapping'!$C:$C,121)</f>
        <v>Marketing Technology Lead</v>
      </c>
      <c r="D105" s="1531" t="str">
        <f>INDEX('REVIEW - Complete Role Mapping'!$AK:$AK,121)</f>
        <v>Filled</v>
      </c>
      <c r="E105" s="1548" t="inlineStr">
        <is>
          <t>Filled</t>
        </is>
      </c>
      <c r="F105" s="1770">
        <f>INDEX('REVIEW - Complete Role Mapping'!$AA:$AA,121)</f>
        <v>266400</v>
      </c>
      <c r="G105" s="1770">
        <f>$F105*IFERROR(INDEX(Lists!$AD:$AD,MATCH($E105,Lists!$AC:$AC,0)),1)</f>
        <v>266400</v>
      </c>
    </row>
    <row r="106">
      <c r="B106" s="1531" t="str">
        <f>INDEX('REVIEW - Complete Role Mapping'!$B:$B,124)</f>
        <v>Carianne Monast</v>
      </c>
      <c r="C106" s="1531" t="str">
        <f>INDEX('REVIEW - Complete Role Mapping'!$C:$C,124)</f>
        <v>Martech Specialist</v>
      </c>
      <c r="D106" s="1531" t="str">
        <f>INDEX('REVIEW - Complete Role Mapping'!$AK:$AK,124)</f>
        <v>Filled</v>
      </c>
      <c r="E106" s="1548" t="inlineStr">
        <is>
          <t>Filled</t>
        </is>
      </c>
      <c r="F106" s="1770">
        <f>INDEX('REVIEW - Complete Role Mapping'!$AA:$AA,124)</f>
        <v>207352.2</v>
      </c>
      <c r="G106" s="1770">
        <f>$F106*IFERROR(INDEX(Lists!$AD:$AD,MATCH($E106,Lists!$AC:$AC,0)),1)</f>
        <v>207352.2</v>
      </c>
    </row>
    <row r="107">
      <c r="B107" s="1531" t="str">
        <f>INDEX('REVIEW - Complete Role Mapping'!$B:$B,125)</f>
        <v>Celia Voysey</v>
      </c>
      <c r="C107" s="1531" t="str">
        <f>INDEX('REVIEW - Complete Role Mapping'!$C:$C,125)</f>
        <v>Delivery Lead</v>
      </c>
      <c r="D107" s="1531" t="str">
        <f>INDEX('REVIEW - Complete Role Mapping'!$AK:$AK,125)</f>
        <v>Filled</v>
      </c>
      <c r="E107" s="1548" t="inlineStr">
        <is>
          <t>Filled</t>
        </is>
      </c>
      <c r="F107" s="1770">
        <f>INDEX('REVIEW - Complete Role Mapping'!$AA:$AA,125)</f>
        <v>240300</v>
      </c>
      <c r="G107" s="1770">
        <f>$F107*IFERROR(INDEX(Lists!$AD:$AD,MATCH($E107,Lists!$AC:$AC,0)),1)</f>
        <v>240300</v>
      </c>
    </row>
    <row r="108">
      <c r="B108" s="1531" t="str">
        <f>INDEX('REVIEW - Complete Role Mapping'!$B:$B,130)</f>
        <v>Denise Esguerra</v>
      </c>
      <c r="C108" s="1531" t="str">
        <f>INDEX('REVIEW - Complete Role Mapping'!$C:$C,130)</f>
        <v>Martech Specialist</v>
      </c>
      <c r="D108" s="1531" t="str">
        <f>INDEX('REVIEW - Complete Role Mapping'!$AK:$AK,130)</f>
        <v>Filled</v>
      </c>
      <c r="E108" s="1548" t="inlineStr">
        <is>
          <t>Filled</t>
        </is>
      </c>
      <c r="F108" s="1770">
        <f>INDEX('REVIEW - Complete Role Mapping'!$AA:$AA,130)</f>
        <v>177525</v>
      </c>
      <c r="G108" s="1770">
        <f>$F108*IFERROR(INDEX(Lists!$AD:$AD,MATCH($E108,Lists!$AC:$AC,0)),1)</f>
        <v>177525</v>
      </c>
    </row>
    <row r="109">
      <c r="B109" s="1531" t="str">
        <f>INDEX('REVIEW - Complete Role Mapping'!$B:$B,142)</f>
        <v>Jordan Kettles</v>
      </c>
      <c r="C109" s="1531" t="str">
        <f>INDEX('REVIEW - Complete Role Mapping'!$C:$C,142)</f>
        <v>Engineer, Sotware</v>
      </c>
      <c r="D109" s="1531" t="str">
        <f>INDEX('REVIEW - Complete Role Mapping'!$AK:$AK,142)</f>
        <v>Filled</v>
      </c>
      <c r="E109" s="1548" t="inlineStr">
        <is>
          <t>Filled</t>
        </is>
      </c>
      <c r="F109" s="1770">
        <f>INDEX('REVIEW - Complete Role Mapping'!$AA:$AA,142)</f>
        <v>165860.95</v>
      </c>
      <c r="G109" s="1770">
        <f>$F109*IFERROR(INDEX(Lists!$AD:$AD,MATCH($E109,Lists!$AC:$AC,0)),1)</f>
        <v>165860.95</v>
      </c>
    </row>
    <row r="110">
      <c r="B110" s="1531" t="str">
        <f>INDEX('REVIEW - Complete Role Mapping'!$B:$B,143)</f>
        <v>Kaye Javier</v>
      </c>
      <c r="C110" s="1531" t="str">
        <f>INDEX('REVIEW - Complete Role Mapping'!$C:$C,143)</f>
        <v>QA Analyst</v>
      </c>
      <c r="D110" s="1531" t="str">
        <f>INDEX('REVIEW - Complete Role Mapping'!$AK:$AK,143)</f>
        <v>Filled</v>
      </c>
      <c r="E110" s="1548" t="inlineStr">
        <is>
          <t>Filled</t>
        </is>
      </c>
      <c r="F110" s="1770">
        <f>INDEX('REVIEW - Complete Role Mapping'!$AA:$AA,143)</f>
        <v>214587.9</v>
      </c>
      <c r="G110" s="1770">
        <f>$F110*IFERROR(INDEX(Lists!$AD:$AD,MATCH($E110,Lists!$AC:$AC,0)),1)</f>
        <v>214587.9</v>
      </c>
    </row>
    <row r="111">
      <c r="B111" s="1531" t="str">
        <f>INDEX('REVIEW - Complete Role Mapping'!$B:$B,144)</f>
        <v>Kellie Gathergood</v>
      </c>
      <c r="C111" s="1531" t="str">
        <f>INDEX('REVIEW - Complete Role Mapping'!$C:$C,144)</f>
        <v>Lead Quality Assurance</v>
      </c>
      <c r="D111" s="1531" t="str">
        <f>INDEX('REVIEW - Complete Role Mapping'!$AK:$AK,144)</f>
        <v>Filled</v>
      </c>
      <c r="E111" s="1548" t="inlineStr">
        <is>
          <t>Filled</t>
        </is>
      </c>
      <c r="F111" s="1770">
        <f>INDEX('REVIEW - Complete Role Mapping'!$AA:$AA,144)</f>
        <v>257788.5</v>
      </c>
      <c r="G111" s="1770">
        <f>$F111*IFERROR(INDEX(Lists!$AD:$AD,MATCH($E111,Lists!$AC:$AC,0)),1)</f>
        <v>257788.5</v>
      </c>
    </row>
    <row r="112">
      <c r="B112" s="1531" t="str">
        <f>INDEX('REVIEW - Complete Role Mapping'!$B:$B,146)</f>
        <v>Kishore Ganesan</v>
      </c>
      <c r="C112" s="1531" t="str">
        <f>INDEX('REVIEW - Complete Role Mapping'!$C:$C,146)</f>
        <v>Intermediate Quality Assurance</v>
      </c>
      <c r="D112" s="1531" t="str">
        <f>INDEX('REVIEW - Complete Role Mapping'!$AK:$AK,146)</f>
        <v>Filled</v>
      </c>
      <c r="E112" s="1548" t="inlineStr">
        <is>
          <t>Filled</t>
        </is>
      </c>
      <c r="F112" s="1770">
        <f>INDEX('REVIEW - Complete Role Mapping'!$AA:$AA,146)</f>
        <v>202853.25</v>
      </c>
      <c r="G112" s="1770">
        <f>$F112*IFERROR(INDEX(Lists!$AD:$AD,MATCH($E112,Lists!$AC:$AC,0)),1)</f>
        <v>202853.25</v>
      </c>
    </row>
    <row r="113">
      <c r="B113" s="1531" t="str">
        <f>INDEX('REVIEW - Complete Role Mapping'!$B:$B,151)</f>
        <v>Megan Rodgers</v>
      </c>
      <c r="C113" s="1531" t="str">
        <f>INDEX('REVIEW - Complete Role Mapping'!$C:$C,151)</f>
        <v>Business Analyst</v>
      </c>
      <c r="D113" s="1531" t="str">
        <f>INDEX('REVIEW - Complete Role Mapping'!$AK:$AK,151)</f>
        <v>Filled</v>
      </c>
      <c r="E113" s="1548" t="inlineStr">
        <is>
          <t>Filled</t>
        </is>
      </c>
      <c r="F113" s="1770">
        <f>INDEX('REVIEW - Complete Role Mapping'!$AA:$AA,151)</f>
        <v>138702</v>
      </c>
      <c r="G113" s="1770">
        <f>$F113*IFERROR(INDEX(Lists!$AD:$AD,MATCH($E113,Lists!$AC:$AC,0)),1)</f>
        <v>138702</v>
      </c>
    </row>
    <row r="114">
      <c r="B114" s="1531" t="str">
        <f>INDEX('REVIEW - Complete Role Mapping'!$B:$B,153)</f>
        <v>Nimi Rose</v>
      </c>
      <c r="C114" s="1531" t="str">
        <f>INDEX('REVIEW - Complete Role Mapping'!$C:$C,153)</f>
        <v>Marketing Technology Lead</v>
      </c>
      <c r="D114" s="1531" t="str">
        <f>INDEX('REVIEW - Complete Role Mapping'!$AK:$AK,153)</f>
        <v>Filled</v>
      </c>
      <c r="E114" s="1548" t="inlineStr">
        <is>
          <t>Filled</t>
        </is>
      </c>
      <c r="F114" s="1770">
        <f>INDEX('REVIEW - Complete Role Mapping'!$AA:$AA,153)</f>
        <v>197993.85</v>
      </c>
      <c r="G114" s="1770">
        <f>$F114*IFERROR(INDEX(Lists!$AD:$AD,MATCH($E114,Lists!$AC:$AC,0)),1)</f>
        <v>197993.85</v>
      </c>
    </row>
    <row r="115">
      <c r="B115" s="1531" t="str">
        <f>INDEX('REVIEW - Complete Role Mapping'!$B:$B,164)</f>
        <v>Scott Cullen</v>
      </c>
      <c r="C115" s="1531" t="str">
        <f>INDEX('REVIEW - Complete Role Mapping'!$C:$C,164)</f>
        <v>Engineer, Dev Ops</v>
      </c>
      <c r="D115" s="1531" t="str">
        <f>INDEX('REVIEW - Complete Role Mapping'!$AK:$AK,164)</f>
        <v>Filled</v>
      </c>
      <c r="E115" s="1548" t="inlineStr">
        <is>
          <t>Filled</t>
        </is>
      </c>
      <c r="F115" s="1770">
        <f>INDEX('REVIEW - Complete Role Mapping'!$AA:$AA,164)</f>
        <v>220275</v>
      </c>
      <c r="G115" s="1770">
        <f>$F115*IFERROR(INDEX(Lists!$AD:$AD,MATCH($E115,Lists!$AC:$AC,0)),1)</f>
        <v>220275</v>
      </c>
    </row>
    <row r="116">
      <c r="B116" s="1531" t="str">
        <f>INDEX('REVIEW - Complete Role Mapping'!$B:$B,167)</f>
        <v>Shinal Chamberlain</v>
      </c>
      <c r="C116" s="1531" t="str">
        <f>INDEX('REVIEW - Complete Role Mapping'!$C:$C,167)</f>
        <v>Business Analyst</v>
      </c>
      <c r="D116" s="1531" t="str">
        <f>INDEX('REVIEW - Complete Role Mapping'!$AK:$AK,167)</f>
        <v>Filled</v>
      </c>
      <c r="E116" s="1548" t="inlineStr">
        <is>
          <t>Filled</t>
        </is>
      </c>
      <c r="F116" s="1770">
        <f>INDEX('REVIEW - Complete Role Mapping'!$AA:$AA,167)</f>
        <v>274311.472</v>
      </c>
      <c r="G116" s="1770">
        <f>$F116*IFERROR(INDEX(Lists!$AD:$AD,MATCH($E116,Lists!$AC:$AC,0)),1)</f>
        <v>274311.472</v>
      </c>
    </row>
    <row r="117">
      <c r="B117" s="1531" t="str">
        <f>INDEX('REVIEW - Complete Role Mapping'!$B:$B,188)</f>
        <v>Yash Thakkar</v>
      </c>
      <c r="C117" s="1531" t="str">
        <f>INDEX('REVIEW - Complete Role Mapping'!$C:$C,188)</f>
        <v>Martech Specialist</v>
      </c>
      <c r="D117" s="1531" t="str">
        <f>INDEX('REVIEW - Complete Role Mapping'!$AK:$AK,188)</f>
        <v>Filled</v>
      </c>
      <c r="E117" s="1548" t="inlineStr">
        <is>
          <t>Filled</t>
        </is>
      </c>
      <c r="F117" s="1770">
        <f>INDEX('REVIEW - Complete Role Mapping'!$AA:$AA,188)</f>
        <v>202853.25</v>
      </c>
      <c r="G117" s="1770">
        <f>$F117*IFERROR(INDEX(Lists!$AD:$AD,MATCH($E117,Lists!$AC:$AC,0)),1)</f>
        <v>202853.25</v>
      </c>
    </row>
    <row r="118">
      <c r="B118" s="1530" t="inlineStr">
        <is>
          <t>Head of Technology</t>
        </is>
      </c>
      <c r="C118" s="1530" t="str">
        <f>COUNTA($B$119:$B$120)&amp;IF(COUNTA($B$119:$B$120)=1," role"," roles")</f>
        <v>2 roles</v>
      </c>
      <c r="D118" s="1530" t="n"/>
      <c r="E118" s="1530" t="n"/>
      <c r="F118" s="1786">
        <f>SUM(F119:F120)</f>
        <v>536015.1</v>
      </c>
      <c r="G118" s="1786">
        <f>SUM(G119:G120)</f>
        <v>536015.1</v>
      </c>
    </row>
    <row r="119">
      <c r="B119" s="1531" t="str">
        <f>INDEX('REVIEW - Complete Role Mapping'!$B:$B,113)</f>
        <v>Andy Stewart</v>
      </c>
      <c r="C119" s="1531" t="str">
        <f>INDEX('REVIEW - Complete Role Mapping'!$C:$C,113)</f>
        <v>Head of Technology, Loyalty &amp; Martech</v>
      </c>
      <c r="D119" s="1531" t="str">
        <f>INDEX('REVIEW - Complete Role Mapping'!$AK:$AK,113)</f>
        <v>Filled</v>
      </c>
      <c r="E119" s="1548" t="inlineStr">
        <is>
          <t>Filled</t>
        </is>
      </c>
      <c r="F119" s="1770">
        <f>INDEX('REVIEW - Complete Role Mapping'!$AA:$AA,113)</f>
        <v>260204.85</v>
      </c>
      <c r="G119" s="1770">
        <f>$F119*IFERROR(INDEX(Lists!$AD:$AD,MATCH($E119,Lists!$AC:$AC,0)),1)</f>
        <v>260204.85</v>
      </c>
    </row>
    <row r="120">
      <c r="B120" s="1531" t="str">
        <f>INDEX('REVIEW - Complete Role Mapping'!$B:$B,168)</f>
        <v>Shona Paul</v>
      </c>
      <c r="C120" s="1531" t="str">
        <f>INDEX('REVIEW - Complete Role Mapping'!$C:$C,168)</f>
        <v>Head of Technology - Digital</v>
      </c>
      <c r="D120" s="1531" t="str">
        <f>INDEX('REVIEW - Complete Role Mapping'!$AK:$AK,168)</f>
        <v>Filled</v>
      </c>
      <c r="E120" s="1548" t="inlineStr">
        <is>
          <t>Filled</t>
        </is>
      </c>
      <c r="F120" s="1770">
        <f>INDEX('REVIEW - Complete Role Mapping'!$AA:$AA,168)</f>
        <v>275810.25</v>
      </c>
      <c r="G120" s="1770">
        <f>$F120*IFERROR(INDEX(Lists!$AD:$AD,MATCH($E120,Lists!$AC:$AC,0)),1)</f>
        <v>275810.25</v>
      </c>
    </row>
    <row r="121">
      <c r="B121" s="1530" t="inlineStr">
        <is>
          <t>Delivery Manager</t>
        </is>
      </c>
      <c r="C121" s="1530" t="str">
        <f>COUNTA($B$122:$B$123)&amp;IF(COUNTA($B$122:$B$123)=1," role"," roles")</f>
        <v>2 roles</v>
      </c>
      <c r="D121" s="1530" t="n"/>
      <c r="E121" s="1530" t="n"/>
      <c r="F121" s="1786">
        <f>SUM(F122:F123)</f>
        <v>420872.1</v>
      </c>
      <c r="G121" s="1786">
        <f>SUM(G122:G123)</f>
        <v>420872.1</v>
      </c>
    </row>
    <row r="122">
      <c r="B122" s="1531" t="str">
        <f>INDEX('REVIEW - Complete Role Mapping'!$B:$B,110)</f>
        <v>Adriel Jeyanandhan</v>
      </c>
      <c r="C122" s="1531" t="str">
        <f>INDEX('REVIEW - Complete Role Mapping'!$C:$C,110)</f>
        <v>Delivery Manager</v>
      </c>
      <c r="D122" s="1531" t="str">
        <f>INDEX('REVIEW - Complete Role Mapping'!$AK:$AK,110)</f>
        <v>Filled</v>
      </c>
      <c r="E122" s="1548" t="inlineStr">
        <is>
          <t>Filled</t>
        </is>
      </c>
      <c r="F122" s="1770">
        <f>INDEX('REVIEW - Complete Role Mapping'!$AA:$AA,110)</f>
        <v>218018.85</v>
      </c>
      <c r="G122" s="1770">
        <f>$F122*IFERROR(INDEX(Lists!$AD:$AD,MATCH($E122,Lists!$AC:$AC,0)),1)</f>
        <v>218018.85</v>
      </c>
    </row>
    <row r="123">
      <c r="B123" s="1531" t="str">
        <f>INDEX('REVIEW - Complete Role Mapping'!$B:$B,139)</f>
        <v>Jill Martin</v>
      </c>
      <c r="C123" s="1531" t="str">
        <f>INDEX('REVIEW - Complete Role Mapping'!$C:$C,139)</f>
        <v>Delivery Manager</v>
      </c>
      <c r="D123" s="1531" t="str">
        <f>INDEX('REVIEW - Complete Role Mapping'!$AK:$AK,139)</f>
        <v>Filled</v>
      </c>
      <c r="E123" s="1548" t="inlineStr">
        <is>
          <t>Filled</t>
        </is>
      </c>
      <c r="F123" s="1770">
        <f>INDEX('REVIEW - Complete Role Mapping'!$AA:$AA,139)</f>
        <v>202853.25</v>
      </c>
      <c r="G123" s="1770">
        <f>$F123*IFERROR(INDEX(Lists!$AD:$AD,MATCH($E123,Lists!$AC:$AC,0)),1)</f>
        <v>202853.25</v>
      </c>
    </row>
    <row r="124">
      <c r="B124" s="1530" t="inlineStr">
        <is>
          <t>Technology Manager</t>
        </is>
      </c>
      <c r="C124" s="1530" t="str">
        <f>COUNTA($B$125:$B$128)&amp;IF(COUNTA($B$125:$B$128)=1," role"," roles")</f>
        <v>4 roles</v>
      </c>
      <c r="D124" s="1530" t="n"/>
      <c r="E124" s="1530" t="n"/>
      <c r="F124" s="1786">
        <f>SUM(F125:F128)</f>
        <v>816085.638</v>
      </c>
      <c r="G124" s="1786">
        <f>SUM(G125:G128)</f>
        <v>816085.638</v>
      </c>
    </row>
    <row r="125">
      <c r="B125" s="1531" t="str">
        <f>INDEX('REVIEW - Complete Role Mapping'!$B:$B,147)</f>
        <v>Kris Hamilton</v>
      </c>
      <c r="C125" s="1531" t="str">
        <f>INDEX('REVIEW - Complete Role Mapping'!$C:$C,147)</f>
        <v>Technology Manager - Loyalty &amp; Martech</v>
      </c>
      <c r="D125" s="1531" t="str">
        <f>INDEX('REVIEW - Complete Role Mapping'!$AK:$AK,147)</f>
        <v>Filled</v>
      </c>
      <c r="E125" s="1548" t="inlineStr">
        <is>
          <t>Filled</t>
        </is>
      </c>
      <c r="F125" s="1770">
        <f>INDEX('REVIEW - Complete Role Mapping'!$AA:$AA,147)</f>
        <v>202853.25</v>
      </c>
      <c r="G125" s="1770">
        <f>$F125*IFERROR(INDEX(Lists!$AD:$AD,MATCH($E125,Lists!$AC:$AC,0)),1)</f>
        <v>202853.25</v>
      </c>
    </row>
    <row r="126">
      <c r="B126" s="1531" t="str">
        <f>INDEX('REVIEW - Complete Role Mapping'!$B:$B,152)</f>
        <v>Mitesh Shah</v>
      </c>
      <c r="C126" s="1531" t="str">
        <f>INDEX('REVIEW - Complete Role Mapping'!$C:$C,152)</f>
        <v>Technology Manager - Digital</v>
      </c>
      <c r="D126" s="1531" t="str">
        <f>INDEX('REVIEW - Complete Role Mapping'!$AK:$AK,152)</f>
        <v>Filled</v>
      </c>
      <c r="E126" s="1548" t="inlineStr">
        <is>
          <t>Filled</t>
        </is>
      </c>
      <c r="F126" s="1770">
        <f>INDEX('REVIEW - Complete Role Mapping'!$AA:$AA,152)</f>
        <v>223946.25</v>
      </c>
      <c r="G126" s="1770">
        <f>$F126*IFERROR(INDEX(Lists!$AD:$AD,MATCH($E126,Lists!$AC:$AC,0)),1)</f>
        <v>223946.25</v>
      </c>
    </row>
    <row r="127">
      <c r="B127" s="1531" t="str">
        <f>INDEX('REVIEW - Complete Role Mapping'!$B:$B,176)</f>
        <v>Vacant</v>
      </c>
      <c r="C127" s="1531" t="str">
        <f>INDEX('REVIEW - Complete Role Mapping'!$C:$C,176)</f>
        <v>Technology Manager, Engineering</v>
      </c>
      <c r="D127" s="1531" t="str">
        <f>INDEX('REVIEW - Complete Role Mapping'!$AK:$AK,176)</f>
        <v>Vacant</v>
      </c>
      <c r="E127" s="1548" t="inlineStr">
        <is>
          <t>Hire</t>
        </is>
      </c>
      <c r="F127" s="1770">
        <f>INDEX('REVIEW - Complete Role Mapping'!$AA:$AA,176)</f>
        <v>186432.888</v>
      </c>
      <c r="G127" s="1770">
        <f>$F127*IFERROR(INDEX(Lists!$AD:$AD,MATCH($E127,Lists!$AC:$AC,0)),1)</f>
        <v>186432.888</v>
      </c>
    </row>
    <row r="128">
      <c r="B128" s="1531" t="str">
        <f>INDEX('REVIEW - Complete Role Mapping'!$B:$B,189)</f>
        <v>Zoe Udy</v>
      </c>
      <c r="C128" s="1531" t="str">
        <f>INDEX('REVIEW - Complete Role Mapping'!$C:$C,189)</f>
        <v>Technology Manager - Data &amp; Engineering</v>
      </c>
      <c r="D128" s="1531" t="str">
        <f>INDEX('REVIEW - Complete Role Mapping'!$AK:$AK,189)</f>
        <v>Filled</v>
      </c>
      <c r="E128" s="1548" t="inlineStr">
        <is>
          <t>Filled</t>
        </is>
      </c>
      <c r="F128" s="1770">
        <f>INDEX('REVIEW - Complete Role Mapping'!$AA:$AA,189)</f>
        <v>202853.25</v>
      </c>
      <c r="G128" s="1770">
        <f>$F128*IFERROR(INDEX(Lists!$AD:$AD,MATCH($E128,Lists!$AC:$AC,0)),1)</f>
        <v>202853.25</v>
      </c>
    </row>
  </sheetData>
  <autoFilter ref="B24:G108">
    <sortState ref="B25:G108">
      <sortCondition ref="A25:A108" customList=""/>
    </sortState>
  </autoFilter>
  <dataValidations count="1">
    <dataValidation sqref="E35 E36 E37 E38 E39 E40 E41 E42 E43 E44 E45 E46 E47 E48 E50 E51 E52 E53 E54 E55 E56 E57 E58 E60 E61 E62 E63 E64 E65 E66 E67 E68 E70 E71 E73 E74 E75 E76 E77 E78 E79 E81 E82 E83 E84 E85 E86 E87 E88 E89 E90 E92 E93 E94 E95 E96 E98 E99 E100 E101 E102 E104 E105 E106 E107 E108 E109 E110 E111 E112 E113 E114 E115 E116 E117 E119 E120 E122 E123 E125 E126 E127 E128"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5.xml><?xml version="1.0" encoding="utf-8"?>
<worksheet xmlns="http://schemas.openxmlformats.org/spreadsheetml/2006/main">
  <sheetPr filterMode="0">
    <tabColor rgb="FFBF8F00"/>
    <outlinePr summaryBelow="1" summaryRight="1"/>
    <pageSetUpPr fitToPage="1"/>
  </sheetPr>
  <dimension ref="B2:Q61"/>
  <sheetViews>
    <sheetView showFormulas="0" showGridLines="0" showRowColHeaders="1" showZeros="1" rightToLeft="0" tabSelected="0" showOutlineSymbols="1" defaultGridColor="1" view="normal" topLeftCell="A13" colorId="64" zoomScale="100" zoomScaleNormal="100" zoomScalePageLayoutView="100" workbookViewId="0">
      <selection pane="topLeft" activeCell="A13" activeCellId="0" sqref="A13"/>
      <selection pane="topRight" activeCell="C13" activeCellId="0" sqref="C13"/>
      <selection pane="bottomLeft" activeCell="A7" activeCellId="0" sqref="A7"/>
      <selection pane="bottomRight" activeCell="B63" activeCellId="0" sqref="B63"/>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Enterprise Data - working copy</t>
        </is>
      </c>
    </row>
    <row r="3">
      <c r="B3" s="1525" t="inlineStr">
        <is>
          <t>Portfolio</t>
        </is>
      </c>
      <c r="C3" s="1526" t="inlineStr">
        <is>
          <t>Enterprise Data</t>
        </is>
      </c>
    </row>
    <row r="4" ht="19" customHeight="1" s="866">
      <c r="B4" s="1527" t="inlineStr">
        <is>
          <t>Enterprise Data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Data Platforms</t>
        </is>
      </c>
      <c r="C8" s="1531" t="str">
        <f>IFERROR(INDEX('1.3 Enterprise Data'!$C$25:$C$38,MATCH($B8,'1.3 Enterprise Data'!$B$25:$B$38,0)),"Not on the 1.x tab")</f>
        <v>Enterprise Data and Insights</v>
      </c>
      <c r="D8" s="1531" t="str">
        <f>IFERROR(IF(INDEX('1.3 Enterprise Data'!$D$25:$D$38,MATCH($B8,'1.3 Enterprise Data'!$B$25:$B$38,0))="","-",INDEX('1.3 Enterprise Data'!$D$25:$D$38,MATCH($B8,'1.3 Enterprise Data'!$B$25:$B$38,0))),"-")</f>
        <v>M</v>
      </c>
      <c r="E8" s="1783">
        <f>IFERROR(INDEX('0.3 Squad Archetypes'!$F$5:$F$23,MATCH($C8&amp;"|"&amp;$D8,'0.3 Squad Archetypes'!$A$5:$A$23,0)),"-")</f>
        <v>7.5</v>
      </c>
      <c r="F8" s="1770">
        <f>COUNTA($B$30:$B$38)</f>
        <v>9</v>
      </c>
      <c r="G8" s="1770">
        <f>COUNTIFS($D$30:$D$38,"Filled")</f>
        <v>3</v>
      </c>
      <c r="H8" s="1770">
        <f>COUNTIFS($D$30:$D$38,"Vacant")</f>
        <v>6</v>
      </c>
      <c r="I8" s="1770">
        <f>COUNTIFS($D$30:$D$38,"Vacant",$E$30:$E$38,"Hire")</f>
        <v>6</v>
      </c>
      <c r="J8" s="1770">
        <f>COUNTIFS($E$30:$E$38,"Offshore")</f>
        <v>0</v>
      </c>
      <c r="K8" s="1770">
        <f>COUNTIFS($E$30:$E$38,"Hold")</f>
        <v>0</v>
      </c>
      <c r="L8" s="1770">
        <f>$F8-$K8</f>
        <v>9</v>
      </c>
      <c r="M8" s="1769">
        <f>IFERROR(IF(INDEX('1.3 Enterprise Data'!$E$25:$E$38,MATCH($B8,'1.3 Enterprise Data'!$B$25:$B$38,0))="Offshore",INDEX('0.3 Squad Archetypes'!$H$5:$H$23,MATCH($C8&amp;"|"&amp;$D8,'0.3 Squad Archetypes'!$A$5:$A$23,0)),INDEX('0.3 Squad Archetypes'!$G$5:$G$23,MATCH($C8&amp;"|"&amp;$D8,'0.3 Squad Archetypes'!$A$5:$A$23,0))),"-")</f>
        <v>1.7</v>
      </c>
      <c r="N8" s="1769">
        <f>SUMIFS('REVIEW - Complete Role Mapping'!$AA$2:$AA$528,'REVIEW - Complete Role Mapping'!$AJ$2:$AJ$528,$C$3,'REVIEW - Complete Role Mapping'!$AT$2:$AT$528,$B8)/1000000</f>
        <v>1.786160296</v>
      </c>
      <c r="O8" s="1769">
        <f>IFERROR(ROUND($N8-$M8,6),"-")</f>
        <v>0.08616</v>
      </c>
      <c r="P8" s="1769">
        <f>SUM($G$30:$G$38)/1000000</f>
        <v>1.786160296</v>
      </c>
      <c r="Q8" s="1769">
        <f>IFERROR(ROUND($P8-$M8,6),"-")</f>
        <v>0.08616</v>
      </c>
    </row>
    <row r="9">
      <c r="B9" s="1531" t="inlineStr">
        <is>
          <t>Data Science</t>
        </is>
      </c>
      <c r="C9" s="1531" t="str">
        <f>IFERROR(INDEX('1.3 Enterprise Data'!$C$25:$C$38,MATCH($B9,'1.3 Enterprise Data'!$B$25:$B$38,0)),"Not on the 1.x tab")</f>
        <v>Enterprise Data and Insights</v>
      </c>
      <c r="D9" s="1531" t="str">
        <f>IFERROR(IF(INDEX('1.3 Enterprise Data'!$D$25:$D$38,MATCH($B9,'1.3 Enterprise Data'!$B$25:$B$38,0))="","-",INDEX('1.3 Enterprise Data'!$D$25:$D$38,MATCH($B9,'1.3 Enterprise Data'!$B$25:$B$38,0))),"-")</f>
        <v>S</v>
      </c>
      <c r="E9" s="1783">
        <f>IFERROR(INDEX('0.3 Squad Archetypes'!$F$5:$F$23,MATCH($C9&amp;"|"&amp;$D9,'0.3 Squad Archetypes'!$A$5:$A$23,0)),"-")</f>
        <v>4</v>
      </c>
      <c r="F9" s="1770">
        <f>COUNTA($B$40:$B$43)</f>
        <v>4</v>
      </c>
      <c r="G9" s="1770">
        <f>COUNTIFS($D$40:$D$43,"Filled")</f>
        <v>4</v>
      </c>
      <c r="H9" s="1770">
        <f>COUNTIFS($D$40:$D$43,"Vacant")</f>
        <v>0</v>
      </c>
      <c r="I9" s="1770">
        <f>COUNTIFS($D$40:$D$43,"Vacant",$E$40:$E$43,"Hire")</f>
        <v>0</v>
      </c>
      <c r="J9" s="1770">
        <f>COUNTIFS($E$40:$E$43,"Offshore")</f>
        <v>0</v>
      </c>
      <c r="K9" s="1770">
        <f>COUNTIFS($E$40:$E$43,"Hold")</f>
        <v>0</v>
      </c>
      <c r="L9" s="1770">
        <f>$F9-$K9</f>
        <v>4</v>
      </c>
      <c r="M9" s="1769">
        <f>IFERROR(IF(INDEX('1.3 Enterprise Data'!$E$25:$E$38,MATCH($B9,'1.3 Enterprise Data'!$B$25:$B$38,0))="Offshore",INDEX('0.3 Squad Archetypes'!$H$5:$H$23,MATCH($C9&amp;"|"&amp;$D9,'0.3 Squad Archetypes'!$A$5:$A$23,0)),INDEX('0.3 Squad Archetypes'!$G$5:$G$23,MATCH($C9&amp;"|"&amp;$D9,'0.3 Squad Archetypes'!$A$5:$A$23,0))),"-")</f>
        <v>0.9</v>
      </c>
      <c r="N9" s="1769">
        <f>SUMIFS('REVIEW - Complete Role Mapping'!$AA$2:$AA$528,'REVIEW - Complete Role Mapping'!$AJ$2:$AJ$528,$C$3,'REVIEW - Complete Role Mapping'!$AT$2:$AT$528,$B9)/1000000</f>
        <v>0.80639733</v>
      </c>
      <c r="O9" s="1769">
        <f>IFERROR(ROUND($N9-$M9,6),"-")</f>
        <v>-0.093603</v>
      </c>
      <c r="P9" s="1769">
        <f>SUM($G$40:$G$43)/1000000</f>
        <v>0.80639733</v>
      </c>
      <c r="Q9" s="1769">
        <f>IFERROR(ROUND($P9-$M9,6),"-")</f>
        <v>-0.093603</v>
      </c>
    </row>
    <row r="10">
      <c r="B10" s="1531" t="inlineStr">
        <is>
          <t>Reporting &amp; Analytics</t>
        </is>
      </c>
      <c r="C10" s="1531" t="str">
        <f>IFERROR(INDEX('1.3 Enterprise Data'!$C$25:$C$38,MATCH($B10,'1.3 Enterprise Data'!$B$25:$B$38,0)),"Not on the 1.x tab")</f>
        <v>Enterprise Data and Insights</v>
      </c>
      <c r="D10" s="1531" t="str">
        <f>IFERROR(IF(INDEX('1.3 Enterprise Data'!$D$25:$D$38,MATCH($B10,'1.3 Enterprise Data'!$B$25:$B$38,0))="","-",INDEX('1.3 Enterprise Data'!$D$25:$D$38,MATCH($B10,'1.3 Enterprise Data'!$B$25:$B$38,0))),"-")</f>
        <v>M</v>
      </c>
      <c r="E10" s="1783">
        <f>IFERROR(INDEX('0.3 Squad Archetypes'!$F$5:$F$23,MATCH($C10&amp;"|"&amp;$D10,'0.3 Squad Archetypes'!$A$5:$A$23,0)),"-")</f>
        <v>7.5</v>
      </c>
      <c r="F10" s="1770">
        <f>COUNTA($B$45:$B$56)</f>
        <v>12</v>
      </c>
      <c r="G10" s="1770">
        <f>COUNTIFS($D$45:$D$56,"Filled")</f>
        <v>9</v>
      </c>
      <c r="H10" s="1770">
        <f>COUNTIFS($D$45:$D$56,"Vacant")</f>
        <v>3</v>
      </c>
      <c r="I10" s="1770">
        <f>COUNTIFS($D$45:$D$56,"Vacant",$E$45:$E$56,"Hire")</f>
        <v>3</v>
      </c>
      <c r="J10" s="1770">
        <f>COUNTIFS($E$45:$E$56,"Offshore")</f>
        <v>0</v>
      </c>
      <c r="K10" s="1770">
        <f>COUNTIFS($E$45:$E$56,"Hold")</f>
        <v>0</v>
      </c>
      <c r="L10" s="1770">
        <f>$F10-$K10</f>
        <v>12</v>
      </c>
      <c r="M10" s="1769">
        <f>IFERROR(IF(INDEX('1.3 Enterprise Data'!$E$25:$E$38,MATCH($B10,'1.3 Enterprise Data'!$B$25:$B$38,0))="Offshore",INDEX('0.3 Squad Archetypes'!$H$5:$H$23,MATCH($C10&amp;"|"&amp;$D10,'0.3 Squad Archetypes'!$A$5:$A$23,0)),INDEX('0.3 Squad Archetypes'!$G$5:$G$23,MATCH($C10&amp;"|"&amp;$D10,'0.3 Squad Archetypes'!$A$5:$A$23,0))),"-")</f>
        <v>1.7</v>
      </c>
      <c r="N10" s="1769">
        <f>SUMIFS('REVIEW - Complete Role Mapping'!$AA$2:$AA$528,'REVIEW - Complete Role Mapping'!$AJ$2:$AJ$528,$C$3,'REVIEW - Complete Role Mapping'!$AT$2:$AT$528,$B10)/1000000</f>
        <v>2.7648117</v>
      </c>
      <c r="O10" s="1769">
        <f>IFERROR(ROUND($N10-$M10,6),"-")</f>
        <v>1.064812</v>
      </c>
      <c r="P10" s="1769">
        <f>SUM($G$45:$G$56)/1000000</f>
        <v>2.7648117</v>
      </c>
      <c r="Q10" s="1769">
        <f>IFERROR(ROUND($P10-$M10,6),"-")</f>
        <v>1.064812</v>
      </c>
    </row>
    <row r="11">
      <c r="B11" s="1535" t="inlineStr">
        <is>
          <t>Squads priced by an archetype total</t>
        </is>
      </c>
      <c r="C11" s="1535" t="n"/>
      <c r="D11" s="1535" t="n"/>
      <c r="E11" s="1784">
        <f>SUM(E8:E10)</f>
        <v>19</v>
      </c>
      <c r="F11" s="1772">
        <f>SUM(F8:F10)</f>
        <v>25</v>
      </c>
      <c r="G11" s="1772">
        <f>SUM(G8:G10)</f>
        <v>16</v>
      </c>
      <c r="H11" s="1772">
        <f>SUM(H8:H10)</f>
        <v>9</v>
      </c>
      <c r="I11" s="1772">
        <f>SUM(I8:I10)</f>
        <v>9</v>
      </c>
      <c r="J11" s="1772">
        <f>SUM(J8:J10)</f>
        <v>0</v>
      </c>
      <c r="K11" s="1772">
        <f>SUM(K8:K10)</f>
        <v>0</v>
      </c>
      <c r="L11" s="1772">
        <f>SUM(L8:L10)</f>
        <v>25</v>
      </c>
      <c r="M11" s="1771">
        <f>IF(COUNT(M8:M10)=3,SUM(M8:M10),"-")</f>
        <v>4.3</v>
      </c>
      <c r="N11" s="1771">
        <f>SUM(N8:N10)</f>
        <v>5.357369326</v>
      </c>
      <c r="O11" s="1771">
        <f>IF(ISNUMBER($M11),ROUND($N11-$M11,6),"-")</f>
        <v>1.057369</v>
      </c>
      <c r="P11" s="1771">
        <f>SUM(P8:P10)</f>
        <v>5.357369326</v>
      </c>
      <c r="Q11" s="1771">
        <f>IF(ISNUMBER($M11),ROUND($P11-$M11,6),"-")</f>
        <v>1.057369</v>
      </c>
    </row>
    <row r="12">
      <c r="B12" s="1530" t="inlineStr">
        <is>
          <t>Directly funded programmes and platforms</t>
        </is>
      </c>
      <c r="C12" s="1530" t="n"/>
      <c r="D12" s="1530" t="n"/>
      <c r="E12" s="1530" t="n"/>
      <c r="F12" s="1530" t="n"/>
      <c r="G12" s="1530" t="n"/>
      <c r="H12" s="1530" t="n"/>
      <c r="I12" s="1530" t="n"/>
      <c r="J12" s="1530" t="n"/>
      <c r="K12" s="1530" t="n"/>
      <c r="L12" s="1530" t="n"/>
      <c r="M12" s="1530" t="n"/>
      <c r="N12" s="1530" t="n"/>
      <c r="O12" s="1530" t="n"/>
      <c r="P12" s="1530" t="n"/>
      <c r="Q12" s="1530" t="n"/>
    </row>
    <row r="13">
      <c r="B13" s="1531" t="inlineStr">
        <is>
          <t>None</t>
        </is>
      </c>
      <c r="C13" s="1531" t="inlineStr">
        <is>
          <t>None - no directly funded programme here</t>
        </is>
      </c>
      <c r="D13" s="1539" t="str">
        <f>"-"</f>
        <v>-</v>
      </c>
      <c r="E13" s="1539" t="str">
        <f>"-"</f>
        <v>-</v>
      </c>
      <c r="F13" s="1539" t="str">
        <f>"-"</f>
        <v>-</v>
      </c>
      <c r="G13" s="1539" t="str">
        <f>"-"</f>
        <v>-</v>
      </c>
      <c r="H13" s="1539" t="str">
        <f>"-"</f>
        <v>-</v>
      </c>
      <c r="I13" s="1539" t="str">
        <f>"-"</f>
        <v>-</v>
      </c>
      <c r="J13" s="1539" t="str">
        <f>"-"</f>
        <v>-</v>
      </c>
      <c r="K13" s="1539" t="str">
        <f>"-"</f>
        <v>-</v>
      </c>
      <c r="L13" s="1539" t="str">
        <f>"-"</f>
        <v>-</v>
      </c>
      <c r="M13" s="1539" t="str">
        <f>"-"</f>
        <v>-</v>
      </c>
      <c r="N13" s="1539" t="str">
        <f>"-"</f>
        <v>-</v>
      </c>
      <c r="O13" s="1539" t="str">
        <f>"-"</f>
        <v>-</v>
      </c>
      <c r="P13" s="1539" t="str">
        <f>"-"</f>
        <v>-</v>
      </c>
      <c r="Q13" s="1539" t="str">
        <f>"-"</f>
        <v>-</v>
      </c>
    </row>
    <row r="14">
      <c r="B14" s="1535" t="inlineStr">
        <is>
          <t>Directly funded programmes and platforms total</t>
        </is>
      </c>
      <c r="C14" s="1535" t="n"/>
      <c r="D14" s="1535" t="n"/>
      <c r="E14" s="1784">
        <f>SUM(E13:E13)</f>
        <v>0</v>
      </c>
      <c r="F14" s="1772">
        <f>SUM(F13:F13)</f>
        <v>0</v>
      </c>
      <c r="G14" s="1772">
        <f>SUM(G13:G13)</f>
        <v>0</v>
      </c>
      <c r="H14" s="1772">
        <f>SUM(H13:H13)</f>
        <v>0</v>
      </c>
      <c r="I14" s="1772">
        <f>SUM(I13:I13)</f>
        <v>0</v>
      </c>
      <c r="J14" s="1772">
        <f>SUM(J13:J13)</f>
        <v>0</v>
      </c>
      <c r="K14" s="1772">
        <f>SUM(K13:K13)</f>
        <v>0</v>
      </c>
      <c r="L14" s="1772">
        <f>SUM(L13:L13)</f>
        <v>0</v>
      </c>
      <c r="M14" s="1771" t="str">
        <f>IF(COUNT(M13:M13)=1,SUM(M13:M13),"-")</f>
        <v>-</v>
      </c>
      <c r="N14" s="1771">
        <f>SUM(N13:N13)</f>
        <v>0</v>
      </c>
      <c r="O14" s="1771" t="str">
        <f>IF(ISNUMBER($M14),ROUND($N14-$M14,6),"-")</f>
        <v>-</v>
      </c>
      <c r="P14" s="1771">
        <f>SUM(P13:P13)</f>
        <v>0</v>
      </c>
      <c r="Q14" s="1771" t="str">
        <f>IF(ISNUMBER($M14),ROUND($P14-$M14,6),"-")</f>
        <v>-</v>
      </c>
    </row>
    <row r="15">
      <c r="B15" s="1530" t="inlineStr">
        <is>
          <t>Groups with no archetype and no funded figure</t>
        </is>
      </c>
      <c r="C15" s="1530" t="n"/>
      <c r="D15" s="1530" t="n"/>
      <c r="E15" s="1530" t="n"/>
      <c r="F15" s="1530" t="n"/>
      <c r="G15" s="1530" t="n"/>
      <c r="H15" s="1530" t="n"/>
      <c r="I15" s="1530" t="n"/>
      <c r="J15" s="1530" t="n"/>
      <c r="K15" s="1530" t="n"/>
      <c r="L15" s="1530" t="n"/>
      <c r="M15" s="1530" t="n"/>
      <c r="N15" s="1530" t="n"/>
      <c r="O15" s="1530" t="n"/>
      <c r="P15" s="1530" t="n"/>
      <c r="Q15" s="1530" t="n"/>
    </row>
    <row r="16">
      <c r="B16" s="1531" t="inlineStr">
        <is>
          <t>None</t>
        </is>
      </c>
      <c r="C16" s="1531" t="inlineStr">
        <is>
          <t>None - every group here has a figure to compare</t>
        </is>
      </c>
      <c r="D16" s="1539" t="str">
        <f>"-"</f>
        <v>-</v>
      </c>
      <c r="E16" s="1539" t="str">
        <f>"-"</f>
        <v>-</v>
      </c>
      <c r="F16" s="1539" t="str">
        <f>"-"</f>
        <v>-</v>
      </c>
      <c r="G16" s="1539" t="str">
        <f>"-"</f>
        <v>-</v>
      </c>
      <c r="H16" s="1539" t="str">
        <f>"-"</f>
        <v>-</v>
      </c>
      <c r="I16" s="1539" t="str">
        <f>"-"</f>
        <v>-</v>
      </c>
      <c r="J16" s="1539" t="str">
        <f>"-"</f>
        <v>-</v>
      </c>
      <c r="K16" s="1539" t="str">
        <f>"-"</f>
        <v>-</v>
      </c>
      <c r="L16" s="1539" t="str">
        <f>"-"</f>
        <v>-</v>
      </c>
      <c r="M16" s="1539" t="str">
        <f>"-"</f>
        <v>-</v>
      </c>
      <c r="N16" s="1539" t="str">
        <f>"-"</f>
        <v>-</v>
      </c>
      <c r="O16" s="1539" t="str">
        <f>"-"</f>
        <v>-</v>
      </c>
      <c r="P16" s="1539" t="str">
        <f>"-"</f>
        <v>-</v>
      </c>
      <c r="Q16" s="1539" t="str">
        <f>"-"</f>
        <v>-</v>
      </c>
    </row>
    <row r="17">
      <c r="B17" s="1535" t="inlineStr">
        <is>
          <t>Groups with no archetype and no funded figure total</t>
        </is>
      </c>
      <c r="C17" s="1535" t="n"/>
      <c r="D17" s="1535" t="n"/>
      <c r="E17" s="1784">
        <f>SUM(E16:E16)</f>
        <v>0</v>
      </c>
      <c r="F17" s="1772">
        <f>SUM(F16:F16)</f>
        <v>0</v>
      </c>
      <c r="G17" s="1772">
        <f>SUM(G16:G16)</f>
        <v>0</v>
      </c>
      <c r="H17" s="1772">
        <f>SUM(H16:H16)</f>
        <v>0</v>
      </c>
      <c r="I17" s="1772">
        <f>SUM(I16:I16)</f>
        <v>0</v>
      </c>
      <c r="J17" s="1772">
        <f>SUM(J16:J16)</f>
        <v>0</v>
      </c>
      <c r="K17" s="1772">
        <f>SUM(K16:K16)</f>
        <v>0</v>
      </c>
      <c r="L17" s="1772">
        <f>SUM(L16:L16)</f>
        <v>0</v>
      </c>
      <c r="M17" s="1771" t="str">
        <f>IF(COUNT(M16:M16)=1,SUM(M16:M16),"-")</f>
        <v>-</v>
      </c>
      <c r="N17" s="1771">
        <f>SUM(N16:N16)</f>
        <v>0</v>
      </c>
      <c r="O17" s="1771" t="str">
        <f>IF(ISNUMBER($M17),ROUND($N17-$M17,6),"-")</f>
        <v>-</v>
      </c>
      <c r="P17" s="1771">
        <f>SUM(P16:P16)</f>
        <v>0</v>
      </c>
      <c r="Q17" s="1771" t="str">
        <f>IF(ISNUMBER($M17),ROUND($P17-$M17,6),"-")</f>
        <v>-</v>
      </c>
    </row>
    <row r="18">
      <c r="B18" s="1530" t="inlineStr">
        <is>
          <t>Overhead roles</t>
        </is>
      </c>
      <c r="C18" s="1530" t="n"/>
      <c r="D18" s="1530" t="n"/>
      <c r="E18" s="1530" t="n"/>
      <c r="F18" s="1530" t="n"/>
      <c r="G18" s="1530" t="n"/>
      <c r="H18" s="1530" t="n"/>
      <c r="I18" s="1530" t="n"/>
      <c r="J18" s="1530" t="n"/>
      <c r="K18" s="1530" t="n"/>
      <c r="L18" s="1530" t="n"/>
      <c r="M18" s="1530" t="n"/>
      <c r="N18" s="1530" t="n"/>
      <c r="O18" s="1530" t="n"/>
      <c r="P18" s="1530" t="n"/>
      <c r="Q18" s="1530" t="n"/>
    </row>
    <row r="19">
      <c r="B19" s="1531" t="inlineStr">
        <is>
          <t>Head of Technology</t>
        </is>
      </c>
      <c r="C19" s="1531" t="str">
        <f>"-"</f>
        <v>-</v>
      </c>
      <c r="D19" s="1531" t="str">
        <f>"-"</f>
        <v>-</v>
      </c>
      <c r="E19" s="1540" t="str">
        <f>"-"</f>
        <v>-</v>
      </c>
      <c r="F19" s="1770">
        <f>COUNTA($B$58:$B$58)</f>
        <v>1</v>
      </c>
      <c r="G19" s="1770">
        <f>COUNTIFS($D$58:$D$58,"Filled")</f>
        <v>1</v>
      </c>
      <c r="H19" s="1770">
        <f>COUNTIFS($D$58:$D$58,"Vacant")</f>
        <v>0</v>
      </c>
      <c r="I19" s="1770">
        <f>COUNTIFS($D$58:$D$58,"Vacant",$E$58:$E$58,"Hire")</f>
        <v>0</v>
      </c>
      <c r="J19" s="1770">
        <f>COUNTIFS($E$58:$E$58,"Offshore")</f>
        <v>0</v>
      </c>
      <c r="K19" s="1770">
        <f>COUNTIFS($E$58:$E$58,"Hold")</f>
        <v>0</v>
      </c>
      <c r="L19" s="1770">
        <f>$F19-$K19</f>
        <v>1</v>
      </c>
      <c r="M19" s="1540" t="str">
        <f>"-"</f>
        <v>-</v>
      </c>
      <c r="N19" s="1769">
        <f>SUMIFS('REVIEW - Complete Role Mapping'!$AA$2:$AA$528,'REVIEW - Complete Role Mapping'!$AJ$2:$AJ$528,$C$3,'REVIEW - Complete Role Mapping'!$AT$2:$AT$528,$B19)/1000000</f>
        <v>0.4097557</v>
      </c>
      <c r="O19" s="1540" t="str">
        <f>"-"</f>
        <v>-</v>
      </c>
      <c r="P19" s="1769">
        <f>SUM($G$58:$G$58)/1000000</f>
        <v>0.4097557</v>
      </c>
      <c r="Q19" s="1540" t="str">
        <f>"-"</f>
        <v>-</v>
      </c>
    </row>
    <row r="20">
      <c r="B20" s="1531" t="inlineStr">
        <is>
          <t>Technology Manager</t>
        </is>
      </c>
      <c r="C20" s="1531" t="str">
        <f>"-"</f>
        <v>-</v>
      </c>
      <c r="D20" s="1531" t="str">
        <f>"-"</f>
        <v>-</v>
      </c>
      <c r="E20" s="1540" t="str">
        <f>"-"</f>
        <v>-</v>
      </c>
      <c r="F20" s="1770">
        <f>COUNTA($B$60:$B$61)</f>
        <v>2</v>
      </c>
      <c r="G20" s="1770">
        <f>COUNTIFS($D$60:$D$61,"Filled")</f>
        <v>2</v>
      </c>
      <c r="H20" s="1770">
        <f>COUNTIFS($D$60:$D$61,"Vacant")</f>
        <v>0</v>
      </c>
      <c r="I20" s="1770">
        <f>COUNTIFS($D$60:$D$61,"Vacant",$E$60:$E$61,"Hire")</f>
        <v>0</v>
      </c>
      <c r="J20" s="1770">
        <f>COUNTIFS($E$60:$E$61,"Offshore")</f>
        <v>0</v>
      </c>
      <c r="K20" s="1770">
        <f>COUNTIFS($E$60:$E$61,"Hold")</f>
        <v>0</v>
      </c>
      <c r="L20" s="1770">
        <f>$F20-$K20</f>
        <v>2</v>
      </c>
      <c r="M20" s="1540" t="str">
        <f>"-"</f>
        <v>-</v>
      </c>
      <c r="N20" s="1769">
        <f>SUMIFS('REVIEW - Complete Role Mapping'!$AA$2:$AA$528,'REVIEW - Complete Role Mapping'!$AJ$2:$AJ$528,$C$3,'REVIEW - Complete Role Mapping'!$AT$2:$AT$528,$B20)/1000000</f>
        <v>0.65127875</v>
      </c>
      <c r="O20" s="1540" t="str">
        <f>"-"</f>
        <v>-</v>
      </c>
      <c r="P20" s="1769">
        <f>SUM($G$60:$G$61)/1000000</f>
        <v>0.65127875</v>
      </c>
      <c r="Q20" s="1540" t="str">
        <f>"-"</f>
        <v>-</v>
      </c>
    </row>
    <row r="21">
      <c r="B21" s="1535" t="inlineStr">
        <is>
          <t>Overhead roles total</t>
        </is>
      </c>
      <c r="C21" s="1535" t="n"/>
      <c r="D21" s="1535" t="n"/>
      <c r="E21" s="1784">
        <f>SUM(E19:E20)</f>
        <v>0</v>
      </c>
      <c r="F21" s="1772">
        <f>SUM(F19:F20)</f>
        <v>3</v>
      </c>
      <c r="G21" s="1772">
        <f>SUM(G19:G20)</f>
        <v>3</v>
      </c>
      <c r="H21" s="1772">
        <f>SUM(H19:H20)</f>
        <v>0</v>
      </c>
      <c r="I21" s="1772">
        <f>SUM(I19:I20)</f>
        <v>0</v>
      </c>
      <c r="J21" s="1772">
        <f>SUM(J19:J20)</f>
        <v>0</v>
      </c>
      <c r="K21" s="1772">
        <f>SUM(K19:K20)</f>
        <v>0</v>
      </c>
      <c r="L21" s="1772">
        <f>SUM(L19:L20)</f>
        <v>3</v>
      </c>
      <c r="M21" s="1771" t="str">
        <f>IF(COUNT(M19:M20)=2,SUM(M19:M20),"-")</f>
        <v>-</v>
      </c>
      <c r="N21" s="1771">
        <f>SUM(N19:N20)</f>
        <v>1.06103445</v>
      </c>
      <c r="O21" s="1771" t="str">
        <f>IF(ISNUMBER($M21),ROUND($N21-$M21,6),"-")</f>
        <v>-</v>
      </c>
      <c r="P21" s="1771">
        <f>SUM(P19:P20)</f>
        <v>1.06103445</v>
      </c>
      <c r="Q21" s="1771" t="str">
        <f>IF(ISNUMBER($M21),ROUND($P21-$M21,6),"-")</f>
        <v>-</v>
      </c>
    </row>
    <row r="22">
      <c r="B22" s="1541" t="inlineStr">
        <is>
          <t>Total portfolio</t>
        </is>
      </c>
      <c r="C22" s="1541" t="n"/>
      <c r="D22" s="1541" t="n"/>
      <c r="E22" s="1785">
        <f>N(E11)+N(E14)+N(E17)+N(E21)</f>
        <v>19</v>
      </c>
      <c r="F22" s="1774">
        <f>N(F11)+N(F14)+N(F17)+N(F21)</f>
        <v>28</v>
      </c>
      <c r="G22" s="1774">
        <f>N(G11)+N(G14)+N(G17)+N(G21)</f>
        <v>19</v>
      </c>
      <c r="H22" s="1774">
        <f>N(H11)+N(H14)+N(H17)+N(H21)</f>
        <v>9</v>
      </c>
      <c r="I22" s="1774">
        <f>N(I11)+N(I14)+N(I17)+N(I21)</f>
        <v>9</v>
      </c>
      <c r="J22" s="1774">
        <f>N(J11)+N(J14)+N(J17)+N(J21)</f>
        <v>0</v>
      </c>
      <c r="K22" s="1774">
        <f>N(K11)+N(K14)+N(K17)+N(K21)</f>
        <v>0</v>
      </c>
      <c r="L22" s="1774">
        <f>N(L11)+N(L14)+N(L17)+N(L21)</f>
        <v>28</v>
      </c>
      <c r="M22" s="1773" t="str">
        <f>"-"</f>
        <v>-</v>
      </c>
      <c r="N22" s="1773">
        <f>N(N11)+N(N14)+N(N17)+N(N21)</f>
        <v>6.418403776</v>
      </c>
      <c r="O22" s="1773" t="str">
        <f>"-"</f>
        <v>-</v>
      </c>
      <c r="P22" s="1773">
        <f>N(P11)+N(P14)+N(P17)+N(P21)</f>
        <v>6.418403776</v>
      </c>
      <c r="Q22" s="1773" t="str">
        <f>"-"</f>
        <v>-</v>
      </c>
    </row>
    <row r="24">
      <c r="B24" s="1526" t="inlineStr">
        <is>
          <t>Control - roles against the ledger, must be 0</t>
        </is>
      </c>
      <c r="F24" s="1778">
        <f>$F$22-COUNTIFS('REVIEW - Complete Role Mapping'!$AJ$2:$AJ$528,$C$3)</f>
        <v>0</v>
      </c>
    </row>
    <row r="25">
      <c r="B25" s="1526" t="inlineStr">
        <is>
          <t>Control - cost against the ledger ($m), must be 0</t>
        </is>
      </c>
      <c r="N25" s="1779">
        <f>ROUND($N$22-SUMIFS('REVIEW - Complete Role Mapping'!$AA$2:$AA$528,'REVIEW - Complete Role Mapping'!$AJ$2:$AJ$528,$C$3)/1000000,6)</f>
        <v>0</v>
      </c>
    </row>
    <row r="27" ht="19" customHeight="1" s="866">
      <c r="B27" s="1527" t="inlineStr">
        <is>
          <t>Enterprise Data FTE</t>
        </is>
      </c>
      <c r="C27" s="1528" t="n"/>
      <c r="D27" s="1528" t="n"/>
      <c r="E27" s="1528" t="n"/>
      <c r="F27" s="1528" t="n"/>
      <c r="G27" s="1528" t="n"/>
    </row>
    <row r="28" ht="34" customHeight="1" s="866">
      <c r="B28" s="1529" t="inlineStr">
        <is>
          <t>Name</t>
        </is>
      </c>
      <c r="C28" s="1529" t="inlineStr">
        <is>
          <t>Role</t>
        </is>
      </c>
      <c r="D28" s="1529" t="inlineStr">
        <is>
          <t>Status</t>
        </is>
      </c>
      <c r="E28" s="1529" t="inlineStr">
        <is>
          <t>Vacancy lever</t>
        </is>
      </c>
      <c r="F28" s="1529" t="inlineStr">
        <is>
          <t>Role cost ($)</t>
        </is>
      </c>
      <c r="G28" s="1529" t="inlineStr">
        <is>
          <t>Cost after decision ($)</t>
        </is>
      </c>
    </row>
    <row r="29">
      <c r="B29" s="1530" t="inlineStr">
        <is>
          <t>Data Platforms</t>
        </is>
      </c>
      <c r="C29" s="1530" t="str">
        <f>COUNTA($B$30:$B$38)&amp;IF(COUNTA($B$30:$B$38)=1," role"," roles")</f>
        <v>9 roles</v>
      </c>
      <c r="D29" s="1530" t="n"/>
      <c r="E29" s="1530" t="n"/>
      <c r="F29" s="1786">
        <f>SUM(F30:F38)</f>
        <v>1786160.296</v>
      </c>
      <c r="G29" s="1786">
        <f>SUM(G30:G38)</f>
        <v>1786160.296</v>
      </c>
    </row>
    <row r="30">
      <c r="B30" s="1531" t="str">
        <f>INDEX('REVIEW - Complete Role Mapping'!$B:$B,284)</f>
        <v>Dinesh Chandrasekaran</v>
      </c>
      <c r="C30" s="1531" t="str">
        <f>INDEX('REVIEW - Complete Role Mapping'!$C:$C,284)</f>
        <v>Lead Engineer (Snowflake)</v>
      </c>
      <c r="D30" s="1531" t="str">
        <f>INDEX('REVIEW - Complete Role Mapping'!$AK:$AK,284)</f>
        <v>Filled</v>
      </c>
      <c r="E30" s="1548" t="inlineStr">
        <is>
          <t>Filled</t>
        </is>
      </c>
      <c r="F30" s="1770">
        <f>INDEX('REVIEW - Complete Role Mapping'!$AA:$AA,284)</f>
        <v>243984.6</v>
      </c>
      <c r="G30" s="1770">
        <f>$F30*IFERROR(INDEX(Lists!$AD:$AD,MATCH($E30,Lists!$AC:$AC,0)),1)</f>
        <v>243984.6</v>
      </c>
    </row>
    <row r="31">
      <c r="B31" s="1531" t="str">
        <f>INDEX('REVIEW - Complete Role Mapping'!$B:$B,307)</f>
        <v>Roozbeh Shahbazirad</v>
      </c>
      <c r="C31" s="1531" t="str">
        <f>INDEX('REVIEW - Complete Role Mapping'!$C:$C,307)</f>
        <v>Lead Engineer</v>
      </c>
      <c r="D31" s="1531" t="str">
        <f>INDEX('REVIEW - Complete Role Mapping'!$AK:$AK,307)</f>
        <v>Filled</v>
      </c>
      <c r="E31" s="1548" t="inlineStr">
        <is>
          <t>Filled</t>
        </is>
      </c>
      <c r="F31" s="1770">
        <f>INDEX('REVIEW - Complete Role Mapping'!$AA:$AA,307)</f>
        <v>204006.636</v>
      </c>
      <c r="G31" s="1770">
        <f>$F31*IFERROR(INDEX(Lists!$AD:$AD,MATCH($E31,Lists!$AC:$AC,0)),1)</f>
        <v>204006.636</v>
      </c>
    </row>
    <row r="32">
      <c r="B32" s="1531" t="str">
        <f>INDEX('REVIEW - Complete Role Mapping'!$B:$B,312)</f>
        <v>Tim Snedden</v>
      </c>
      <c r="C32" s="1531" t="str">
        <f>INDEX('REVIEW - Complete Role Mapping'!$C:$C,312)</f>
        <v>Delivery Lead</v>
      </c>
      <c r="D32" s="1531" t="str">
        <f>INDEX('REVIEW - Complete Role Mapping'!$AK:$AK,312)</f>
        <v>Filled</v>
      </c>
      <c r="E32" s="1548" t="inlineStr">
        <is>
          <t>Filled</t>
        </is>
      </c>
      <c r="F32" s="1770">
        <f>INDEX('REVIEW - Complete Role Mapping'!$AA:$AA,312)</f>
        <v>185776.56</v>
      </c>
      <c r="G32" s="1770">
        <f>$F32*IFERROR(INDEX(Lists!$AD:$AD,MATCH($E32,Lists!$AC:$AC,0)),1)</f>
        <v>185776.56</v>
      </c>
    </row>
    <row r="33">
      <c r="B33" s="1531" t="str">
        <f>INDEX('REVIEW - Complete Role Mapping'!$B:$B,314)</f>
        <v>Vacant</v>
      </c>
      <c r="C33" s="1531" t="str">
        <f>INDEX('REVIEW - Complete Role Mapping'!$C:$C,314)</f>
        <v>Engineer Data  </v>
      </c>
      <c r="D33" s="1531" t="str">
        <f>INDEX('REVIEW - Complete Role Mapping'!$AK:$AK,314)</f>
        <v>Vacant</v>
      </c>
      <c r="E33" s="1548" t="inlineStr">
        <is>
          <t>Hire</t>
        </is>
      </c>
      <c r="F33" s="1770">
        <f>INDEX('REVIEW - Complete Role Mapping'!$AA:$AA,314)</f>
        <v>202853.25</v>
      </c>
      <c r="G33" s="1770">
        <f>$F33*IFERROR(INDEX(Lists!$AD:$AD,MATCH($E33,Lists!$AC:$AC,0)),1)</f>
        <v>202853.25</v>
      </c>
    </row>
    <row r="34">
      <c r="B34" s="1531" t="str">
        <f>INDEX('REVIEW - Complete Role Mapping'!$B:$B,315)</f>
        <v>Vacant</v>
      </c>
      <c r="C34" s="1531" t="str">
        <f>INDEX('REVIEW - Complete Role Mapping'!$C:$C,315)</f>
        <v>Quality Assurance</v>
      </c>
      <c r="D34" s="1531" t="str">
        <f>INDEX('REVIEW - Complete Role Mapping'!$AK:$AK,315)</f>
        <v>Vacant</v>
      </c>
      <c r="E34" s="1548" t="inlineStr">
        <is>
          <t>Hire</t>
        </is>
      </c>
      <c r="F34" s="1770">
        <f>INDEX('REVIEW - Complete Role Mapping'!$AA:$AA,315)</f>
        <v>170489.75</v>
      </c>
      <c r="G34" s="1770">
        <f>$F34*IFERROR(INDEX(Lists!$AD:$AD,MATCH($E34,Lists!$AC:$AC,0)),1)</f>
        <v>170489.75</v>
      </c>
    </row>
    <row r="35">
      <c r="B35" s="1531" t="str">
        <f>INDEX('REVIEW - Complete Role Mapping'!$B:$B,316)</f>
        <v>Vacant</v>
      </c>
      <c r="C35" s="1531" t="str">
        <f>INDEX('REVIEW - Complete Role Mapping'!$C:$C,316)</f>
        <v>Engineer - DevOps</v>
      </c>
      <c r="D35" s="1531" t="str">
        <f>INDEX('REVIEW - Complete Role Mapping'!$AK:$AK,316)</f>
        <v>Vacant</v>
      </c>
      <c r="E35" s="1548" t="inlineStr">
        <is>
          <t>Hire</t>
        </is>
      </c>
      <c r="F35" s="1770">
        <f>INDEX('REVIEW - Complete Role Mapping'!$AA:$AA,316)</f>
        <v>202853.25</v>
      </c>
      <c r="G35" s="1770">
        <f>$F35*IFERROR(INDEX(Lists!$AD:$AD,MATCH($E35,Lists!$AC:$AC,0)),1)</f>
        <v>202853.25</v>
      </c>
    </row>
    <row r="36">
      <c r="B36" s="1531" t="str">
        <f>INDEX('REVIEW - Complete Role Mapping'!$B:$B,317)</f>
        <v>Vacant</v>
      </c>
      <c r="C36" s="1531" t="str">
        <f>INDEX('REVIEW - Complete Role Mapping'!$C:$C,317)</f>
        <v>Business Analyst</v>
      </c>
      <c r="D36" s="1531" t="str">
        <f>INDEX('REVIEW - Complete Role Mapping'!$AK:$AK,317)</f>
        <v>Vacant</v>
      </c>
      <c r="E36" s="1548" t="inlineStr">
        <is>
          <t>Hire</t>
        </is>
      </c>
      <c r="F36" s="1770">
        <f>INDEX('REVIEW - Complete Role Mapping'!$AA:$AA,317)</f>
        <v>202853.25</v>
      </c>
      <c r="G36" s="1770">
        <f>$F36*IFERROR(INDEX(Lists!$AD:$AD,MATCH($E36,Lists!$AC:$AC,0)),1)</f>
        <v>202853.25</v>
      </c>
    </row>
    <row r="37">
      <c r="B37" s="1531" t="str">
        <f>INDEX('REVIEW - Complete Role Mapping'!$B:$B,319)</f>
        <v>Vacant</v>
      </c>
      <c r="C37" s="1531" t="str">
        <f>INDEX('REVIEW - Complete Role Mapping'!$C:$C,319)</f>
        <v>Engineer - Data</v>
      </c>
      <c r="D37" s="1531" t="str">
        <f>INDEX('REVIEW - Complete Role Mapping'!$AK:$AK,319)</f>
        <v>Vacant</v>
      </c>
      <c r="E37" s="1548" t="inlineStr">
        <is>
          <t>Hire</t>
        </is>
      </c>
      <c r="F37" s="1770">
        <f>INDEX('REVIEW - Complete Role Mapping'!$AA:$AA,319)</f>
        <v>202853.25</v>
      </c>
      <c r="G37" s="1770">
        <f>$F37*IFERROR(INDEX(Lists!$AD:$AD,MATCH($E37,Lists!$AC:$AC,0)),1)</f>
        <v>202853.25</v>
      </c>
    </row>
    <row r="38">
      <c r="B38" s="1531" t="str">
        <f>INDEX('REVIEW - Complete Role Mapping'!$B:$B,320)</f>
        <v>Vacant</v>
      </c>
      <c r="C38" s="1531" t="str">
        <f>INDEX('REVIEW - Complete Role Mapping'!$C:$C,320)</f>
        <v>Quality Assurance</v>
      </c>
      <c r="D38" s="1531" t="str">
        <f>INDEX('REVIEW - Complete Role Mapping'!$AK:$AK,320)</f>
        <v>Vacant</v>
      </c>
      <c r="E38" s="1548" t="inlineStr">
        <is>
          <t>Hire</t>
        </is>
      </c>
      <c r="F38" s="1770">
        <f>INDEX('REVIEW - Complete Role Mapping'!$AA:$AA,320)</f>
        <v>170489.75</v>
      </c>
      <c r="G38" s="1770">
        <f>$F38*IFERROR(INDEX(Lists!$AD:$AD,MATCH($E38,Lists!$AC:$AC,0)),1)</f>
        <v>170489.75</v>
      </c>
    </row>
    <row r="39">
      <c r="B39" s="1530" t="inlineStr">
        <is>
          <t>Data Science</t>
        </is>
      </c>
      <c r="C39" s="1530" t="str">
        <f>COUNTA($B$40:$B$43)&amp;IF(COUNTA($B$40:$B$43)=1," role"," roles")</f>
        <v>4 roles</v>
      </c>
      <c r="D39" s="1530" t="n"/>
      <c r="E39" s="1530" t="n"/>
      <c r="F39" s="1786">
        <f>SUM(F40:F43)</f>
        <v>806397.33</v>
      </c>
      <c r="G39" s="1786">
        <f>SUM(G40:G43)</f>
        <v>806397.33</v>
      </c>
    </row>
    <row r="40">
      <c r="B40" s="1531" t="str">
        <f>INDEX('REVIEW - Complete Role Mapping'!$B:$B,281)</f>
        <v>Carol Kuang</v>
      </c>
      <c r="C40" s="1531" t="str">
        <f>INDEX('REVIEW - Complete Role Mapping'!$C:$C,281)</f>
        <v>Senior Data Scientist</v>
      </c>
      <c r="D40" s="1531" t="str">
        <f>INDEX('REVIEW - Complete Role Mapping'!$AK:$AK,281)</f>
        <v>Filled</v>
      </c>
      <c r="E40" s="1548" t="inlineStr">
        <is>
          <t>Filled</t>
        </is>
      </c>
      <c r="F40" s="1770">
        <f>INDEX('REVIEW - Complete Role Mapping'!$AA:$AA,281)</f>
        <v>184871.28</v>
      </c>
      <c r="G40" s="1770">
        <f>$F40*IFERROR(INDEX(Lists!$AD:$AD,MATCH($E40,Lists!$AC:$AC,0)),1)</f>
        <v>184871.28</v>
      </c>
    </row>
    <row r="41">
      <c r="B41" s="1531" t="str">
        <f>INDEX('REVIEW - Complete Role Mapping'!$B:$B,295)</f>
        <v>Om Singh</v>
      </c>
      <c r="C41" s="1531" t="str">
        <f>INDEX('REVIEW - Complete Role Mapping'!$C:$C,295)</f>
        <v>Data Scientist</v>
      </c>
      <c r="D41" s="1531" t="str">
        <f>INDEX('REVIEW - Complete Role Mapping'!$AK:$AK,295)</f>
        <v>Filled</v>
      </c>
      <c r="E41" s="1548" t="inlineStr">
        <is>
          <t>Filled</t>
        </is>
      </c>
      <c r="F41" s="1770">
        <f>INDEX('REVIEW - Complete Role Mapping'!$AA:$AA,295)</f>
        <v>181470</v>
      </c>
      <c r="G41" s="1770">
        <f>$F41*IFERROR(INDEX(Lists!$AD:$AD,MATCH($E41,Lists!$AC:$AC,0)),1)</f>
        <v>181470</v>
      </c>
    </row>
    <row r="42">
      <c r="B42" s="1531" t="str">
        <f>INDEX('REVIEW - Complete Role Mapping'!$B:$B,296)</f>
        <v>Prashant Tataskar</v>
      </c>
      <c r="C42" s="1531" t="str">
        <f>INDEX('REVIEW - Complete Role Mapping'!$C:$C,296)</f>
        <v>Data Scientist</v>
      </c>
      <c r="D42" s="1531" t="str">
        <f>INDEX('REVIEW - Complete Role Mapping'!$AK:$AK,296)</f>
        <v>Filled</v>
      </c>
      <c r="E42" s="1548" t="inlineStr">
        <is>
          <t>Filled</t>
        </is>
      </c>
      <c r="F42" s="1770">
        <f>INDEX('REVIEW - Complete Role Mapping'!$AA:$AA,296)</f>
        <v>208473.6</v>
      </c>
      <c r="G42" s="1770">
        <f>$F42*IFERROR(INDEX(Lists!$AD:$AD,MATCH($E42,Lists!$AC:$AC,0)),1)</f>
        <v>208473.6</v>
      </c>
    </row>
    <row r="43">
      <c r="B43" s="1531" t="str">
        <f>INDEX('REVIEW - Complete Role Mapping'!$B:$B,332)</f>
        <v>Yu Chen</v>
      </c>
      <c r="C43" s="1531" t="str">
        <f>INDEX('REVIEW - Complete Role Mapping'!$C:$C,332)</f>
        <v>Senior Data Scientist</v>
      </c>
      <c r="D43" s="1531" t="str">
        <f>INDEX('REVIEW - Complete Role Mapping'!$AK:$AK,332)</f>
        <v>Filled</v>
      </c>
      <c r="E43" s="1548" t="inlineStr">
        <is>
          <t>Filled</t>
        </is>
      </c>
      <c r="F43" s="1770">
        <f>INDEX('REVIEW - Complete Role Mapping'!$AA:$AA,332)</f>
        <v>231582.45</v>
      </c>
      <c r="G43" s="1770">
        <f>$F43*IFERROR(INDEX(Lists!$AD:$AD,MATCH($E43,Lists!$AC:$AC,0)),1)</f>
        <v>231582.45</v>
      </c>
    </row>
    <row r="44">
      <c r="B44" s="1530" t="inlineStr">
        <is>
          <t>Reporting &amp; Analytics</t>
        </is>
      </c>
      <c r="C44" s="1530" t="str">
        <f>COUNTA($B$45:$B$56)&amp;IF(COUNTA($B$45:$B$56)=1," role"," roles")</f>
        <v>12 roles</v>
      </c>
      <c r="D44" s="1530" t="n"/>
      <c r="E44" s="1530" t="n"/>
      <c r="F44" s="1786">
        <f>SUM(F45:F56)</f>
        <v>2764811.7</v>
      </c>
      <c r="G44" s="1786">
        <f>SUM(G45:G56)</f>
        <v>2764811.7</v>
      </c>
    </row>
    <row r="45">
      <c r="B45" s="1531" t="str">
        <f>INDEX('REVIEW - Complete Role Mapping'!$B:$B,279)</f>
        <v>Abdul Ghaffar</v>
      </c>
      <c r="C45" s="1531" t="str">
        <f>INDEX('REVIEW - Complete Role Mapping'!$C:$C,279)</f>
        <v>Applications Specialist - Demand Planning</v>
      </c>
      <c r="D45" s="1531" t="str">
        <f>INDEX('REVIEW - Complete Role Mapping'!$AK:$AK,279)</f>
        <v>Filled</v>
      </c>
      <c r="E45" s="1548" t="inlineStr">
        <is>
          <t>Filled</t>
        </is>
      </c>
      <c r="F45" s="1770">
        <f>INDEX('REVIEW - Complete Role Mapping'!$AA:$AA,279)</f>
        <v>240300</v>
      </c>
      <c r="G45" s="1770">
        <f>$F45*IFERROR(INDEX(Lists!$AD:$AD,MATCH($E45,Lists!$AC:$AC,0)),1)</f>
        <v>240300</v>
      </c>
    </row>
    <row r="46">
      <c r="B46" s="1531" t="str">
        <f>INDEX('REVIEW - Complete Role Mapping'!$B:$B,280)</f>
        <v>Bobby Mason</v>
      </c>
      <c r="C46" s="1531" t="str">
        <f>INDEX('REVIEW - Complete Role Mapping'!$C:$C,280)</f>
        <v>Reporting Analyst</v>
      </c>
      <c r="D46" s="1531" t="str">
        <f>INDEX('REVIEW - Complete Role Mapping'!$AK:$AK,280)</f>
        <v>Filled</v>
      </c>
      <c r="E46" s="1548" t="inlineStr">
        <is>
          <t>Filled</t>
        </is>
      </c>
      <c r="F46" s="1770">
        <f>INDEX('REVIEW - Complete Role Mapping'!$AA:$AA,280)</f>
        <v>222357.6</v>
      </c>
      <c r="G46" s="1770">
        <f>$F46*IFERROR(INDEX(Lists!$AD:$AD,MATCH($E46,Lists!$AC:$AC,0)),1)</f>
        <v>222357.6</v>
      </c>
    </row>
    <row r="47">
      <c r="B47" s="1531" t="str">
        <f>INDEX('REVIEW - Complete Role Mapping'!$B:$B,290)</f>
        <v>Kina Birkby</v>
      </c>
      <c r="C47" s="1531" t="str">
        <f>INDEX('REVIEW - Complete Role Mapping'!$C:$C,290)</f>
        <v>Delivery Lead</v>
      </c>
      <c r="D47" s="1531" t="str">
        <f>INDEX('REVIEW - Complete Role Mapping'!$AK:$AK,290)</f>
        <v>Filled</v>
      </c>
      <c r="E47" s="1548" t="inlineStr">
        <is>
          <t>Filled</t>
        </is>
      </c>
      <c r="F47" s="1770">
        <f>INDEX('REVIEW - Complete Role Mapping'!$AA:$AA,290)</f>
        <v>263235.3</v>
      </c>
      <c r="G47" s="1770">
        <f>$F47*IFERROR(INDEX(Lists!$AD:$AD,MATCH($E47,Lists!$AC:$AC,0)),1)</f>
        <v>263235.3</v>
      </c>
    </row>
    <row r="48">
      <c r="B48" s="1531" t="str">
        <f>INDEX('REVIEW - Complete Role Mapping'!$B:$B,297)</f>
        <v>Prashanth Krishnankutty</v>
      </c>
      <c r="C48" s="1531" t="str">
        <f>INDEX('REVIEW - Complete Role Mapping'!$C:$C,297)</f>
        <v>Lead Reporting &amp; Insights</v>
      </c>
      <c r="D48" s="1531" t="str">
        <f>INDEX('REVIEW - Complete Role Mapping'!$AK:$AK,297)</f>
        <v>Filled</v>
      </c>
      <c r="E48" s="1548" t="inlineStr">
        <is>
          <t>Filled</t>
        </is>
      </c>
      <c r="F48" s="1770">
        <f>INDEX('REVIEW - Complete Role Mapping'!$AA:$AA,297)</f>
        <v>255372.15</v>
      </c>
      <c r="G48" s="1770">
        <f>$F48*IFERROR(INDEX(Lists!$AD:$AD,MATCH($E48,Lists!$AC:$AC,0)),1)</f>
        <v>255372.15</v>
      </c>
    </row>
    <row r="49">
      <c r="B49" s="1531" t="str">
        <f>INDEX('REVIEW - Complete Role Mapping'!$B:$B,298)</f>
        <v>Rakshit Kaul</v>
      </c>
      <c r="C49" s="1531" t="str">
        <f>INDEX('REVIEW - Complete Role Mapping'!$C:$C,298)</f>
        <v>Applications Specialist</v>
      </c>
      <c r="D49" s="1531" t="str">
        <f>INDEX('REVIEW - Complete Role Mapping'!$AK:$AK,298)</f>
        <v>Filled</v>
      </c>
      <c r="E49" s="1548" t="inlineStr">
        <is>
          <t>Filled</t>
        </is>
      </c>
      <c r="F49" s="1770">
        <f>INDEX('REVIEW - Complete Role Mapping'!$AA:$AA,298)</f>
        <v>237763.5</v>
      </c>
      <c r="G49" s="1770">
        <f>$F49*IFERROR(INDEX(Lists!$AD:$AD,MATCH($E49,Lists!$AC:$AC,0)),1)</f>
        <v>237763.5</v>
      </c>
    </row>
    <row r="50">
      <c r="B50" s="1531" t="str">
        <f>INDEX('REVIEW - Complete Role Mapping'!$B:$B,308)</f>
        <v>Sai Konka</v>
      </c>
      <c r="C50" s="1531" t="str">
        <f>INDEX('REVIEW - Complete Role Mapping'!$C:$C,308)</f>
        <v>Application &amp; Analytics Manager</v>
      </c>
      <c r="D50" s="1531" t="str">
        <f>INDEX('REVIEW - Complete Role Mapping'!$AK:$AK,308)</f>
        <v>Filled</v>
      </c>
      <c r="E50" s="1548" t="inlineStr">
        <is>
          <t>Filled</t>
        </is>
      </c>
      <c r="F50" s="1770">
        <f>INDEX('REVIEW - Complete Role Mapping'!$AA:$AA,308)</f>
        <v>263635.8</v>
      </c>
      <c r="G50" s="1770">
        <f>$F50*IFERROR(INDEX(Lists!$AD:$AD,MATCH($E50,Lists!$AC:$AC,0)),1)</f>
        <v>263635.8</v>
      </c>
    </row>
    <row r="51">
      <c r="B51" s="1531" t="str">
        <f>INDEX('REVIEW - Complete Role Mapping'!$B:$B,310)</f>
        <v>Steve Murray</v>
      </c>
      <c r="C51" s="1531" t="str">
        <f>INDEX('REVIEW - Complete Role Mapping'!$C:$C,310)</f>
        <v>Applications Specialist</v>
      </c>
      <c r="D51" s="1531" t="str">
        <f>INDEX('REVIEW - Complete Role Mapping'!$AK:$AK,310)</f>
        <v>Filled</v>
      </c>
      <c r="E51" s="1548" t="inlineStr">
        <is>
          <t>Filled</t>
        </is>
      </c>
      <c r="F51" s="1770">
        <f>INDEX('REVIEW - Complete Role Mapping'!$AA:$AA,310)</f>
        <v>242970</v>
      </c>
      <c r="G51" s="1770">
        <f>$F51*IFERROR(INDEX(Lists!$AD:$AD,MATCH($E51,Lists!$AC:$AC,0)),1)</f>
        <v>242970</v>
      </c>
    </row>
    <row r="52">
      <c r="B52" s="1531" t="str">
        <f>INDEX('REVIEW - Complete Role Mapping'!$B:$B,311)</f>
        <v>Sumathi Manikkampichai</v>
      </c>
      <c r="C52" s="1531" t="str">
        <f>INDEX('REVIEW - Complete Role Mapping'!$C:$C,311)</f>
        <v>Data Architect</v>
      </c>
      <c r="D52" s="1531" t="str">
        <f>INDEX('REVIEW - Complete Role Mapping'!$AK:$AK,311)</f>
        <v>Filled</v>
      </c>
      <c r="E52" s="1548" t="inlineStr">
        <is>
          <t>Filled</t>
        </is>
      </c>
      <c r="F52" s="1770">
        <f>INDEX('REVIEW - Complete Role Mapping'!$AA:$AA,311)</f>
        <v>250993.35</v>
      </c>
      <c r="G52" s="1770">
        <f>$F52*IFERROR(INDEX(Lists!$AD:$AD,MATCH($E52,Lists!$AC:$AC,0)),1)</f>
        <v>250993.35</v>
      </c>
    </row>
    <row r="53">
      <c r="B53" s="1531" t="str">
        <f>INDEX('REVIEW - Complete Role Mapping'!$B:$B,318)</f>
        <v>Vacant</v>
      </c>
      <c r="C53" s="1531" t="str">
        <f>INDEX('REVIEW - Complete Role Mapping'!$C:$C,318)</f>
        <v>Business Analyst</v>
      </c>
      <c r="D53" s="1531" t="str">
        <f>INDEX('REVIEW - Complete Role Mapping'!$AK:$AK,318)</f>
        <v>Vacant</v>
      </c>
      <c r="E53" s="1548" t="inlineStr">
        <is>
          <t>Hire</t>
        </is>
      </c>
      <c r="F53" s="1770">
        <f>INDEX('REVIEW - Complete Role Mapping'!$AA:$AA,318)</f>
        <v>202853.25</v>
      </c>
      <c r="G53" s="1770">
        <f>$F53*IFERROR(INDEX(Lists!$AD:$AD,MATCH($E53,Lists!$AC:$AC,0)),1)</f>
        <v>202853.25</v>
      </c>
    </row>
    <row r="54">
      <c r="B54" s="1531" t="str">
        <f>INDEX('REVIEW - Complete Role Mapping'!$B:$B,329)</f>
        <v>Vacant</v>
      </c>
      <c r="C54" s="1531" t="str">
        <f>INDEX('REVIEW - Complete Role Mapping'!$C:$C,329)</f>
        <v>Applications Specialist - Strategic Programs</v>
      </c>
      <c r="D54" s="1531" t="str">
        <f>INDEX('REVIEW - Complete Role Mapping'!$AK:$AK,329)</f>
        <v>Vacant</v>
      </c>
      <c r="E54" s="1548" t="inlineStr">
        <is>
          <t>Hire</t>
        </is>
      </c>
      <c r="F54" s="1770">
        <f>INDEX('REVIEW - Complete Role Mapping'!$AA:$AA,329)</f>
        <v>202853.25</v>
      </c>
      <c r="G54" s="1770">
        <f>$F54*IFERROR(INDEX(Lists!$AD:$AD,MATCH($E54,Lists!$AC:$AC,0)),1)</f>
        <v>202853.25</v>
      </c>
    </row>
    <row r="55">
      <c r="B55" s="1531" t="str">
        <f>INDEX('REVIEW - Complete Role Mapping'!$B:$B,330)</f>
        <v>Vacant</v>
      </c>
      <c r="C55" s="1531" t="str">
        <f>INDEX('REVIEW - Complete Role Mapping'!$C:$C,330)</f>
        <v>Reporting analysts - Strategic Programs</v>
      </c>
      <c r="D55" s="1531" t="str">
        <f>INDEX('REVIEW - Complete Role Mapping'!$AK:$AK,330)</f>
        <v>Vacant</v>
      </c>
      <c r="E55" s="1548" t="inlineStr">
        <is>
          <t>Hire</t>
        </is>
      </c>
      <c r="F55" s="1770">
        <f>INDEX('REVIEW - Complete Role Mapping'!$AA:$AA,330)</f>
        <v>202853.25</v>
      </c>
      <c r="G55" s="1770">
        <f>$F55*IFERROR(INDEX(Lists!$AD:$AD,MATCH($E55,Lists!$AC:$AC,0)),1)</f>
        <v>202853.25</v>
      </c>
    </row>
    <row r="56">
      <c r="B56" s="1531" t="str">
        <f>INDEX('REVIEW - Complete Role Mapping'!$B:$B,331)</f>
        <v>Vincent Lu</v>
      </c>
      <c r="C56" s="1531" t="str">
        <f>INDEX('REVIEW - Complete Role Mapping'!$C:$C,331)</f>
        <v>Reporting Analyst</v>
      </c>
      <c r="D56" s="1531" t="str">
        <f>INDEX('REVIEW - Complete Role Mapping'!$AK:$AK,331)</f>
        <v>Filled</v>
      </c>
      <c r="E56" s="1548" t="inlineStr">
        <is>
          <t>Filled</t>
        </is>
      </c>
      <c r="F56" s="1770">
        <f>INDEX('REVIEW - Complete Role Mapping'!$AA:$AA,331)</f>
        <v>179624.25</v>
      </c>
      <c r="G56" s="1770">
        <f>$F56*IFERROR(INDEX(Lists!$AD:$AD,MATCH($E56,Lists!$AC:$AC,0)),1)</f>
        <v>179624.25</v>
      </c>
    </row>
    <row r="57">
      <c r="B57" s="1530" t="inlineStr">
        <is>
          <t>Head of Technology</t>
        </is>
      </c>
      <c r="C57" s="1530" t="str">
        <f>COUNTA($B$58:$B$58)&amp;IF(COUNTA($B$58:$B$58)=1," role"," roles")</f>
        <v>1 role</v>
      </c>
      <c r="D57" s="1530" t="n"/>
      <c r="E57" s="1530" t="n"/>
      <c r="F57" s="1786">
        <f>SUM(F58:F58)</f>
        <v>409755.7</v>
      </c>
      <c r="G57" s="1786">
        <f>SUM(G58:G58)</f>
        <v>409755.7</v>
      </c>
    </row>
    <row r="58">
      <c r="B58" s="1531" t="str">
        <f>INDEX('REVIEW - Complete Role Mapping'!$B:$B,285)</f>
        <v>James Holgate</v>
      </c>
      <c r="C58" s="1531" t="str">
        <f>INDEX('REVIEW - Complete Role Mapping'!$C:$C,285)</f>
        <v>Head of Technology,  Group Data</v>
      </c>
      <c r="D58" s="1531" t="str">
        <f>INDEX('REVIEW - Complete Role Mapping'!$AK:$AK,285)</f>
        <v>Filled</v>
      </c>
      <c r="E58" s="1548" t="inlineStr">
        <is>
          <t>Filled</t>
        </is>
      </c>
      <c r="F58" s="1770">
        <f>INDEX('REVIEW - Complete Role Mapping'!$AA:$AA,285)</f>
        <v>409755.7</v>
      </c>
      <c r="G58" s="1770">
        <f>$F58*IFERROR(INDEX(Lists!$AD:$AD,MATCH($E58,Lists!$AC:$AC,0)),1)</f>
        <v>409755.7</v>
      </c>
    </row>
    <row r="59">
      <c r="B59" s="1530" t="inlineStr">
        <is>
          <t>Technology Manager</t>
        </is>
      </c>
      <c r="C59" s="1530" t="str">
        <f>COUNTA($B$60:$B$61)&amp;IF(COUNTA($B$60:$B$61)=1," role"," roles")</f>
        <v>2 roles</v>
      </c>
      <c r="D59" s="1530" t="n"/>
      <c r="E59" s="1530" t="n"/>
      <c r="F59" s="1786">
        <f>SUM(F60:F61)</f>
        <v>651278.75</v>
      </c>
      <c r="G59" s="1786">
        <f>SUM(G60:G61)</f>
        <v>651278.75</v>
      </c>
    </row>
    <row r="60">
      <c r="B60" s="1531" t="str">
        <f>INDEX('REVIEW - Complete Role Mapping'!$B:$B,286)</f>
        <v>Jason Gleason</v>
      </c>
      <c r="C60" s="1531" t="str">
        <f>INDEX('REVIEW - Complete Role Mapping'!$C:$C,286)</f>
        <v>Technology Manager, Data Engineering &amp; Platforms</v>
      </c>
      <c r="D60" s="1531" t="str">
        <f>INDEX('REVIEW - Complete Role Mapping'!$AK:$AK,286)</f>
        <v>Filled</v>
      </c>
      <c r="E60" s="1548" t="inlineStr">
        <is>
          <t>Filled</t>
        </is>
      </c>
      <c r="F60" s="1770">
        <f>INDEX('REVIEW - Complete Role Mapping'!$AA:$AA,286)</f>
        <v>320862</v>
      </c>
      <c r="G60" s="1770">
        <f>$F60*IFERROR(INDEX(Lists!$AD:$AD,MATCH($E60,Lists!$AC:$AC,0)),1)</f>
        <v>320862</v>
      </c>
    </row>
    <row r="61">
      <c r="B61" s="1531" t="str">
        <f>INDEX('REVIEW - Complete Role Mapping'!$B:$B,289)</f>
        <v>Jonathan Robinson</v>
      </c>
      <c r="C61" s="1531" t="str">
        <f>INDEX('REVIEW - Complete Role Mapping'!$C:$C,289)</f>
        <v>Technology Manager  Data Science</v>
      </c>
      <c r="D61" s="1531" t="str">
        <f>INDEX('REVIEW - Complete Role Mapping'!$AK:$AK,289)</f>
        <v>Filled</v>
      </c>
      <c r="E61" s="1548" t="inlineStr">
        <is>
          <t>Filled</t>
        </is>
      </c>
      <c r="F61" s="1770">
        <f>INDEX('REVIEW - Complete Role Mapping'!$AA:$AA,289)</f>
        <v>330416.75</v>
      </c>
      <c r="G61" s="1770">
        <f>$F61*IFERROR(INDEX(Lists!$AD:$AD,MATCH($E61,Lists!$AC:$AC,0)),1)</f>
        <v>330416.75</v>
      </c>
    </row>
  </sheetData>
  <dataValidations count="1">
    <dataValidation sqref="E30 E31 E32 E33 E34 E35 E36 E37 E38 E40 E41 E42 E43 E45 E46 E47 E48 E49 E50 E51 E52 E53 E54 E55 E56 E58 E60 E61"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6.xml><?xml version="1.0" encoding="utf-8"?>
<worksheet xmlns="http://schemas.openxmlformats.org/spreadsheetml/2006/main">
  <sheetPr filterMode="0">
    <tabColor rgb="FFBF8F00"/>
    <outlinePr summaryBelow="1" summaryRight="1"/>
    <pageSetUpPr fitToPage="1"/>
  </sheetPr>
  <dimension ref="B2:Q84"/>
  <sheetViews>
    <sheetView showFormulas="0" showGridLines="0" showRowColHeaders="1" showZeros="1" rightToLeft="0" tabSelected="0" showOutlineSymbols="1" defaultGridColor="1" view="normal" topLeftCell="A13" colorId="64" zoomScale="100" zoomScaleNormal="100" zoomScalePageLayoutView="100" workbookViewId="0">
      <selection pane="topLeft" activeCell="A13" activeCellId="0" sqref="A13"/>
      <selection pane="topRight" activeCell="C13" activeCellId="0" sqref="C13"/>
      <selection pane="bottomLeft" activeCell="A7" activeCellId="0" sqref="A7"/>
      <selection pane="bottomRight" activeCell="A16" activeCellId="0" sqref="A16"/>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TDD Group Functions - working copy</t>
        </is>
      </c>
    </row>
    <row r="3">
      <c r="B3" s="1525" t="inlineStr">
        <is>
          <t>Portfolio</t>
        </is>
      </c>
      <c r="C3" s="1526" t="inlineStr">
        <is>
          <t>TDD Group Functions</t>
        </is>
      </c>
    </row>
    <row r="4" ht="19" customHeight="1" s="866">
      <c r="B4" s="1527" t="inlineStr">
        <is>
          <t>TDD Group Functions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Cloud, Network &amp; Infra Ops</t>
        </is>
      </c>
      <c r="C8" s="1531" t="str">
        <f>IFERROR(INDEX('1.4 TDD Group Functions'!$C$19:$C$31,MATCH($B8,'1.4 TDD Group Functions'!$B$19:$B$31,0)),"Not on the 1.x tab")</f>
        <v>Operations</v>
      </c>
      <c r="D8" s="1531" t="str">
        <f>IFERROR(IF(INDEX('1.4 TDD Group Functions'!$D$19:$D$31,MATCH($B8,'1.4 TDD Group Functions'!$B$19:$B$31,0))="","-",INDEX('1.4 TDD Group Functions'!$D$19:$D$31,MATCH($B8,'1.4 TDD Group Functions'!$B$19:$B$31,0))),"-")</f>
        <v>M</v>
      </c>
      <c r="E8" s="1783">
        <f>IFERROR(INDEX('0.3 Squad Archetypes'!$F$5:$F$23,MATCH($C8&amp;"|"&amp;$D8,'0.3 Squad Archetypes'!$A$5:$A$23,0)),"-")</f>
        <v>6</v>
      </c>
      <c r="F8" s="1770">
        <f>COUNTA($B$32:$B$43)</f>
        <v>12</v>
      </c>
      <c r="G8" s="1770">
        <f>COUNTIFS($D$32:$D$43,"Filled")</f>
        <v>11</v>
      </c>
      <c r="H8" s="1770">
        <f>COUNTIFS($D$32:$D$43,"Vacant")</f>
        <v>1</v>
      </c>
      <c r="I8" s="1770">
        <f>COUNTIFS($D$32:$D$43,"Vacant",$E$32:$E$43,"Hire")</f>
        <v>1</v>
      </c>
      <c r="J8" s="1770">
        <f>COUNTIFS($E$32:$E$43,"Offshore")</f>
        <v>0</v>
      </c>
      <c r="K8" s="1770">
        <f>COUNTIFS($E$32:$E$43,"Hold")</f>
        <v>0</v>
      </c>
      <c r="L8" s="1770">
        <f>$F8-$K8</f>
        <v>12</v>
      </c>
      <c r="M8" s="1769">
        <f>IFERROR(IF(INDEX('1.4 TDD Group Functions'!$E$19:$E$31,MATCH($B8,'1.4 TDD Group Functions'!$B$19:$B$31,0))="Offshore",INDEX('0.3 Squad Archetypes'!$H$5:$H$23,MATCH($C8&amp;"|"&amp;$D8,'0.3 Squad Archetypes'!$A$5:$A$23,0)),INDEX('0.3 Squad Archetypes'!$G$5:$G$23,MATCH($C8&amp;"|"&amp;$D8,'0.3 Squad Archetypes'!$A$5:$A$23,0))),"-")</f>
        <v>1.4</v>
      </c>
      <c r="N8" s="1769">
        <f>SUMIFS('REVIEW - Complete Role Mapping'!$AA$2:$AA$528,'REVIEW - Complete Role Mapping'!$AJ$2:$AJ$528,$C$3,'REVIEW - Complete Role Mapping'!$AT$2:$AT$528,$B8)/1000000</f>
        <v>2.8267209564</v>
      </c>
      <c r="O8" s="1769">
        <f>IFERROR(ROUND($N8-$M8,6),"-")</f>
        <v>1.426721</v>
      </c>
      <c r="P8" s="1769">
        <f>SUM($G$32:$G$43)/1000000</f>
        <v>2.8267209564</v>
      </c>
      <c r="Q8" s="1769">
        <f>IFERROR(ROUND($P8-$M8,6),"-")</f>
        <v>1.426721</v>
      </c>
    </row>
    <row r="9">
      <c r="B9" s="1531" t="inlineStr">
        <is>
          <t>DevOps &amp; QE</t>
        </is>
      </c>
      <c r="C9" s="1531" t="str">
        <f>IFERROR(INDEX('1.4 TDD Group Functions'!$C$19:$C$31,MATCH($B9,'1.4 TDD Group Functions'!$B$19:$B$31,0)),"Not on the 1.x tab")</f>
        <v>Engineering</v>
      </c>
      <c r="D9" s="1531" t="str">
        <f>IFERROR(IF(INDEX('1.4 TDD Group Functions'!$D$19:$D$31,MATCH($B9,'1.4 TDD Group Functions'!$B$19:$B$31,0))="","-",INDEX('1.4 TDD Group Functions'!$D$19:$D$31,MATCH($B9,'1.4 TDD Group Functions'!$B$19:$B$31,0))),"-")</f>
        <v>S</v>
      </c>
      <c r="E9" s="1783">
        <f>IFERROR(INDEX('0.3 Squad Archetypes'!$F$5:$F$23,MATCH($C9&amp;"|"&amp;$D9,'0.3 Squad Archetypes'!$A$5:$A$23,0)),"-")</f>
        <v>4.5</v>
      </c>
      <c r="F9" s="1770">
        <f>COUNTA($B$45:$B$52)</f>
        <v>8</v>
      </c>
      <c r="G9" s="1770">
        <f>COUNTIFS($D$45:$D$52,"Filled")</f>
        <v>4</v>
      </c>
      <c r="H9" s="1770">
        <f>COUNTIFS($D$45:$D$52,"Vacant")</f>
        <v>4</v>
      </c>
      <c r="I9" s="1770">
        <f>COUNTIFS($D$45:$D$52,"Vacant",$E$45:$E$52,"Hire")</f>
        <v>4</v>
      </c>
      <c r="J9" s="1770">
        <f>COUNTIFS($E$45:$E$52,"Offshore")</f>
        <v>0</v>
      </c>
      <c r="K9" s="1770">
        <f>COUNTIFS($E$45:$E$52,"Hold")</f>
        <v>0</v>
      </c>
      <c r="L9" s="1770">
        <f>$F9-$K9</f>
        <v>8</v>
      </c>
      <c r="M9" s="1769">
        <f>IFERROR(IF(INDEX('1.4 TDD Group Functions'!$E$19:$E$31,MATCH($B9,'1.4 TDD Group Functions'!$B$19:$B$31,0))="Offshore",INDEX('0.3 Squad Archetypes'!$H$5:$H$23,MATCH($C9&amp;"|"&amp;$D9,'0.3 Squad Archetypes'!$A$5:$A$23,0)),INDEX('0.3 Squad Archetypes'!$G$5:$G$23,MATCH($C9&amp;"|"&amp;$D9,'0.3 Squad Archetypes'!$A$5:$A$23,0))),"-")</f>
        <v>0.8</v>
      </c>
      <c r="N9" s="1769">
        <f>SUMIFS('REVIEW - Complete Role Mapping'!$AA$2:$AA$528,'REVIEW - Complete Role Mapping'!$AJ$2:$AJ$528,$C$3,'REVIEW - Complete Role Mapping'!$AT$2:$AT$528,$B9)/1000000</f>
        <v>1.581591798</v>
      </c>
      <c r="O9" s="1769">
        <f>IFERROR(ROUND($N9-$M9,6),"-")</f>
        <v>0.781592</v>
      </c>
      <c r="P9" s="1769">
        <f>SUM($G$45:$G$52)/1000000</f>
        <v>1.581591798</v>
      </c>
      <c r="Q9" s="1769">
        <f>IFERROR(ROUND($P9-$M9,6),"-")</f>
        <v>0.781592</v>
      </c>
    </row>
    <row r="10">
      <c r="B10" s="1531" t="inlineStr">
        <is>
          <t>Integration &amp; Process Automation</t>
        </is>
      </c>
      <c r="C10" s="1531" t="str">
        <f>IFERROR(INDEX('1.4 TDD Group Functions'!$C$19:$C$31,MATCH($B10,'1.4 TDD Group Functions'!$B$19:$B$31,0)),"Not on the 1.x tab")</f>
        <v>Configuration / Integration</v>
      </c>
      <c r="D10" s="1531" t="str">
        <f>IFERROR(IF(INDEX('1.4 TDD Group Functions'!$D$19:$D$31,MATCH($B10,'1.4 TDD Group Functions'!$B$19:$B$31,0))="","-",INDEX('1.4 TDD Group Functions'!$D$19:$D$31,MATCH($B10,'1.4 TDD Group Functions'!$B$19:$B$31,0))),"-")</f>
        <v>M</v>
      </c>
      <c r="E10" s="1783">
        <f>IFERROR(INDEX('0.3 Squad Archetypes'!$F$5:$F$23,MATCH($C10&amp;"|"&amp;$D10,'0.3 Squad Archetypes'!$A$5:$A$23,0)),"-")</f>
        <v>9</v>
      </c>
      <c r="F10" s="1770">
        <f>COUNTA($B$59:$B$68)</f>
        <v>10</v>
      </c>
      <c r="G10" s="1770">
        <f>COUNTIFS($D$59:$D$68,"Filled")</f>
        <v>8</v>
      </c>
      <c r="H10" s="1770">
        <f>COUNTIFS($D$59:$D$68,"Vacant")</f>
        <v>2</v>
      </c>
      <c r="I10" s="1770">
        <f>COUNTIFS($D$59:$D$68,"Vacant",$E$59:$E$68,"Hire")</f>
        <v>2</v>
      </c>
      <c r="J10" s="1770">
        <f>COUNTIFS($E$59:$E$68,"Offshore")</f>
        <v>0</v>
      </c>
      <c r="K10" s="1770">
        <f>COUNTIFS($E$59:$E$68,"Hold")</f>
        <v>0</v>
      </c>
      <c r="L10" s="1770">
        <f>$F10-$K10</f>
        <v>10</v>
      </c>
      <c r="M10" s="1769">
        <f>IFERROR(IF(INDEX('1.4 TDD Group Functions'!$E$19:$E$31,MATCH($B10,'1.4 TDD Group Functions'!$B$19:$B$31,0))="Offshore",INDEX('0.3 Squad Archetypes'!$H$5:$H$23,MATCH($C10&amp;"|"&amp;$D10,'0.3 Squad Archetypes'!$A$5:$A$23,0)),INDEX('0.3 Squad Archetypes'!$G$5:$G$23,MATCH($C10&amp;"|"&amp;$D10,'0.3 Squad Archetypes'!$A$5:$A$23,0))),"-")</f>
        <v>2.1</v>
      </c>
      <c r="N10" s="1769">
        <f>SUMIFS('REVIEW - Complete Role Mapping'!$AA$2:$AA$528,'REVIEW - Complete Role Mapping'!$AJ$2:$AJ$528,$C$3,'REVIEW - Complete Role Mapping'!$AT$2:$AT$528,$B10)/1000000</f>
        <v>1.984987746</v>
      </c>
      <c r="O10" s="1769">
        <f>IFERROR(ROUND($N10-$M10,6),"-")</f>
        <v>-0.115012</v>
      </c>
      <c r="P10" s="1769">
        <f>SUM($G$59:$G$68)/1000000</f>
        <v>1.984987746</v>
      </c>
      <c r="Q10" s="1769">
        <f>IFERROR(ROUND($P10-$M10,6),"-")</f>
        <v>-0.115012</v>
      </c>
    </row>
    <row r="11">
      <c r="B11" s="1531" t="inlineStr">
        <is>
          <t>Workplace &amp; Enterprise Tooling</t>
        </is>
      </c>
      <c r="C11" s="1531" t="str">
        <f>IFERROR(INDEX('1.4 TDD Group Functions'!$C$19:$C$31,MATCH($B11,'1.4 TDD Group Functions'!$B$19:$B$31,0)),"Not on the 1.x tab")</f>
        <v>Configuration / Integration</v>
      </c>
      <c r="D11" s="1531" t="str">
        <f>IFERROR(IF(INDEX('1.4 TDD Group Functions'!$D$19:$D$31,MATCH($B11,'1.4 TDD Group Functions'!$B$19:$B$31,0))="","-",INDEX('1.4 TDD Group Functions'!$D$19:$D$31,MATCH($B11,'1.4 TDD Group Functions'!$B$19:$B$31,0))),"-")</f>
        <v>S</v>
      </c>
      <c r="E11" s="1783">
        <f>IFERROR(INDEX('0.3 Squad Archetypes'!$F$5:$F$23,MATCH($C11&amp;"|"&amp;$D11,'0.3 Squad Archetypes'!$A$5:$A$23,0)),"-")</f>
        <v>6</v>
      </c>
      <c r="F11" s="1770">
        <f>COUNTA($B$70:$B$75)</f>
        <v>6</v>
      </c>
      <c r="G11" s="1770">
        <f>COUNTIFS($D$70:$D$75,"Filled")</f>
        <v>4</v>
      </c>
      <c r="H11" s="1770">
        <f>COUNTIFS($D$70:$D$75,"Vacant")</f>
        <v>2</v>
      </c>
      <c r="I11" s="1770">
        <f>COUNTIFS($D$70:$D$75,"Vacant",$E$70:$E$75,"Hire")</f>
        <v>2</v>
      </c>
      <c r="J11" s="1770">
        <f>COUNTIFS($E$70:$E$75,"Offshore")</f>
        <v>0</v>
      </c>
      <c r="K11" s="1770">
        <f>COUNTIFS($E$70:$E$75,"Hold")</f>
        <v>0</v>
      </c>
      <c r="L11" s="1770">
        <f>$F11-$K11</f>
        <v>6</v>
      </c>
      <c r="M11" s="1769">
        <f>IFERROR(IF(INDEX('1.4 TDD Group Functions'!$E$19:$E$31,MATCH($B11,'1.4 TDD Group Functions'!$B$19:$B$31,0))="Offshore",INDEX('0.3 Squad Archetypes'!$H$5:$H$23,MATCH($C11&amp;"|"&amp;$D11,'0.3 Squad Archetypes'!$A$5:$A$23,0)),INDEX('0.3 Squad Archetypes'!$G$5:$G$23,MATCH($C11&amp;"|"&amp;$D11,'0.3 Squad Archetypes'!$A$5:$A$23,0))),"-")</f>
        <v>1.4</v>
      </c>
      <c r="N11" s="1769">
        <f>SUMIFS('REVIEW - Complete Role Mapping'!$AA$2:$AA$528,'REVIEW - Complete Role Mapping'!$AJ$2:$AJ$528,$C$3,'REVIEW - Complete Role Mapping'!$AT$2:$AT$528,$B11)/1000000</f>
        <v>1.117329222</v>
      </c>
      <c r="O11" s="1769">
        <f>IFERROR(ROUND($N11-$M11,6),"-")</f>
        <v>-0.282671</v>
      </c>
      <c r="P11" s="1769">
        <f>SUM($G$70:$G$75)/1000000</f>
        <v>1.117329222</v>
      </c>
      <c r="Q11" s="1769">
        <f>IFERROR(ROUND($P11-$M11,6),"-")</f>
        <v>-0.282671</v>
      </c>
    </row>
    <row r="12">
      <c r="B12" s="1535" t="inlineStr">
        <is>
          <t>Squads priced by an archetype total</t>
        </is>
      </c>
      <c r="C12" s="1535" t="n"/>
      <c r="D12" s="1535" t="n"/>
      <c r="E12" s="1784">
        <f>SUM(E8:E11)</f>
        <v>25.5</v>
      </c>
      <c r="F12" s="1772">
        <f>SUM(F8:F11)</f>
        <v>36</v>
      </c>
      <c r="G12" s="1772">
        <f>SUM(G8:G11)</f>
        <v>27</v>
      </c>
      <c r="H12" s="1772">
        <f>SUM(H8:H11)</f>
        <v>9</v>
      </c>
      <c r="I12" s="1772">
        <f>SUM(I8:I11)</f>
        <v>9</v>
      </c>
      <c r="J12" s="1772">
        <f>SUM(J8:J11)</f>
        <v>0</v>
      </c>
      <c r="K12" s="1772">
        <f>SUM(K8:K11)</f>
        <v>0</v>
      </c>
      <c r="L12" s="1772">
        <f>SUM(L8:L11)</f>
        <v>36</v>
      </c>
      <c r="M12" s="1771">
        <f>IF(COUNT(M8:M11)=4,SUM(M8:M11),"-")</f>
        <v>5.7</v>
      </c>
      <c r="N12" s="1771">
        <f>SUM(N8:N11)</f>
        <v>7.5106297224</v>
      </c>
      <c r="O12" s="1771">
        <f>IF(ISNUMBER($M12),ROUND($N12-$M12,6),"-")</f>
        <v>1.81063</v>
      </c>
      <c r="P12" s="1771">
        <f>SUM(P8:P11)</f>
        <v>7.5106297224</v>
      </c>
      <c r="Q12" s="1771">
        <f>IF(ISNUMBER($M12),ROUND($P12-$M12,6),"-")</f>
        <v>1.81063</v>
      </c>
    </row>
    <row r="13">
      <c r="B13" s="1530" t="inlineStr">
        <is>
          <t>Directly funded programmes and platforms</t>
        </is>
      </c>
      <c r="C13" s="1530" t="n"/>
      <c r="D13" s="1530" t="n"/>
      <c r="E13" s="1530" t="n"/>
      <c r="F13" s="1530" t="n"/>
      <c r="G13" s="1530" t="n"/>
      <c r="H13" s="1530" t="n"/>
      <c r="I13" s="1530" t="n"/>
      <c r="J13" s="1530" t="n"/>
      <c r="K13" s="1530" t="n"/>
      <c r="L13" s="1530" t="n"/>
      <c r="M13" s="1530" t="n"/>
      <c r="N13" s="1530" t="n"/>
      <c r="O13" s="1530" t="n"/>
      <c r="P13" s="1530" t="n"/>
      <c r="Q13" s="1530" t="n"/>
    </row>
    <row r="14">
      <c r="B14" s="1531" t="inlineStr">
        <is>
          <t>EGI TDD</t>
        </is>
      </c>
      <c r="C14" s="1531" t="str">
        <f>IFERROR(INDEX('1.4 TDD Group Functions'!$C$19:$C$31,MATCH($B14,'1.4 TDD Group Functions'!$B$19:$B$31,0)),"Not on the 1.x tab")</f>
        <v>Strategic Programs</v>
      </c>
      <c r="D14" s="1531" t="str">
        <f>IFERROR(IF(INDEX('1.4 TDD Group Functions'!$D$19:$D$31,MATCH($B14,'1.4 TDD Group Functions'!$B$19:$B$31,0))="","-",INDEX('1.4 TDD Group Functions'!$D$19:$D$31,MATCH($B14,'1.4 TDD Group Functions'!$B$19:$B$31,0))),"-")</f>
        <v>-</v>
      </c>
      <c r="E14" s="1783" t="str">
        <f>"-"</f>
        <v>-</v>
      </c>
      <c r="F14" s="1770">
        <f>COUNTA($B$54:$B$57)</f>
        <v>4</v>
      </c>
      <c r="G14" s="1770">
        <f>COUNTIFS($D$54:$D$57,"Filled")</f>
        <v>4</v>
      </c>
      <c r="H14" s="1770">
        <f>COUNTIFS($D$54:$D$57,"Vacant")</f>
        <v>0</v>
      </c>
      <c r="I14" s="1770">
        <f>COUNTIFS($D$54:$D$57,"Vacant",$E$54:$E$57,"Hire")</f>
        <v>0</v>
      </c>
      <c r="J14" s="1770">
        <f>COUNTIFS($E$54:$E$57,"Offshore")</f>
        <v>0</v>
      </c>
      <c r="K14" s="1770">
        <f>COUNTIFS($E$54:$E$57,"Hold")</f>
        <v>0</v>
      </c>
      <c r="L14" s="1770">
        <f>$F14-$K14</f>
        <v>4</v>
      </c>
      <c r="M14" s="1769" t="str">
        <f>IFERROR(IF(N(INDEX('1.4 TDD Group Functions'!$H$19:$H$31,MATCH($B14,'1.4 TDD Group Functions'!$B$19:$B$31,0)))=0,"-",INDEX('1.4 TDD Group Functions'!$H$19:$H$31,MATCH($B14,'1.4 TDD Group Functions'!$B$19:$B$31,0))),"-")</f>
        <v>-</v>
      </c>
      <c r="N14" s="1769">
        <f>SUMIFS('REVIEW - Complete Role Mapping'!$AA$2:$AA$528,'REVIEW - Complete Role Mapping'!$AJ$2:$AJ$528,$C$3,'REVIEW - Complete Role Mapping'!$AT$2:$AT$528,$B14)/1000000</f>
        <v>1.02484851</v>
      </c>
      <c r="O14" s="1769" t="str">
        <f>IFERROR(ROUND($N14-$M14,6),"-")</f>
        <v>-</v>
      </c>
      <c r="P14" s="1769">
        <f>SUM($G$54:$G$57)/1000000</f>
        <v>1.02484851</v>
      </c>
      <c r="Q14" s="1769" t="str">
        <f>IFERROR(ROUND($P14-$M14,6),"-")</f>
        <v>-</v>
      </c>
    </row>
    <row r="15">
      <c r="B15" s="1535" t="inlineStr">
        <is>
          <t>Directly funded programmes and platforms total</t>
        </is>
      </c>
      <c r="C15" s="1535" t="n"/>
      <c r="D15" s="1535" t="n"/>
      <c r="E15" s="1784">
        <f>SUM(E14:E14)</f>
        <v>0</v>
      </c>
      <c r="F15" s="1772">
        <f>SUM(F14:F14)</f>
        <v>4</v>
      </c>
      <c r="G15" s="1772">
        <f>SUM(G14:G14)</f>
        <v>4</v>
      </c>
      <c r="H15" s="1772">
        <f>SUM(H14:H14)</f>
        <v>0</v>
      </c>
      <c r="I15" s="1772">
        <f>SUM(I14:I14)</f>
        <v>0</v>
      </c>
      <c r="J15" s="1772">
        <f>SUM(J14:J14)</f>
        <v>0</v>
      </c>
      <c r="K15" s="1772">
        <f>SUM(K14:K14)</f>
        <v>0</v>
      </c>
      <c r="L15" s="1772">
        <f>SUM(L14:L14)</f>
        <v>4</v>
      </c>
      <c r="M15" s="1771" t="str">
        <f>IF(COUNT(M14:M14)=1,SUM(M14:M14),"-")</f>
        <v>-</v>
      </c>
      <c r="N15" s="1771">
        <f>SUM(N14:N14)</f>
        <v>1.02484851</v>
      </c>
      <c r="O15" s="1771" t="str">
        <f>IF(ISNUMBER($M15),ROUND($N15-$M15,6),"-")</f>
        <v>-</v>
      </c>
      <c r="P15" s="1771">
        <f>SUM(P14:P14)</f>
        <v>1.02484851</v>
      </c>
      <c r="Q15" s="1771" t="str">
        <f>IF(ISNUMBER($M15),ROUND($P15-$M15,6),"-")</f>
        <v>-</v>
      </c>
    </row>
    <row r="16">
      <c r="B16" s="1530" t="inlineStr">
        <is>
          <t>Groups with no archetype and no funded figure</t>
        </is>
      </c>
      <c r="C16" s="1530" t="n"/>
      <c r="D16" s="1530" t="n"/>
      <c r="E16" s="1530" t="n"/>
      <c r="F16" s="1530" t="n"/>
      <c r="G16" s="1530" t="n"/>
      <c r="H16" s="1530" t="n"/>
      <c r="I16" s="1530" t="n"/>
      <c r="J16" s="1530" t="n"/>
      <c r="K16" s="1530" t="n"/>
      <c r="L16" s="1530" t="n"/>
      <c r="M16" s="1530" t="n"/>
      <c r="N16" s="1530" t="n"/>
      <c r="O16" s="1530" t="n"/>
      <c r="P16" s="1530" t="n"/>
      <c r="Q16" s="1530" t="n"/>
    </row>
    <row r="17">
      <c r="B17" s="1531" t="inlineStr">
        <is>
          <t>None</t>
        </is>
      </c>
      <c r="C17" s="1531" t="inlineStr">
        <is>
          <t>None - every group here has a figure to compare</t>
        </is>
      </c>
      <c r="D17" s="1539" t="str">
        <f>"-"</f>
        <v>-</v>
      </c>
      <c r="E17" s="1539" t="str">
        <f>"-"</f>
        <v>-</v>
      </c>
      <c r="F17" s="1539" t="str">
        <f>"-"</f>
        <v>-</v>
      </c>
      <c r="G17" s="1539" t="str">
        <f>"-"</f>
        <v>-</v>
      </c>
      <c r="H17" s="1539" t="str">
        <f>"-"</f>
        <v>-</v>
      </c>
      <c r="I17" s="1539" t="str">
        <f>"-"</f>
        <v>-</v>
      </c>
      <c r="J17" s="1539" t="str">
        <f>"-"</f>
        <v>-</v>
      </c>
      <c r="K17" s="1539" t="str">
        <f>"-"</f>
        <v>-</v>
      </c>
      <c r="L17" s="1539" t="str">
        <f>"-"</f>
        <v>-</v>
      </c>
      <c r="M17" s="1539" t="str">
        <f>"-"</f>
        <v>-</v>
      </c>
      <c r="N17" s="1539" t="str">
        <f>"-"</f>
        <v>-</v>
      </c>
      <c r="O17" s="1539" t="str">
        <f>"-"</f>
        <v>-</v>
      </c>
      <c r="P17" s="1539" t="str">
        <f>"-"</f>
        <v>-</v>
      </c>
      <c r="Q17" s="1539" t="str">
        <f>"-"</f>
        <v>-</v>
      </c>
    </row>
    <row r="18">
      <c r="B18" s="1535" t="inlineStr">
        <is>
          <t>Groups with no archetype and no funded figure total</t>
        </is>
      </c>
      <c r="C18" s="1535" t="n"/>
      <c r="D18" s="1535" t="n"/>
      <c r="E18" s="1784">
        <f>SUM(E17:E17)</f>
        <v>0</v>
      </c>
      <c r="F18" s="1772">
        <f>SUM(F17:F17)</f>
        <v>0</v>
      </c>
      <c r="G18" s="1772">
        <f>SUM(G17:G17)</f>
        <v>0</v>
      </c>
      <c r="H18" s="1772">
        <f>SUM(H17:H17)</f>
        <v>0</v>
      </c>
      <c r="I18" s="1772">
        <f>SUM(I17:I17)</f>
        <v>0</v>
      </c>
      <c r="J18" s="1772">
        <f>SUM(J17:J17)</f>
        <v>0</v>
      </c>
      <c r="K18" s="1772">
        <f>SUM(K17:K17)</f>
        <v>0</v>
      </c>
      <c r="L18" s="1772">
        <f>SUM(L17:L17)</f>
        <v>0</v>
      </c>
      <c r="M18" s="1771" t="str">
        <f>IF(COUNT(M17:M17)=1,SUM(M17:M17),"-")</f>
        <v>-</v>
      </c>
      <c r="N18" s="1771">
        <f>SUM(N17:N17)</f>
        <v>0</v>
      </c>
      <c r="O18" s="1771" t="str">
        <f>IF(ISNUMBER($M18),ROUND($N18-$M18,6),"-")</f>
        <v>-</v>
      </c>
      <c r="P18" s="1771">
        <f>SUM(P17:P17)</f>
        <v>0</v>
      </c>
      <c r="Q18" s="1771" t="str">
        <f>IF(ISNUMBER($M18),ROUND($P18-$M18,6),"-")</f>
        <v>-</v>
      </c>
    </row>
    <row r="19">
      <c r="B19" s="1530" t="inlineStr">
        <is>
          <t>Overhead roles</t>
        </is>
      </c>
      <c r="C19" s="1530" t="n"/>
      <c r="D19" s="1530" t="n"/>
      <c r="E19" s="1530" t="n"/>
      <c r="F19" s="1530" t="n"/>
      <c r="G19" s="1530" t="n"/>
      <c r="H19" s="1530" t="n"/>
      <c r="I19" s="1530" t="n"/>
      <c r="J19" s="1530" t="n"/>
      <c r="K19" s="1530" t="n"/>
      <c r="L19" s="1530" t="n"/>
      <c r="M19" s="1530" t="n"/>
      <c r="N19" s="1530" t="n"/>
      <c r="O19" s="1530" t="n"/>
      <c r="P19" s="1530" t="n"/>
      <c r="Q19" s="1530" t="n"/>
    </row>
    <row r="20">
      <c r="B20" s="1531" t="inlineStr">
        <is>
          <t>Head of Technology</t>
        </is>
      </c>
      <c r="C20" s="1531" t="str">
        <f>"-"</f>
        <v>-</v>
      </c>
      <c r="D20" s="1531" t="str">
        <f>"-"</f>
        <v>-</v>
      </c>
      <c r="E20" s="1540" t="str">
        <f>"-"</f>
        <v>-</v>
      </c>
      <c r="F20" s="1770">
        <f>COUNTA($B$77:$B$77)</f>
        <v>1</v>
      </c>
      <c r="G20" s="1770">
        <f>COUNTIFS($D$77:$D$77,"Filled")</f>
        <v>0</v>
      </c>
      <c r="H20" s="1770">
        <f>COUNTIFS($D$77:$D$77,"Vacant")</f>
        <v>1</v>
      </c>
      <c r="I20" s="1770">
        <f>COUNTIFS($D$77:$D$77,"Vacant",$E$77:$E$77,"Hire")</f>
        <v>1</v>
      </c>
      <c r="J20" s="1770">
        <f>COUNTIFS($E$77:$E$77,"Offshore")</f>
        <v>0</v>
      </c>
      <c r="K20" s="1770">
        <f>COUNTIFS($E$77:$E$77,"Hold")</f>
        <v>0</v>
      </c>
      <c r="L20" s="1770">
        <f>$F20-$K20</f>
        <v>1</v>
      </c>
      <c r="M20" s="1540" t="str">
        <f>"-"</f>
        <v>-</v>
      </c>
      <c r="N20" s="1769">
        <f>SUMIFS('REVIEW - Complete Role Mapping'!$AA$2:$AA$528,'REVIEW - Complete Role Mapping'!$AJ$2:$AJ$528,$C$3,'REVIEW - Complete Role Mapping'!$AT$2:$AT$528,$B20)/1000000</f>
        <v>0.33302025</v>
      </c>
      <c r="O20" s="1540" t="str">
        <f>"-"</f>
        <v>-</v>
      </c>
      <c r="P20" s="1769">
        <f>SUM($G$77:$G$77)/1000000</f>
        <v>0.33302025</v>
      </c>
      <c r="Q20" s="1540" t="str">
        <f>"-"</f>
        <v>-</v>
      </c>
    </row>
    <row r="21">
      <c r="B21" s="1531" t="inlineStr">
        <is>
          <t>Delivery Manager</t>
        </is>
      </c>
      <c r="C21" s="1531" t="str">
        <f>"-"</f>
        <v>-</v>
      </c>
      <c r="D21" s="1531" t="str">
        <f>"-"</f>
        <v>-</v>
      </c>
      <c r="E21" s="1540" t="str">
        <f>"-"</f>
        <v>-</v>
      </c>
      <c r="F21" s="1770">
        <f>COUNTA($B$79:$B$79)</f>
        <v>1</v>
      </c>
      <c r="G21" s="1770">
        <f>COUNTIFS($D$79:$D$79,"Filled")</f>
        <v>0</v>
      </c>
      <c r="H21" s="1770">
        <f>COUNTIFS($D$79:$D$79,"Vacant")</f>
        <v>1</v>
      </c>
      <c r="I21" s="1770">
        <f>COUNTIFS($D$79:$D$79,"Vacant",$E$79:$E$79,"Hire")</f>
        <v>1</v>
      </c>
      <c r="J21" s="1770">
        <f>COUNTIFS($E$79:$E$79,"Offshore")</f>
        <v>0</v>
      </c>
      <c r="K21" s="1770">
        <f>COUNTIFS($E$79:$E$79,"Hold")</f>
        <v>0</v>
      </c>
      <c r="L21" s="1770">
        <f>$F21-$K21</f>
        <v>1</v>
      </c>
      <c r="M21" s="1540" t="str">
        <f>"-"</f>
        <v>-</v>
      </c>
      <c r="N21" s="1769">
        <f>SUMIFS('REVIEW - Complete Role Mapping'!$AA$2:$AA$528,'REVIEW - Complete Role Mapping'!$AJ$2:$AJ$528,$C$3,'REVIEW - Complete Role Mapping'!$AT$2:$AT$528,$B21)/1000000</f>
        <v>0.27581025</v>
      </c>
      <c r="O21" s="1540" t="str">
        <f>"-"</f>
        <v>-</v>
      </c>
      <c r="P21" s="1769">
        <f>SUM($G$79:$G$79)/1000000</f>
        <v>0.27581025</v>
      </c>
      <c r="Q21" s="1540" t="str">
        <f>"-"</f>
        <v>-</v>
      </c>
    </row>
    <row r="22">
      <c r="B22" s="1531" t="inlineStr">
        <is>
          <t>Technology Manager</t>
        </is>
      </c>
      <c r="C22" s="1531" t="str">
        <f>"-"</f>
        <v>-</v>
      </c>
      <c r="D22" s="1531" t="str">
        <f>"-"</f>
        <v>-</v>
      </c>
      <c r="E22" s="1540" t="str">
        <f>"-"</f>
        <v>-</v>
      </c>
      <c r="F22" s="1770">
        <f>COUNTA($B$81:$B$84)</f>
        <v>4</v>
      </c>
      <c r="G22" s="1770">
        <f>COUNTIFS($D$81:$D$84,"Filled")</f>
        <v>1</v>
      </c>
      <c r="H22" s="1770">
        <f>COUNTIFS($D$81:$D$84,"Vacant")</f>
        <v>3</v>
      </c>
      <c r="I22" s="1770">
        <f>COUNTIFS($D$81:$D$84,"Vacant",$E$81:$E$84,"Hire")</f>
        <v>3</v>
      </c>
      <c r="J22" s="1770">
        <f>COUNTIFS($E$81:$E$84,"Offshore")</f>
        <v>0</v>
      </c>
      <c r="K22" s="1770">
        <f>COUNTIFS($E$81:$E$84,"Hold")</f>
        <v>0</v>
      </c>
      <c r="L22" s="1770">
        <f>$F22-$K22</f>
        <v>4</v>
      </c>
      <c r="M22" s="1540" t="str">
        <f>"-"</f>
        <v>-</v>
      </c>
      <c r="N22" s="1769">
        <f>SUMIFS('REVIEW - Complete Role Mapping'!$AA$2:$AA$528,'REVIEW - Complete Role Mapping'!$AJ$2:$AJ$528,$C$3,'REVIEW - Complete Role Mapping'!$AT$2:$AT$528,$B22)/1000000</f>
        <v>1.05666075</v>
      </c>
      <c r="O22" s="1540" t="str">
        <f>"-"</f>
        <v>-</v>
      </c>
      <c r="P22" s="1769">
        <f>SUM($G$81:$G$84)/1000000</f>
        <v>1.05666075</v>
      </c>
      <c r="Q22" s="1540" t="str">
        <f>"-"</f>
        <v>-</v>
      </c>
    </row>
    <row r="23">
      <c r="B23" s="1535" t="inlineStr">
        <is>
          <t>Overhead roles total</t>
        </is>
      </c>
      <c r="C23" s="1535" t="n"/>
      <c r="D23" s="1535" t="n"/>
      <c r="E23" s="1784">
        <f>SUM(E20:E22)</f>
        <v>0</v>
      </c>
      <c r="F23" s="1772">
        <f>SUM(F20:F22)</f>
        <v>6</v>
      </c>
      <c r="G23" s="1772">
        <f>SUM(G20:G22)</f>
        <v>1</v>
      </c>
      <c r="H23" s="1772">
        <f>SUM(H20:H22)</f>
        <v>5</v>
      </c>
      <c r="I23" s="1772">
        <f>SUM(I20:I22)</f>
        <v>5</v>
      </c>
      <c r="J23" s="1772">
        <f>SUM(J20:J22)</f>
        <v>0</v>
      </c>
      <c r="K23" s="1772">
        <f>SUM(K20:K22)</f>
        <v>0</v>
      </c>
      <c r="L23" s="1772">
        <f>SUM(L20:L22)</f>
        <v>6</v>
      </c>
      <c r="M23" s="1771" t="str">
        <f>IF(COUNT(M20:M22)=3,SUM(M20:M22),"-")</f>
        <v>-</v>
      </c>
      <c r="N23" s="1771">
        <f>SUM(N20:N22)</f>
        <v>1.66549125</v>
      </c>
      <c r="O23" s="1771" t="str">
        <f>IF(ISNUMBER($M23),ROUND($N23-$M23,6),"-")</f>
        <v>-</v>
      </c>
      <c r="P23" s="1771">
        <f>SUM(P20:P22)</f>
        <v>1.66549125</v>
      </c>
      <c r="Q23" s="1771" t="str">
        <f>IF(ISNUMBER($M23),ROUND($P23-$M23,6),"-")</f>
        <v>-</v>
      </c>
    </row>
    <row r="24">
      <c r="B24" s="1541" t="inlineStr">
        <is>
          <t>Total portfolio</t>
        </is>
      </c>
      <c r="C24" s="1541" t="n"/>
      <c r="D24" s="1541" t="n"/>
      <c r="E24" s="1785">
        <f>N(E12)+N(E15)+N(E18)+N(E23)</f>
        <v>25.5</v>
      </c>
      <c r="F24" s="1774">
        <f>N(F12)+N(F15)+N(F18)+N(F23)</f>
        <v>46</v>
      </c>
      <c r="G24" s="1774">
        <f>N(G12)+N(G15)+N(G18)+N(G23)</f>
        <v>32</v>
      </c>
      <c r="H24" s="1774">
        <f>N(H12)+N(H15)+N(H18)+N(H23)</f>
        <v>14</v>
      </c>
      <c r="I24" s="1774">
        <f>N(I12)+N(I15)+N(I18)+N(I23)</f>
        <v>14</v>
      </c>
      <c r="J24" s="1774">
        <f>N(J12)+N(J15)+N(J18)+N(J23)</f>
        <v>0</v>
      </c>
      <c r="K24" s="1774">
        <f>N(K12)+N(K15)+N(K18)+N(K23)</f>
        <v>0</v>
      </c>
      <c r="L24" s="1774">
        <f>N(L12)+N(L15)+N(L18)+N(L23)</f>
        <v>46</v>
      </c>
      <c r="M24" s="1773" t="str">
        <f>"-"</f>
        <v>-</v>
      </c>
      <c r="N24" s="1773">
        <f>N(N12)+N(N15)+N(N18)+N(N23)</f>
        <v>10.2009694824</v>
      </c>
      <c r="O24" s="1773" t="str">
        <f>"-"</f>
        <v>-</v>
      </c>
      <c r="P24" s="1773">
        <f>N(P12)+N(P15)+N(P18)+N(P23)</f>
        <v>10.2009694824</v>
      </c>
      <c r="Q24" s="1773" t="str">
        <f>"-"</f>
        <v>-</v>
      </c>
    </row>
    <row r="26">
      <c r="B26" s="1526" t="inlineStr">
        <is>
          <t>Control - roles against the ledger, must be 0</t>
        </is>
      </c>
      <c r="F26" s="1778">
        <f>$F$24-COUNTIFS('REVIEW - Complete Role Mapping'!$AJ$2:$AJ$528,$C$3)</f>
        <v>0</v>
      </c>
    </row>
    <row r="27">
      <c r="B27" s="1526" t="inlineStr">
        <is>
          <t>Control - cost against the ledger ($m), must be 0</t>
        </is>
      </c>
      <c r="N27" s="1779">
        <f>ROUND($N$24-SUMIFS('REVIEW - Complete Role Mapping'!$AA$2:$AA$528,'REVIEW - Complete Role Mapping'!$AJ$2:$AJ$528,$C$3)/1000000,6)</f>
        <v>0</v>
      </c>
    </row>
    <row r="29" ht="19" customHeight="1" s="866">
      <c r="B29" s="1527" t="inlineStr">
        <is>
          <t>TDD Group Functions FTE</t>
        </is>
      </c>
      <c r="C29" s="1528" t="n"/>
      <c r="D29" s="1528" t="n"/>
      <c r="E29" s="1528" t="n"/>
      <c r="F29" s="1528" t="n"/>
      <c r="G29" s="1528" t="n"/>
    </row>
    <row r="30" ht="34" customHeight="1" s="866">
      <c r="B30" s="1529" t="inlineStr">
        <is>
          <t>Name</t>
        </is>
      </c>
      <c r="C30" s="1529" t="inlineStr">
        <is>
          <t>Role</t>
        </is>
      </c>
      <c r="D30" s="1529" t="inlineStr">
        <is>
          <t>Status</t>
        </is>
      </c>
      <c r="E30" s="1529" t="inlineStr">
        <is>
          <t>Vacancy lever</t>
        </is>
      </c>
      <c r="F30" s="1529" t="inlineStr">
        <is>
          <t>Role cost ($)</t>
        </is>
      </c>
      <c r="G30" s="1529" t="inlineStr">
        <is>
          <t>Cost after decision ($)</t>
        </is>
      </c>
    </row>
    <row r="31">
      <c r="B31" s="1530" t="inlineStr">
        <is>
          <t>Cloud, Network &amp; Infra Ops</t>
        </is>
      </c>
      <c r="C31" s="1530" t="str">
        <f>COUNTA($B$32:$B$43)&amp;IF(COUNTA($B$32:$B$43)=1," role"," roles")</f>
        <v>12 roles</v>
      </c>
      <c r="D31" s="1530" t="n"/>
      <c r="E31" s="1530" t="n"/>
      <c r="F31" s="1786">
        <f>SUM(F32:F43)</f>
        <v>2826720.9564</v>
      </c>
      <c r="G31" s="1786">
        <f>SUM(G32:G43)</f>
        <v>2826720.9564</v>
      </c>
    </row>
    <row r="32">
      <c r="B32" s="1531" t="str">
        <f>INDEX('REVIEW - Complete Role Mapping'!$B:$B,468)</f>
        <v>C K Lau</v>
      </c>
      <c r="C32" s="1531" t="str">
        <f>INDEX('REVIEW - Complete Role Mapping'!$C:$C,468)</f>
        <v>Delivery Lead (Cloud &amp; Network)</v>
      </c>
      <c r="D32" s="1531" t="str">
        <f>INDEX('REVIEW - Complete Role Mapping'!$AK:$AK,468)</f>
        <v>Filled</v>
      </c>
      <c r="E32" s="1548" t="inlineStr">
        <is>
          <t>Filled</t>
        </is>
      </c>
      <c r="F32" s="1770">
        <f>INDEX('REVIEW - Complete Role Mapping'!$AA:$AA,468)</f>
        <v>249164.4</v>
      </c>
      <c r="G32" s="1770">
        <f>$F32*IFERROR(INDEX(Lists!$AD:$AD,MATCH($E32,Lists!$AC:$AC,0)),1)</f>
        <v>249164.4</v>
      </c>
    </row>
    <row r="33">
      <c r="B33" s="1531" t="str">
        <f>INDEX('REVIEW - Complete Role Mapping'!$B:$B,469)</f>
        <v>Fan Zhang</v>
      </c>
      <c r="C33" s="1531" t="str">
        <f>INDEX('REVIEW - Complete Role Mapping'!$C:$C,469)</f>
        <v>Infrastructure Engineer</v>
      </c>
      <c r="D33" s="1531" t="str">
        <f>INDEX('REVIEW - Complete Role Mapping'!$AK:$AK,469)</f>
        <v>Filled</v>
      </c>
      <c r="E33" s="1548" t="inlineStr">
        <is>
          <t>Filled</t>
        </is>
      </c>
      <c r="F33" s="1770">
        <f>INDEX('REVIEW - Complete Role Mapping'!$AA:$AA,469)</f>
        <v>133812.3564</v>
      </c>
      <c r="G33" s="1770">
        <f>$F33*IFERROR(INDEX(Lists!$AD:$AD,MATCH($E33,Lists!$AC:$AC,0)),1)</f>
        <v>133812.3564</v>
      </c>
    </row>
    <row r="34">
      <c r="B34" s="1531" t="str">
        <f>INDEX('REVIEW - Complete Role Mapping'!$B:$B,470)</f>
        <v>Jason Satoso</v>
      </c>
      <c r="C34" s="1531" t="str">
        <f>INDEX('REVIEW - Complete Role Mapping'!$C:$C,470)</f>
        <v>Cloud Operations Engineer</v>
      </c>
      <c r="D34" s="1531" t="str">
        <f>INDEX('REVIEW - Complete Role Mapping'!$AK:$AK,470)</f>
        <v>Filled</v>
      </c>
      <c r="E34" s="1548" t="inlineStr">
        <is>
          <t>Filled</t>
        </is>
      </c>
      <c r="F34" s="1770">
        <f>INDEX('REVIEW - Complete Role Mapping'!$AA:$AA,470)</f>
        <v>206190.75</v>
      </c>
      <c r="G34" s="1770">
        <f>$F34*IFERROR(INDEX(Lists!$AD:$AD,MATCH($E34,Lists!$AC:$AC,0)),1)</f>
        <v>206190.75</v>
      </c>
    </row>
    <row r="35">
      <c r="B35" s="1531" t="str">
        <f>INDEX('REVIEW - Complete Role Mapping'!$B:$B,471)</f>
        <v>John McCormack</v>
      </c>
      <c r="C35" s="1531" t="str">
        <f>INDEX('REVIEW - Complete Role Mapping'!$C:$C,471)</f>
        <v>Manager - Infrastructure Operations</v>
      </c>
      <c r="D35" s="1531" t="str">
        <f>INDEX('REVIEW - Complete Role Mapping'!$AK:$AK,471)</f>
        <v>Filled</v>
      </c>
      <c r="E35" s="1548" t="inlineStr">
        <is>
          <t>Filled</t>
        </is>
      </c>
      <c r="F35" s="1770">
        <f>INDEX('REVIEW - Complete Role Mapping'!$AA:$AA,471)</f>
        <v>246494.4</v>
      </c>
      <c r="G35" s="1770">
        <f>$F35*IFERROR(INDEX(Lists!$AD:$AD,MATCH($E35,Lists!$AC:$AC,0)),1)</f>
        <v>246494.4</v>
      </c>
    </row>
    <row r="36">
      <c r="B36" s="1531" t="str">
        <f>INDEX('REVIEW - Complete Role Mapping'!$B:$B,472)</f>
        <v>Muhammad Abubaker</v>
      </c>
      <c r="C36" s="1531" t="str">
        <f>INDEX('REVIEW - Complete Role Mapping'!$C:$C,472)</f>
        <v>Network Operations Engineer</v>
      </c>
      <c r="D36" s="1531" t="str">
        <f>INDEX('REVIEW - Complete Role Mapping'!$AK:$AK,472)</f>
        <v>Filled</v>
      </c>
      <c r="E36" s="1548" t="inlineStr">
        <is>
          <t>Filled</t>
        </is>
      </c>
      <c r="F36" s="1770">
        <f>INDEX('REVIEW - Complete Role Mapping'!$AA:$AA,472)</f>
        <v>217658.4</v>
      </c>
      <c r="G36" s="1770">
        <f>$F36*IFERROR(INDEX(Lists!$AD:$AD,MATCH($E36,Lists!$AC:$AC,0)),1)</f>
        <v>217658.4</v>
      </c>
    </row>
    <row r="37">
      <c r="B37" s="1531" t="str">
        <f>INDEX('REVIEW - Complete Role Mapping'!$B:$B,473)</f>
        <v>Ring fenced selection</v>
      </c>
      <c r="C37" s="1531" t="str">
        <f>INDEX('REVIEW - Complete Role Mapping'!$C:$C,473)</f>
        <v>Cloud Solutions Architect</v>
      </c>
      <c r="D37" s="1531" t="str">
        <f>INDEX('REVIEW - Complete Role Mapping'!$AK:$AK,473)</f>
        <v>Filled</v>
      </c>
      <c r="E37" s="1548" t="inlineStr">
        <is>
          <t>Filled</t>
        </is>
      </c>
      <c r="F37" s="1770">
        <f>INDEX('REVIEW - Complete Role Mapping'!$AA:$AA,473)</f>
        <v>267000</v>
      </c>
      <c r="G37" s="1770">
        <f>$F37*IFERROR(INDEX(Lists!$AD:$AD,MATCH($E37,Lists!$AC:$AC,0)),1)</f>
        <v>267000</v>
      </c>
    </row>
    <row r="38">
      <c r="B38" s="1531" t="str">
        <f>INDEX('REVIEW - Complete Role Mapping'!$B:$B,474)</f>
        <v>Ring fenced selection</v>
      </c>
      <c r="C38" s="1531" t="str">
        <f>INDEX('REVIEW - Complete Role Mapping'!$C:$C,474)</f>
        <v>Cloud Solutions Architect</v>
      </c>
      <c r="D38" s="1531" t="str">
        <f>INDEX('REVIEW - Complete Role Mapping'!$AK:$AK,474)</f>
        <v>Filled</v>
      </c>
      <c r="E38" s="1548" t="inlineStr">
        <is>
          <t>Filled</t>
        </is>
      </c>
      <c r="F38" s="1770">
        <f>INDEX('REVIEW - Complete Role Mapping'!$AA:$AA,474)</f>
        <v>267000</v>
      </c>
      <c r="G38" s="1770">
        <f>$F38*IFERROR(INDEX(Lists!$AD:$AD,MATCH($E38,Lists!$AC:$AC,0)),1)</f>
        <v>267000</v>
      </c>
    </row>
    <row r="39">
      <c r="B39" s="1531" t="str">
        <f>INDEX('REVIEW - Complete Role Mapping'!$B:$B,475)</f>
        <v>Ring fenced selection</v>
      </c>
      <c r="C39" s="1531" t="str">
        <f>INDEX('REVIEW - Complete Role Mapping'!$C:$C,475)</f>
        <v>Cloud Solutions Architect</v>
      </c>
      <c r="D39" s="1531" t="str">
        <f>INDEX('REVIEW - Complete Role Mapping'!$AK:$AK,475)</f>
        <v>Filled</v>
      </c>
      <c r="E39" s="1548" t="inlineStr">
        <is>
          <t>Filled</t>
        </is>
      </c>
      <c r="F39" s="1770">
        <f>INDEX('REVIEW - Complete Role Mapping'!$AA:$AA,475)</f>
        <v>267000</v>
      </c>
      <c r="G39" s="1770">
        <f>$F39*IFERROR(INDEX(Lists!$AD:$AD,MATCH($E39,Lists!$AC:$AC,0)),1)</f>
        <v>267000</v>
      </c>
    </row>
    <row r="40">
      <c r="B40" s="1531" t="str">
        <f>INDEX('REVIEW - Complete Role Mapping'!$B:$B,476)</f>
        <v>Ring fenced selection</v>
      </c>
      <c r="C40" s="1531" t="str">
        <f>INDEX('REVIEW - Complete Role Mapping'!$C:$C,476)</f>
        <v>Cloud Solutions Architect</v>
      </c>
      <c r="D40" s="1531" t="str">
        <f>INDEX('REVIEW - Complete Role Mapping'!$AK:$AK,476)</f>
        <v>Filled</v>
      </c>
      <c r="E40" s="1548" t="inlineStr">
        <is>
          <t>Filled</t>
        </is>
      </c>
      <c r="F40" s="1770">
        <f>INDEX('REVIEW - Complete Role Mapping'!$AA:$AA,476)</f>
        <v>267000</v>
      </c>
      <c r="G40" s="1770">
        <f>$F40*IFERROR(INDEX(Lists!$AD:$AD,MATCH($E40,Lists!$AC:$AC,0)),1)</f>
        <v>267000</v>
      </c>
    </row>
    <row r="41">
      <c r="B41" s="1531" t="str">
        <f>INDEX('REVIEW - Complete Role Mapping'!$B:$B,477)</f>
        <v>Satish Chowdhary</v>
      </c>
      <c r="C41" s="1531" t="str">
        <f>INDEX('REVIEW - Complete Role Mapping'!$C:$C,477)</f>
        <v>Nework Architect</v>
      </c>
      <c r="D41" s="1531" t="str">
        <f>INDEX('REVIEW - Complete Role Mapping'!$AK:$AK,477)</f>
        <v>Filled</v>
      </c>
      <c r="E41" s="1548" t="inlineStr">
        <is>
          <t>Filled</t>
        </is>
      </c>
      <c r="F41" s="1770">
        <f>INDEX('REVIEW - Complete Role Mapping'!$AA:$AA,477)</f>
        <v>259123.5</v>
      </c>
      <c r="G41" s="1770">
        <f>$F41*IFERROR(INDEX(Lists!$AD:$AD,MATCH($E41,Lists!$AC:$AC,0)),1)</f>
        <v>259123.5</v>
      </c>
    </row>
    <row r="42">
      <c r="B42" s="1531" t="str">
        <f>INDEX('REVIEW - Complete Role Mapping'!$B:$B,478)</f>
        <v>Steven Yong</v>
      </c>
      <c r="C42" s="1531" t="str">
        <f>INDEX('REVIEW - Complete Role Mapping'!$C:$C,478)</f>
        <v>Nework Architect</v>
      </c>
      <c r="D42" s="1531" t="str">
        <f>INDEX('REVIEW - Complete Role Mapping'!$AK:$AK,478)</f>
        <v>Filled</v>
      </c>
      <c r="E42" s="1548" t="inlineStr">
        <is>
          <t>Filled</t>
        </is>
      </c>
      <c r="F42" s="1770">
        <f>INDEX('REVIEW - Complete Role Mapping'!$AA:$AA,478)</f>
        <v>243423.9</v>
      </c>
      <c r="G42" s="1770">
        <f>$F42*IFERROR(INDEX(Lists!$AD:$AD,MATCH($E42,Lists!$AC:$AC,0)),1)</f>
        <v>243423.9</v>
      </c>
    </row>
    <row r="43">
      <c r="B43" s="1531" t="str">
        <f>INDEX('REVIEW - Complete Role Mapping'!$B:$B,513)</f>
        <v>Vacant</v>
      </c>
      <c r="C43" s="1531" t="str">
        <f>INDEX('REVIEW - Complete Role Mapping'!$C:$C,513)</f>
        <v>Infrastructure Operations Lead</v>
      </c>
      <c r="D43" s="1531" t="str">
        <f>INDEX('REVIEW - Complete Role Mapping'!$AK:$AK,513)</f>
        <v>Vacant</v>
      </c>
      <c r="E43" s="1548" t="inlineStr">
        <is>
          <t>Hire</t>
        </is>
      </c>
      <c r="F43" s="1770">
        <f>INDEX('REVIEW - Complete Role Mapping'!$AA:$AA,513)</f>
        <v>202853.25</v>
      </c>
      <c r="G43" s="1770">
        <f>$F43*IFERROR(INDEX(Lists!$AD:$AD,MATCH($E43,Lists!$AC:$AC,0)),1)</f>
        <v>202853.25</v>
      </c>
    </row>
    <row r="44">
      <c r="B44" s="1530" t="inlineStr">
        <is>
          <t>DevOps &amp; QE</t>
        </is>
      </c>
      <c r="C44" s="1530" t="str">
        <f>COUNTA($B$45:$B$52)&amp;IF(COUNTA($B$45:$B$52)=1," role"," roles")</f>
        <v>8 roles</v>
      </c>
      <c r="D44" s="1530" t="n"/>
      <c r="E44" s="1530" t="n"/>
      <c r="F44" s="1786">
        <f>SUM(F45:F52)</f>
        <v>1581591.798</v>
      </c>
      <c r="G44" s="1786">
        <f>SUM(G45:G52)</f>
        <v>1581591.798</v>
      </c>
    </row>
    <row r="45">
      <c r="B45" s="1531" t="str">
        <f>INDEX('REVIEW - Complete Role Mapping'!$B:$B,479)</f>
        <v>Lucas Wang</v>
      </c>
      <c r="C45" s="1531" t="str">
        <f>INDEX('REVIEW - Complete Role Mapping'!$C:$C,479)</f>
        <v>Senior Engineer (Automation Test)</v>
      </c>
      <c r="D45" s="1531" t="str">
        <f>INDEX('REVIEW - Complete Role Mapping'!$AK:$AK,479)</f>
        <v>Filled</v>
      </c>
      <c r="E45" s="1548" t="inlineStr">
        <is>
          <t>Filled</t>
        </is>
      </c>
      <c r="F45" s="1770">
        <f>INDEX('REVIEW - Complete Role Mapping'!$AA:$AA,479)</f>
        <v>194522.85</v>
      </c>
      <c r="G45" s="1770">
        <f>$F45*IFERROR(INDEX(Lists!$AD:$AD,MATCH($E45,Lists!$AC:$AC,0)),1)</f>
        <v>194522.85</v>
      </c>
    </row>
    <row r="46">
      <c r="B46" s="1531" t="str">
        <f>INDEX('REVIEW - Complete Role Mapping'!$B:$B,480)</f>
        <v>Luke Hamer</v>
      </c>
      <c r="C46" s="1531" t="str">
        <f>INDEX('REVIEW - Complete Role Mapping'!$C:$C,480)</f>
        <v>Lead Engineer - Devops</v>
      </c>
      <c r="D46" s="1531" t="str">
        <f>INDEX('REVIEW - Complete Role Mapping'!$AK:$AK,480)</f>
        <v>Filled</v>
      </c>
      <c r="E46" s="1548" t="inlineStr">
        <is>
          <t>Filled</t>
        </is>
      </c>
      <c r="F46" s="1770">
        <f>INDEX('REVIEW - Complete Role Mapping'!$AA:$AA,480)</f>
        <v>183060.72</v>
      </c>
      <c r="G46" s="1770">
        <f>$F46*IFERROR(INDEX(Lists!$AD:$AD,MATCH($E46,Lists!$AC:$AC,0)),1)</f>
        <v>183060.72</v>
      </c>
    </row>
    <row r="47">
      <c r="B47" s="1531" t="str">
        <f>INDEX('REVIEW - Complete Role Mapping'!$B:$B,481)</f>
        <v>Mike Lealamanu</v>
      </c>
      <c r="C47" s="1531" t="str">
        <f>INDEX('REVIEW - Complete Role Mapping'!$C:$C,481)</f>
        <v>Quality Assurance</v>
      </c>
      <c r="D47" s="1531" t="str">
        <f>INDEX('REVIEW - Complete Role Mapping'!$AK:$AK,481)</f>
        <v>Filled</v>
      </c>
      <c r="E47" s="1548" t="inlineStr">
        <is>
          <t>Filled</t>
        </is>
      </c>
      <c r="F47" s="1770">
        <f>INDEX('REVIEW - Complete Role Mapping'!$AA:$AA,481)</f>
        <v>133983.228</v>
      </c>
      <c r="G47" s="1770">
        <f>$F47*IFERROR(INDEX(Lists!$AD:$AD,MATCH($E47,Lists!$AC:$AC,0)),1)</f>
        <v>133983.228</v>
      </c>
    </row>
    <row r="48">
      <c r="B48" s="1531" t="str">
        <f>INDEX('REVIEW - Complete Role Mapping'!$B:$B,482)</f>
        <v>Sunny Arya</v>
      </c>
      <c r="C48" s="1531" t="str">
        <f>INDEX('REVIEW - Complete Role Mapping'!$C:$C,482)</f>
        <v>Lead Engineer, Devops</v>
      </c>
      <c r="D48" s="1531" t="str">
        <f>INDEX('REVIEW - Complete Role Mapping'!$AK:$AK,482)</f>
        <v>Filled</v>
      </c>
      <c r="E48" s="1548" t="inlineStr">
        <is>
          <t>Filled</t>
        </is>
      </c>
      <c r="F48" s="1770">
        <f>INDEX('REVIEW - Complete Role Mapping'!$AA:$AA,482)</f>
        <v>200940</v>
      </c>
      <c r="G48" s="1770">
        <f>$F48*IFERROR(INDEX(Lists!$AD:$AD,MATCH($E48,Lists!$AC:$AC,0)),1)</f>
        <v>200940</v>
      </c>
    </row>
    <row r="49">
      <c r="B49" s="1531" t="str">
        <f>INDEX('REVIEW - Complete Role Mapping'!$B:$B,515)</f>
        <v>Vacant</v>
      </c>
      <c r="C49" s="1531" t="str">
        <f>INDEX('REVIEW - Complete Role Mapping'!$C:$C,515)</f>
        <v>Senior Engineer (Automation Test)</v>
      </c>
      <c r="D49" s="1531" t="str">
        <f>INDEX('REVIEW - Complete Role Mapping'!$AK:$AK,515)</f>
        <v>Vacant</v>
      </c>
      <c r="E49" s="1548" t="inlineStr">
        <is>
          <t>Hire</t>
        </is>
      </c>
      <c r="F49" s="1770">
        <f>INDEX('REVIEW - Complete Role Mapping'!$AA:$AA,515)</f>
        <v>202853.25</v>
      </c>
      <c r="G49" s="1770">
        <f>$F49*IFERROR(INDEX(Lists!$AD:$AD,MATCH($E49,Lists!$AC:$AC,0)),1)</f>
        <v>202853.25</v>
      </c>
    </row>
    <row r="50">
      <c r="B50" s="1531" t="str">
        <f>INDEX('REVIEW - Complete Role Mapping'!$B:$B,520)</f>
        <v>Vacant</v>
      </c>
      <c r="C50" s="1531" t="str">
        <f>INDEX('REVIEW - Complete Role Mapping'!$C:$C,520)</f>
        <v>Environments and Test Data Manager</v>
      </c>
      <c r="D50" s="1531" t="str">
        <f>INDEX('REVIEW - Complete Role Mapping'!$AK:$AK,520)</f>
        <v>Vacant</v>
      </c>
      <c r="E50" s="1548" t="inlineStr">
        <is>
          <t>Hire</t>
        </is>
      </c>
      <c r="F50" s="1770">
        <f>INDEX('REVIEW - Complete Role Mapping'!$AA:$AA,520)</f>
        <v>202853.25</v>
      </c>
      <c r="G50" s="1770">
        <f>$F50*IFERROR(INDEX(Lists!$AD:$AD,MATCH($E50,Lists!$AC:$AC,0)),1)</f>
        <v>202853.25</v>
      </c>
    </row>
    <row r="51">
      <c r="B51" s="1531" t="str">
        <f>INDEX('REVIEW - Complete Role Mapping'!$B:$B,521)</f>
        <v>Vacant</v>
      </c>
      <c r="C51" s="1531" t="str">
        <f>INDEX('REVIEW - Complete Role Mapping'!$C:$C,521)</f>
        <v>Lead Engineer (Automation Test)</v>
      </c>
      <c r="D51" s="1531" t="str">
        <f>INDEX('REVIEW - Complete Role Mapping'!$AK:$AK,521)</f>
        <v>Vacant</v>
      </c>
      <c r="E51" s="1548" t="inlineStr">
        <is>
          <t>Hire</t>
        </is>
      </c>
      <c r="F51" s="1770">
        <f>INDEX('REVIEW - Complete Role Mapping'!$AA:$AA,521)</f>
        <v>231689.25</v>
      </c>
      <c r="G51" s="1770">
        <f>$F51*IFERROR(INDEX(Lists!$AD:$AD,MATCH($E51,Lists!$AC:$AC,0)),1)</f>
        <v>231689.25</v>
      </c>
    </row>
    <row r="52">
      <c r="B52" s="1531" t="str">
        <f>INDEX('REVIEW - Complete Role Mapping'!$B:$B,522)</f>
        <v>Vacant</v>
      </c>
      <c r="C52" s="1531" t="str">
        <f>INDEX('REVIEW - Complete Role Mapping'!$C:$C,522)</f>
        <v>Lead Engineer Software</v>
      </c>
      <c r="D52" s="1531" t="str">
        <f>INDEX('REVIEW - Complete Role Mapping'!$AK:$AK,522)</f>
        <v>Vacant</v>
      </c>
      <c r="E52" s="1548" t="inlineStr">
        <is>
          <t>Hire</t>
        </is>
      </c>
      <c r="F52" s="1770">
        <f>INDEX('REVIEW - Complete Role Mapping'!$AA:$AA,522)</f>
        <v>231689.25</v>
      </c>
      <c r="G52" s="1770">
        <f>$F52*IFERROR(INDEX(Lists!$AD:$AD,MATCH($E52,Lists!$AC:$AC,0)),1)</f>
        <v>231689.25</v>
      </c>
    </row>
    <row r="53">
      <c r="B53" s="1530" t="inlineStr">
        <is>
          <t>EGI TDD</t>
        </is>
      </c>
      <c r="C53" s="1530" t="str">
        <f>COUNTA($B$54:$B$57)&amp;IF(COUNTA($B$54:$B$57)=1," role"," roles")</f>
        <v>4 roles</v>
      </c>
      <c r="D53" s="1530" t="n"/>
      <c r="E53" s="1530" t="n"/>
      <c r="F53" s="1786">
        <f>SUM(F54:F57)</f>
        <v>1024848.51</v>
      </c>
      <c r="G53" s="1786">
        <f>SUM(G54:G57)</f>
        <v>1024848.51</v>
      </c>
    </row>
    <row r="54">
      <c r="B54" s="1531" t="str">
        <f>INDEX('REVIEW - Complete Role Mapping'!$B:$B,449)</f>
        <v>Anjali Patra</v>
      </c>
      <c r="C54" s="1531" t="str">
        <f>INDEX('REVIEW - Complete Role Mapping'!$C:$C,449)</f>
        <v>Delivery Lead - EGI</v>
      </c>
      <c r="D54" s="1531" t="str">
        <f>INDEX('REVIEW - Complete Role Mapping'!$AK:$AK,449)</f>
        <v>Filled</v>
      </c>
      <c r="E54" s="1548" t="inlineStr">
        <is>
          <t>Filled</t>
        </is>
      </c>
      <c r="F54" s="1770">
        <f>INDEX('REVIEW - Complete Role Mapping'!$AA:$AA,449)</f>
        <v>210996.75</v>
      </c>
      <c r="G54" s="1770">
        <f>$F54*IFERROR(INDEX(Lists!$AD:$AD,MATCH($E54,Lists!$AC:$AC,0)),1)</f>
        <v>210996.75</v>
      </c>
    </row>
    <row r="55">
      <c r="B55" s="1531" t="str">
        <f>INDEX('REVIEW - Complete Role Mapping'!$B:$B,450)</f>
        <v>Arun Tahlan</v>
      </c>
      <c r="C55" s="1531" t="str">
        <f>INDEX('REVIEW - Complete Role Mapping'!$C:$C,450)</f>
        <v>Integration Architect (C) - Boomi</v>
      </c>
      <c r="D55" s="1531" t="str">
        <f>INDEX('REVIEW - Complete Role Mapping'!$AK:$AK,450)</f>
        <v>Filled</v>
      </c>
      <c r="E55" s="1548" t="inlineStr">
        <is>
          <t>Filled</t>
        </is>
      </c>
      <c r="F55" s="1770">
        <f>INDEX('REVIEW - Complete Role Mapping'!$AA:$AA,450)</f>
        <v>348096</v>
      </c>
      <c r="G55" s="1770">
        <f>$F55*IFERROR(INDEX(Lists!$AD:$AD,MATCH($E55,Lists!$AC:$AC,0)),1)</f>
        <v>348096</v>
      </c>
    </row>
    <row r="56">
      <c r="B56" s="1531" t="str">
        <f>INDEX('REVIEW - Complete Role Mapping'!$B:$B,451)</f>
        <v>Shobhit Mittal</v>
      </c>
      <c r="C56" s="1531" t="str">
        <f>INDEX('REVIEW - Complete Role Mapping'!$C:$C,451)</f>
        <v>Lead Engineer - Automation Test</v>
      </c>
      <c r="D56" s="1531" t="str">
        <f>INDEX('REVIEW - Complete Role Mapping'!$AK:$AK,451)</f>
        <v>Filled</v>
      </c>
      <c r="E56" s="1548" t="inlineStr">
        <is>
          <t>Filled</t>
        </is>
      </c>
      <c r="F56" s="1770">
        <f>INDEX('REVIEW - Complete Role Mapping'!$AA:$AA,451)</f>
        <v>199355.76</v>
      </c>
      <c r="G56" s="1770">
        <f>$F56*IFERROR(INDEX(Lists!$AD:$AD,MATCH($E56,Lists!$AC:$AC,0)),1)</f>
        <v>199355.76</v>
      </c>
    </row>
    <row r="57">
      <c r="B57" s="1531" t="str">
        <f>INDEX('REVIEW - Complete Role Mapping'!$B:$B,452)</f>
        <v>Kris Thornley</v>
      </c>
      <c r="C57" s="1531" t="str">
        <f>INDEX('REVIEW - Complete Role Mapping'!$C:$C,452)</f>
        <v>Integration Architect (C)</v>
      </c>
      <c r="D57" s="1531" t="str">
        <f>INDEX('REVIEW - Complete Role Mapping'!$AK:$AK,452)</f>
        <v>Filled</v>
      </c>
      <c r="E57" s="1548" t="inlineStr">
        <is>
          <t>Filled</t>
        </is>
      </c>
      <c r="F57" s="1770">
        <f>INDEX('REVIEW - Complete Role Mapping'!$AA:$AA,452)</f>
        <v>266400</v>
      </c>
      <c r="G57" s="1770">
        <f>$F57*IFERROR(INDEX(Lists!$AD:$AD,MATCH($E57,Lists!$AC:$AC,0)),1)</f>
        <v>266400</v>
      </c>
    </row>
    <row r="58">
      <c r="B58" s="1530" t="inlineStr">
        <is>
          <t>Integration &amp; Process Automation</t>
        </is>
      </c>
      <c r="C58" s="1530" t="str">
        <f>COUNTA($B$59:$B$68)&amp;IF(COUNTA($B$59:$B$68)=1," role"," roles")</f>
        <v>10 roles</v>
      </c>
      <c r="D58" s="1530" t="n"/>
      <c r="E58" s="1530" t="n"/>
      <c r="F58" s="1786">
        <f>SUM(F59:F68)</f>
        <v>1984987.746</v>
      </c>
      <c r="G58" s="1786">
        <f>SUM(G59:G68)</f>
        <v>1984987.746</v>
      </c>
    </row>
    <row r="59">
      <c r="B59" s="1531" t="str">
        <f>INDEX('REVIEW - Complete Role Mapping'!$B:$B,483)</f>
        <v>Archana Chetiwal</v>
      </c>
      <c r="C59" s="1531" t="str">
        <f>INDEX('REVIEW - Complete Role Mapping'!$C:$C,483)</f>
        <v>Snr Engineer</v>
      </c>
      <c r="D59" s="1531" t="str">
        <f>INDEX('REVIEW - Complete Role Mapping'!$AK:$AK,483)</f>
        <v>Filled</v>
      </c>
      <c r="E59" s="1548" t="inlineStr">
        <is>
          <t>Filled</t>
        </is>
      </c>
      <c r="F59" s="1770">
        <f>INDEX('REVIEW - Complete Role Mapping'!$AA:$AA,483)</f>
        <v>186900</v>
      </c>
      <c r="G59" s="1770">
        <f>$F59*IFERROR(INDEX(Lists!$AD:$AD,MATCH($E59,Lists!$AC:$AC,0)),1)</f>
        <v>186900</v>
      </c>
    </row>
    <row r="60">
      <c r="B60" s="1531" t="str">
        <f>INDEX('REVIEW - Complete Role Mapping'!$B:$B,484)</f>
        <v>Bala Thiruvadi</v>
      </c>
      <c r="C60" s="1531" t="str">
        <f>INDEX('REVIEW - Complete Role Mapping'!$C:$C,484)</f>
        <v>Integration Architect - Boomi</v>
      </c>
      <c r="D60" s="1531" t="str">
        <f>INDEX('REVIEW - Complete Role Mapping'!$AK:$AK,484)</f>
        <v>Filled</v>
      </c>
      <c r="E60" s="1548" t="inlineStr">
        <is>
          <t>Filled</t>
        </is>
      </c>
      <c r="F60" s="1770">
        <f>INDEX('REVIEW - Complete Role Mapping'!$AA:$AA,484)</f>
        <v>271902.12</v>
      </c>
      <c r="G60" s="1770">
        <f>$F60*IFERROR(INDEX(Lists!$AD:$AD,MATCH($E60,Lists!$AC:$AC,0)),1)</f>
        <v>271902.12</v>
      </c>
    </row>
    <row r="61">
      <c r="B61" s="1531" t="str">
        <f>INDEX('REVIEW - Complete Role Mapping'!$B:$B,485)</f>
        <v>Joel Krijnen</v>
      </c>
      <c r="C61" s="1531" t="str">
        <f>INDEX('REVIEW - Complete Role Mapping'!$C:$C,485)</f>
        <v>Lead Engineer Software</v>
      </c>
      <c r="D61" s="1531" t="str">
        <f>INDEX('REVIEW - Complete Role Mapping'!$AK:$AK,485)</f>
        <v>Filled</v>
      </c>
      <c r="E61" s="1548" t="inlineStr">
        <is>
          <t>Filled</t>
        </is>
      </c>
      <c r="F61" s="1770">
        <f>INDEX('REVIEW - Complete Role Mapping'!$AA:$AA,485)</f>
        <v>178115.628</v>
      </c>
      <c r="G61" s="1770">
        <f>$F61*IFERROR(INDEX(Lists!$AD:$AD,MATCH($E61,Lists!$AC:$AC,0)),1)</f>
        <v>178115.628</v>
      </c>
    </row>
    <row r="62">
      <c r="B62" s="1531" t="str">
        <f>INDEX('REVIEW - Complete Role Mapping'!$B:$B,486)</f>
        <v>Lisa Rademakers</v>
      </c>
      <c r="C62" s="1531" t="str">
        <f>INDEX('REVIEW - Complete Role Mapping'!$C:$C,486)</f>
        <v>Delivery Lead (Integrations)</v>
      </c>
      <c r="D62" s="1531" t="str">
        <f>INDEX('REVIEW - Complete Role Mapping'!$AK:$AK,486)</f>
        <v>Filled</v>
      </c>
      <c r="E62" s="1548" t="inlineStr">
        <is>
          <t>Filled</t>
        </is>
      </c>
      <c r="F62" s="1770">
        <f>INDEX('REVIEW - Complete Role Mapping'!$AA:$AA,486)</f>
        <v>202320.552</v>
      </c>
      <c r="G62" s="1770">
        <f>$F62*IFERROR(INDEX(Lists!$AD:$AD,MATCH($E62,Lists!$AC:$AC,0)),1)</f>
        <v>202320.552</v>
      </c>
    </row>
    <row r="63">
      <c r="B63" s="1531" t="str">
        <f>INDEX('REVIEW - Complete Role Mapping'!$B:$B,487)</f>
        <v>Michael Weng</v>
      </c>
      <c r="C63" s="1531" t="str">
        <f>INDEX('REVIEW - Complete Role Mapping'!$C:$C,487)</f>
        <v>Solution Architect</v>
      </c>
      <c r="D63" s="1531" t="str">
        <f>INDEX('REVIEW - Complete Role Mapping'!$AK:$AK,487)</f>
        <v>Filled</v>
      </c>
      <c r="E63" s="1548" t="inlineStr">
        <is>
          <t>Filled</t>
        </is>
      </c>
      <c r="F63" s="1770">
        <f>INDEX('REVIEW - Complete Role Mapping'!$AA:$AA,487)</f>
        <v>216227.916</v>
      </c>
      <c r="G63" s="1770">
        <f>$F63*IFERROR(INDEX(Lists!$AD:$AD,MATCH($E63,Lists!$AC:$AC,0)),1)</f>
        <v>216227.916</v>
      </c>
    </row>
    <row r="64">
      <c r="B64" s="1531" t="str">
        <f>INDEX('REVIEW - Complete Role Mapping'!$B:$B,489)</f>
        <v>Noel Morris</v>
      </c>
      <c r="C64" s="1531" t="str">
        <f>INDEX('REVIEW - Complete Role Mapping'!$C:$C,489)</f>
        <v>Snr Engineer</v>
      </c>
      <c r="D64" s="1531" t="str">
        <f>INDEX('REVIEW - Complete Role Mapping'!$AK:$AK,489)</f>
        <v>Filled</v>
      </c>
      <c r="E64" s="1548" t="inlineStr">
        <is>
          <t>Filled</t>
        </is>
      </c>
      <c r="F64" s="1770">
        <f>INDEX('REVIEW - Complete Role Mapping'!$AA:$AA,489)</f>
        <v>139607.28</v>
      </c>
      <c r="G64" s="1770">
        <f>$F64*IFERROR(INDEX(Lists!$AD:$AD,MATCH($E64,Lists!$AC:$AC,0)),1)</f>
        <v>139607.28</v>
      </c>
    </row>
    <row r="65">
      <c r="B65" s="1531" t="str">
        <f>INDEX('REVIEW - Complete Role Mapping'!$B:$B,490)</f>
        <v>Thandava Krishna Kakarala</v>
      </c>
      <c r="C65" s="1531" t="str">
        <f>INDEX('REVIEW - Complete Role Mapping'!$C:$C,490)</f>
        <v>Snr Engineer - Boomi</v>
      </c>
      <c r="D65" s="1531" t="str">
        <f>INDEX('REVIEW - Complete Role Mapping'!$AK:$AK,490)</f>
        <v>Filled</v>
      </c>
      <c r="E65" s="1548" t="inlineStr">
        <is>
          <t>Filled</t>
        </is>
      </c>
      <c r="F65" s="1770">
        <f>INDEX('REVIEW - Complete Role Mapping'!$AA:$AA,490)</f>
        <v>186900</v>
      </c>
      <c r="G65" s="1770">
        <f>$F65*IFERROR(INDEX(Lists!$AD:$AD,MATCH($E65,Lists!$AC:$AC,0)),1)</f>
        <v>186900</v>
      </c>
    </row>
    <row r="66">
      <c r="B66" s="1531" t="str">
        <f>INDEX('REVIEW - Complete Role Mapping'!$B:$B,491)</f>
        <v>Nidhi Aggarwal</v>
      </c>
      <c r="C66" s="1531" t="str">
        <f>INDEX('REVIEW - Complete Role Mapping'!$C:$C,491)</f>
        <v>Snr Engineer - Boomi</v>
      </c>
      <c r="D66" s="1531" t="str">
        <f>INDEX('REVIEW - Complete Role Mapping'!$AK:$AK,491)</f>
        <v>Filled</v>
      </c>
      <c r="E66" s="1548" t="inlineStr">
        <is>
          <t>Filled</t>
        </is>
      </c>
      <c r="F66" s="1770">
        <f>INDEX('REVIEW - Complete Role Mapping'!$AA:$AA,491)</f>
        <v>169740</v>
      </c>
      <c r="G66" s="1770">
        <f>$F66*IFERROR(INDEX(Lists!$AD:$AD,MATCH($E66,Lists!$AC:$AC,0)),1)</f>
        <v>169740</v>
      </c>
    </row>
    <row r="67">
      <c r="B67" s="1531" t="str">
        <f>INDEX('REVIEW - Complete Role Mapping'!$B:$B,514)</f>
        <v>Vacant</v>
      </c>
      <c r="C67" s="1531" t="str">
        <f>INDEX('REVIEW - Complete Role Mapping'!$C:$C,514)</f>
        <v>RPA Lead</v>
      </c>
      <c r="D67" s="1531" t="str">
        <f>INDEX('REVIEW - Complete Role Mapping'!$AK:$AK,514)</f>
        <v>Vacant</v>
      </c>
      <c r="E67" s="1548" t="inlineStr">
        <is>
          <t>Hire</t>
        </is>
      </c>
      <c r="F67" s="1770">
        <f>INDEX('REVIEW - Complete Role Mapping'!$AA:$AA,514)</f>
        <v>231689.25</v>
      </c>
      <c r="G67" s="1770">
        <f>$F67*IFERROR(INDEX(Lists!$AD:$AD,MATCH($E67,Lists!$AC:$AC,0)),1)</f>
        <v>231689.25</v>
      </c>
    </row>
    <row r="68">
      <c r="B68" s="1531" t="str">
        <f>INDEX('REVIEW - Complete Role Mapping'!$B:$B,516)</f>
        <v>Vacant</v>
      </c>
      <c r="C68" s="1531" t="str">
        <f>INDEX('REVIEW - Complete Role Mapping'!$C:$C,516)</f>
        <v>Business Analyst (Integrations)</v>
      </c>
      <c r="D68" s="1531" t="str">
        <f>INDEX('REVIEW - Complete Role Mapping'!$AK:$AK,516)</f>
        <v>Vacant</v>
      </c>
      <c r="E68" s="1548" t="inlineStr">
        <is>
          <t>Hire</t>
        </is>
      </c>
      <c r="F68" s="1770">
        <f>INDEX('REVIEW - Complete Role Mapping'!$AA:$AA,516)</f>
        <v>201585</v>
      </c>
      <c r="G68" s="1770">
        <f>$F68*IFERROR(INDEX(Lists!$AD:$AD,MATCH($E68,Lists!$AC:$AC,0)),1)</f>
        <v>201585</v>
      </c>
    </row>
    <row r="69">
      <c r="B69" s="1530" t="inlineStr">
        <is>
          <t>Workplace &amp; Enterprise Tooling</t>
        </is>
      </c>
      <c r="C69" s="1530" t="str">
        <f>COUNTA($B$70:$B$75)&amp;IF(COUNTA($B$70:$B$75)=1," role"," roles")</f>
        <v>6 roles</v>
      </c>
      <c r="D69" s="1530" t="n"/>
      <c r="E69" s="1530" t="n"/>
      <c r="F69" s="1786">
        <f>SUM(F70:F75)</f>
        <v>1117329.222</v>
      </c>
      <c r="G69" s="1786">
        <f>SUM(G70:G75)</f>
        <v>1117329.222</v>
      </c>
    </row>
    <row r="70">
      <c r="B70" s="1531" t="str">
        <f>INDEX('REVIEW - Complete Role Mapping'!$B:$B,492)</f>
        <v>Billie Connolly</v>
      </c>
      <c r="C70" s="1531" t="str">
        <f>INDEX('REVIEW - Complete Role Mapping'!$C:$C,492)</f>
        <v>Engineer - Modern Workplaces</v>
      </c>
      <c r="D70" s="1531" t="str">
        <f>INDEX('REVIEW - Complete Role Mapping'!$AK:$AK,492)</f>
        <v>Filled</v>
      </c>
      <c r="E70" s="1548" t="inlineStr">
        <is>
          <t>Filled</t>
        </is>
      </c>
      <c r="F70" s="1770">
        <f>INDEX('REVIEW - Complete Role Mapping'!$AA:$AA,492)</f>
        <v>135906.948</v>
      </c>
      <c r="G70" s="1770">
        <f>$F70*IFERROR(INDEX(Lists!$AD:$AD,MATCH($E70,Lists!$AC:$AC,0)),1)</f>
        <v>135906.948</v>
      </c>
    </row>
    <row r="71">
      <c r="B71" s="1531" t="str">
        <f>INDEX('REVIEW - Complete Role Mapping'!$B:$B,493)</f>
        <v>Ken Thomson</v>
      </c>
      <c r="C71" s="1531" t="str">
        <f>INDEX('REVIEW - Complete Role Mapping'!$C:$C,493)</f>
        <v>Servicenow Platform Specialist</v>
      </c>
      <c r="D71" s="1531" t="str">
        <f>INDEX('REVIEW - Complete Role Mapping'!$AK:$AK,493)</f>
        <v>Filled</v>
      </c>
      <c r="E71" s="1548" t="inlineStr">
        <is>
          <t>Filled</t>
        </is>
      </c>
      <c r="F71" s="1770">
        <f>INDEX('REVIEW - Complete Role Mapping'!$AA:$AA,493)</f>
        <v>220875.75</v>
      </c>
      <c r="G71" s="1770">
        <f>$F71*IFERROR(INDEX(Lists!$AD:$AD,MATCH($E71,Lists!$AC:$AC,0)),1)</f>
        <v>220875.75</v>
      </c>
    </row>
    <row r="72">
      <c r="B72" s="1531" t="str">
        <f>INDEX('REVIEW - Complete Role Mapping'!$B:$B,494)</f>
        <v>Nicholas McKay</v>
      </c>
      <c r="C72" s="1531" t="str">
        <f>INDEX('REVIEW - Complete Role Mapping'!$C:$C,494)</f>
        <v>Workplace Tooling Specialist</v>
      </c>
      <c r="D72" s="1531" t="str">
        <f>INDEX('REVIEW - Complete Role Mapping'!$AK:$AK,494)</f>
        <v>Filled</v>
      </c>
      <c r="E72" s="1548" t="inlineStr">
        <is>
          <t>Filled</t>
        </is>
      </c>
      <c r="F72" s="1770">
        <f>INDEX('REVIEW - Complete Role Mapping'!$AA:$AA,494)</f>
        <v>212438.55</v>
      </c>
      <c r="G72" s="1770">
        <f>$F72*IFERROR(INDEX(Lists!$AD:$AD,MATCH($E72,Lists!$AC:$AC,0)),1)</f>
        <v>212438.55</v>
      </c>
    </row>
    <row r="73">
      <c r="B73" s="1531" t="str">
        <f>INDEX('REVIEW - Complete Role Mapping'!$B:$B,517)</f>
        <v>Vacant</v>
      </c>
      <c r="C73" s="1531" t="str">
        <f>INDEX('REVIEW - Complete Role Mapping'!$C:$C,517)</f>
        <v>Business Analyst (Workplace &amp; Enterprise Tooling)</v>
      </c>
      <c r="D73" s="1531" t="str">
        <f>INDEX('REVIEW - Complete Role Mapping'!$AK:$AK,517)</f>
        <v>Vacant</v>
      </c>
      <c r="E73" s="1548" t="inlineStr">
        <is>
          <t>Hire</t>
        </is>
      </c>
      <c r="F73" s="1770">
        <f>INDEX('REVIEW - Complete Role Mapping'!$AA:$AA,517)</f>
        <v>201585</v>
      </c>
      <c r="G73" s="1770">
        <f>$F73*IFERROR(INDEX(Lists!$AD:$AD,MATCH($E73,Lists!$AC:$AC,0)),1)</f>
        <v>201585</v>
      </c>
    </row>
    <row r="74">
      <c r="B74" s="1531" t="str">
        <f>INDEX('REVIEW - Complete Role Mapping'!$B:$B,519)</f>
        <v>Vacant</v>
      </c>
      <c r="C74" s="1531" t="str">
        <f>INDEX('REVIEW - Complete Role Mapping'!$C:$C,519)</f>
        <v>Enterprise Systems Specialist</v>
      </c>
      <c r="D74" s="1531" t="str">
        <f>INDEX('REVIEW - Complete Role Mapping'!$AK:$AK,519)</f>
        <v>Vacant</v>
      </c>
      <c r="E74" s="1548" t="inlineStr">
        <is>
          <t>Hire</t>
        </is>
      </c>
      <c r="F74" s="1770">
        <f>INDEX('REVIEW - Complete Role Mapping'!$AA:$AA,519)</f>
        <v>202853.25</v>
      </c>
      <c r="G74" s="1770">
        <f>$F74*IFERROR(INDEX(Lists!$AD:$AD,MATCH($E74,Lists!$AC:$AC,0)),1)</f>
        <v>202853.25</v>
      </c>
    </row>
    <row r="75">
      <c r="B75" s="1531" t="str">
        <f>INDEX('REVIEW - Complete Role Mapping'!$B:$B,527)</f>
        <v>Rob Struthers</v>
      </c>
      <c r="C75" s="1531" t="str">
        <f>INDEX('REVIEW - Complete Role Mapping'!$C:$C,527)</f>
        <v>Engineer - Modern Workplaces</v>
      </c>
      <c r="D75" s="1531" t="str">
        <f>INDEX('REVIEW - Complete Role Mapping'!$AK:$AK,527)</f>
        <v>Filled</v>
      </c>
      <c r="E75" s="1548" t="inlineStr">
        <is>
          <t>Filled</t>
        </is>
      </c>
      <c r="F75" s="1770">
        <f>INDEX('REVIEW - Complete Role Mapping'!$AA:$AA,527)</f>
        <v>143669.724</v>
      </c>
      <c r="G75" s="1770">
        <f>$F75*IFERROR(INDEX(Lists!$AD:$AD,MATCH($E75,Lists!$AC:$AC,0)),1)</f>
        <v>143669.724</v>
      </c>
    </row>
    <row r="76">
      <c r="B76" s="1530" t="inlineStr">
        <is>
          <t>Head of Technology</t>
        </is>
      </c>
      <c r="C76" s="1530" t="str">
        <f>COUNTA($B$77:$B$77)&amp;IF(COUNTA($B$77:$B$77)=1," role"," roles")</f>
        <v>1 role</v>
      </c>
      <c r="D76" s="1530" t="n"/>
      <c r="E76" s="1530" t="n"/>
      <c r="F76" s="1786">
        <f>SUM(F77:F77)</f>
        <v>333020.25</v>
      </c>
      <c r="G76" s="1786">
        <f>SUM(G77:G77)</f>
        <v>333020.25</v>
      </c>
    </row>
    <row r="77">
      <c r="B77" s="1531" t="str">
        <f>INDEX('REVIEW - Complete Role Mapping'!$B:$B,512)</f>
        <v>Vacant</v>
      </c>
      <c r="C77" s="1531" t="str">
        <f>INDEX('REVIEW - Complete Role Mapping'!$C:$C,512)</f>
        <v>Head of Technology - TDD &amp; Engineering Capability Lead</v>
      </c>
      <c r="D77" s="1531" t="str">
        <f>INDEX('REVIEW - Complete Role Mapping'!$AK:$AK,512)</f>
        <v>Vacant</v>
      </c>
      <c r="E77" s="1548" t="inlineStr">
        <is>
          <t>Hire</t>
        </is>
      </c>
      <c r="F77" s="1770">
        <f>INDEX('REVIEW - Complete Role Mapping'!$AA:$AA,512)</f>
        <v>333020.25</v>
      </c>
      <c r="G77" s="1770">
        <f>$F77*IFERROR(INDEX(Lists!$AD:$AD,MATCH($E77,Lists!$AC:$AC,0)),1)</f>
        <v>333020.25</v>
      </c>
    </row>
    <row r="78">
      <c r="B78" s="1530" t="inlineStr">
        <is>
          <t>Delivery Manager</t>
        </is>
      </c>
      <c r="C78" s="1530" t="str">
        <f>COUNTA($B$79:$B$79)&amp;IF(COUNTA($B$79:$B$79)=1," role"," roles")</f>
        <v>1 role</v>
      </c>
      <c r="D78" s="1530" t="n"/>
      <c r="E78" s="1530" t="n"/>
      <c r="F78" s="1786">
        <f>SUM(F79:F79)</f>
        <v>275810.25</v>
      </c>
      <c r="G78" s="1786">
        <f>SUM(G79:G79)</f>
        <v>275810.25</v>
      </c>
    </row>
    <row r="79">
      <c r="B79" s="1531" t="str">
        <f>INDEX('REVIEW - Complete Role Mapping'!$B:$B,518)</f>
        <v>Vacant</v>
      </c>
      <c r="C79" s="1531" t="str">
        <f>INDEX('REVIEW - Complete Role Mapping'!$C:$C,518)</f>
        <v>Delivery Manager</v>
      </c>
      <c r="D79" s="1531" t="str">
        <f>INDEX('REVIEW - Complete Role Mapping'!$AK:$AK,518)</f>
        <v>Vacant</v>
      </c>
      <c r="E79" s="1548" t="inlineStr">
        <is>
          <t>Hire</t>
        </is>
      </c>
      <c r="F79" s="1770">
        <f>INDEX('REVIEW - Complete Role Mapping'!$AA:$AA,518)</f>
        <v>275810.25</v>
      </c>
      <c r="G79" s="1770">
        <f>$F79*IFERROR(INDEX(Lists!$AD:$AD,MATCH($E79,Lists!$AC:$AC,0)),1)</f>
        <v>275810.25</v>
      </c>
    </row>
    <row r="80">
      <c r="B80" s="1530" t="inlineStr">
        <is>
          <t>Technology Manager</t>
        </is>
      </c>
      <c r="C80" s="1530" t="str">
        <f>COUNTA($B$81:$B$84)&amp;IF(COUNTA($B$81:$B$84)=1," role"," roles")</f>
        <v>4 roles</v>
      </c>
      <c r="D80" s="1530" t="n"/>
      <c r="E80" s="1530" t="n"/>
      <c r="F80" s="1786">
        <f>SUM(F81:F84)</f>
        <v>1056660.75</v>
      </c>
      <c r="G80" s="1786">
        <f>SUM(G81:G84)</f>
        <v>1056660.75</v>
      </c>
    </row>
    <row r="81">
      <c r="B81" s="1531" t="str">
        <f>INDEX('REVIEW - Complete Role Mapping'!$B:$B,488)</f>
        <v>Mike Seales</v>
      </c>
      <c r="C81" s="1531" t="str">
        <f>INDEX('REVIEW - Complete Role Mapping'!$C:$C,488)</f>
        <v>Technology Manager, Integration &amp; Process Automation</v>
      </c>
      <c r="D81" s="1531" t="str">
        <f>INDEX('REVIEW - Complete Role Mapping'!$AK:$AK,488)</f>
        <v>Filled</v>
      </c>
      <c r="E81" s="1548" t="inlineStr">
        <is>
          <t>Filled</t>
        </is>
      </c>
      <c r="F81" s="1770">
        <f>INDEX('REVIEW - Complete Role Mapping'!$AA:$AA,488)</f>
        <v>229230</v>
      </c>
      <c r="G81" s="1770">
        <f>$F81*IFERROR(INDEX(Lists!$AD:$AD,MATCH($E81,Lists!$AC:$AC,0)),1)</f>
        <v>229230</v>
      </c>
    </row>
    <row r="82">
      <c r="B82" s="1531" t="str">
        <f>INDEX('REVIEW - Complete Role Mapping'!$B:$B,523)</f>
        <v>Vacant</v>
      </c>
      <c r="C82" s="1531" t="str">
        <f>INDEX('REVIEW - Complete Role Mapping'!$C:$C,523)</f>
        <v>Technology Manager - Cloud, Network and Infrastructure Operations</v>
      </c>
      <c r="D82" s="1531" t="str">
        <f>INDEX('REVIEW - Complete Role Mapping'!$AK:$AK,523)</f>
        <v>Vacant</v>
      </c>
      <c r="E82" s="1548" t="inlineStr">
        <is>
          <t>Hire</t>
        </is>
      </c>
      <c r="F82" s="1770">
        <f>INDEX('REVIEW - Complete Role Mapping'!$AA:$AA,523)</f>
        <v>275810.25</v>
      </c>
      <c r="G82" s="1770">
        <f>$F82*IFERROR(INDEX(Lists!$AD:$AD,MATCH($E82,Lists!$AC:$AC,0)),1)</f>
        <v>275810.25</v>
      </c>
    </row>
    <row r="83">
      <c r="B83" s="1531" t="str">
        <f>INDEX('REVIEW - Complete Role Mapping'!$B:$B,524)</f>
        <v>Vacant</v>
      </c>
      <c r="C83" s="1531" t="str">
        <f>INDEX('REVIEW - Complete Role Mapping'!$C:$C,524)</f>
        <v>Technology Manager - DevOps and Quality Engineering</v>
      </c>
      <c r="D83" s="1531" t="str">
        <f>INDEX('REVIEW - Complete Role Mapping'!$AK:$AK,524)</f>
        <v>Vacant</v>
      </c>
      <c r="E83" s="1548" t="inlineStr">
        <is>
          <t>Hire</t>
        </is>
      </c>
      <c r="F83" s="1770">
        <f>INDEX('REVIEW - Complete Role Mapping'!$AA:$AA,524)</f>
        <v>275810.25</v>
      </c>
      <c r="G83" s="1770">
        <f>$F83*IFERROR(INDEX(Lists!$AD:$AD,MATCH($E83,Lists!$AC:$AC,0)),1)</f>
        <v>275810.25</v>
      </c>
    </row>
    <row r="84">
      <c r="B84" s="1531" t="str">
        <f>INDEX('REVIEW - Complete Role Mapping'!$B:$B,525)</f>
        <v>Vacant</v>
      </c>
      <c r="C84" s="1531" t="str">
        <f>INDEX('REVIEW - Complete Role Mapping'!$C:$C,525)</f>
        <v>Technology Manager, Enterprise Tooling</v>
      </c>
      <c r="D84" s="1531" t="str">
        <f>INDEX('REVIEW - Complete Role Mapping'!$AK:$AK,525)</f>
        <v>Vacant</v>
      </c>
      <c r="E84" s="1548" t="inlineStr">
        <is>
          <t>Hire</t>
        </is>
      </c>
      <c r="F84" s="1770">
        <f>INDEX('REVIEW - Complete Role Mapping'!$AA:$AA,525)</f>
        <v>275810.25</v>
      </c>
      <c r="G84" s="1770">
        <f>$F84*IFERROR(INDEX(Lists!$AD:$AD,MATCH($E84,Lists!$AC:$AC,0)),1)</f>
        <v>275810.25</v>
      </c>
    </row>
  </sheetData>
  <dataValidations count="1">
    <dataValidation sqref="E32 E33 E34 E35 E36 E37 E38 E39 E40 E41 E42 E43 E45 E46 E47 E48 E49 E50 E51 E52 E54 E55 E56 E57 E59 E60 E61 E62 E63 E64 E65 E66 E67 E68 E70 E71 E72 E73 E74 E75 E77 E79 E81 E82 E83 E84"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7.xml><?xml version="1.0" encoding="utf-8"?>
<worksheet xmlns="http://schemas.openxmlformats.org/spreadsheetml/2006/main">
  <sheetPr filterMode="0">
    <tabColor rgb="FFBF8F00"/>
    <outlinePr summaryBelow="1" summaryRight="1"/>
    <pageSetUpPr fitToPage="1"/>
  </sheetPr>
  <dimension ref="B2:Q52"/>
  <sheetViews>
    <sheetView showFormulas="0" showGridLines="0" showRowColHeaders="1" showZeros="1" rightToLeft="0" tabSelected="0" showOutlineSymbols="1" defaultGridColor="1" view="normal" topLeftCell="A13" colorId="64" zoomScale="100" zoomScaleNormal="100" zoomScalePageLayoutView="100" workbookViewId="0">
      <selection pane="topLeft" activeCell="A13" activeCellId="0" sqref="A13"/>
      <selection pane="topRight" activeCell="C13" activeCellId="0" sqref="C13"/>
      <selection pane="bottomLeft" activeCell="A7" activeCellId="0" sqref="A7"/>
      <selection pane="bottomRight" activeCell="A1" activeCellId="0" sqref="A1"/>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P&amp;C - working copy</t>
        </is>
      </c>
    </row>
    <row r="3">
      <c r="B3" s="1525" t="inlineStr">
        <is>
          <t>Portfolio</t>
        </is>
      </c>
      <c r="C3" s="1526" t="inlineStr">
        <is>
          <t>P&amp;C</t>
        </is>
      </c>
    </row>
    <row r="4" ht="19" customHeight="1" s="866">
      <c r="B4" s="1527" t="inlineStr">
        <is>
          <t>P&amp;C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P&amp;C</t>
        </is>
      </c>
      <c r="C8" s="1531" t="str">
        <f>IFERROR(INDEX('1.5 P&amp;C'!$C$23:$C$33,MATCH($B8,'1.5 P&amp;C'!$B$23:$B$33,0)),"Not on the 1.x tab")</f>
        <v>Configuration / Integration</v>
      </c>
      <c r="D8" s="1531" t="str">
        <f>IFERROR(IF(INDEX('1.5 P&amp;C'!$D$23:$D$33,MATCH($B8,'1.5 P&amp;C'!$B$23:$B$33,0))="","-",INDEX('1.5 P&amp;C'!$D$23:$D$33,MATCH($B8,'1.5 P&amp;C'!$B$23:$B$33,0))),"-")</f>
        <v>M</v>
      </c>
      <c r="E8" s="1783">
        <f>IFERROR(INDEX('0.3 Squad Archetypes'!$F$5:$F$23,MATCH($C8&amp;"|"&amp;$D8,'0.3 Squad Archetypes'!$A$5:$A$23,0)),"-")</f>
        <v>9</v>
      </c>
      <c r="F8" s="1770">
        <f>COUNTA($B$32:$B$39)</f>
        <v>8</v>
      </c>
      <c r="G8" s="1770">
        <f>COUNTIFS($D$32:$D$39,"Filled")</f>
        <v>5</v>
      </c>
      <c r="H8" s="1770">
        <f>COUNTIFS($D$32:$D$39,"Vacant")</f>
        <v>3</v>
      </c>
      <c r="I8" s="1770">
        <f>COUNTIFS($D$32:$D$39,"Vacant",$E$32:$E$39,"Hire")</f>
        <v>3</v>
      </c>
      <c r="J8" s="1770">
        <f>COUNTIFS($E$32:$E$39,"Offshore")</f>
        <v>0</v>
      </c>
      <c r="K8" s="1770">
        <f>COUNTIFS($E$32:$E$39,"Hold")</f>
        <v>0</v>
      </c>
      <c r="L8" s="1770">
        <f>$F8-$K8</f>
        <v>8</v>
      </c>
      <c r="M8" s="1769">
        <f>IFERROR(IF(INDEX('1.5 P&amp;C'!$E$23:$E$33,MATCH($B8,'1.5 P&amp;C'!$B$23:$B$33,0))="Offshore",INDEX('0.3 Squad Archetypes'!$H$5:$H$23,MATCH($C8&amp;"|"&amp;$D8,'0.3 Squad Archetypes'!$A$5:$A$23,0)),INDEX('0.3 Squad Archetypes'!$G$5:$G$23,MATCH($C8&amp;"|"&amp;$D8,'0.3 Squad Archetypes'!$A$5:$A$23,0))),"-")</f>
        <v>2.1</v>
      </c>
      <c r="N8" s="1769">
        <f>SUMIFS('REVIEW - Complete Role Mapping'!$AA$2:$AA$528,'REVIEW - Complete Role Mapping'!$AJ$2:$AJ$528,$C$3,'REVIEW - Complete Role Mapping'!$AT$2:$AT$528,$B8)/1000000</f>
        <v>1.76551793</v>
      </c>
      <c r="O8" s="1769">
        <f>IFERROR(ROUND($N8-$M8,6),"-")</f>
        <v>-0.334482</v>
      </c>
      <c r="P8" s="1769">
        <f>SUM($G$32:$G$39)/1000000</f>
        <v>1.76551793</v>
      </c>
      <c r="Q8" s="1769">
        <f>IFERROR(ROUND($P8-$M8,6),"-")</f>
        <v>-0.334482</v>
      </c>
    </row>
    <row r="9">
      <c r="B9" s="1531" t="inlineStr">
        <is>
          <t>P&amp;C RTA</t>
        </is>
      </c>
      <c r="C9" s="1531" t="str">
        <f>IFERROR(INDEX('1.5 P&amp;C'!$C$23:$C$33,MATCH($B9,'1.5 P&amp;C'!$B$23:$B$33,0)),"Not on the 1.x tab")</f>
        <v>Configuration / Integration</v>
      </c>
      <c r="D9" s="1531" t="str">
        <f>IFERROR(IF(INDEX('1.5 P&amp;C'!$D$23:$D$33,MATCH($B9,'1.5 P&amp;C'!$B$23:$B$33,0))="","-",INDEX('1.5 P&amp;C'!$D$23:$D$33,MATCH($B9,'1.5 P&amp;C'!$B$23:$B$33,0))),"-")</f>
        <v>S</v>
      </c>
      <c r="E9" s="1783">
        <f>IFERROR(INDEX('0.3 Squad Archetypes'!$F$5:$F$23,MATCH($C9&amp;"|"&amp;$D9,'0.3 Squad Archetypes'!$A$5:$A$23,0)),"-")</f>
        <v>6</v>
      </c>
      <c r="F9" s="1770">
        <f>COUNTA($B$41:$B$46)</f>
        <v>6</v>
      </c>
      <c r="G9" s="1770">
        <f>COUNTIFS($D$41:$D$46,"Filled")</f>
        <v>1</v>
      </c>
      <c r="H9" s="1770">
        <f>COUNTIFS($D$41:$D$46,"Vacant")</f>
        <v>5</v>
      </c>
      <c r="I9" s="1770">
        <f>COUNTIFS($D$41:$D$46,"Vacant",$E$41:$E$46,"Hire")</f>
        <v>5</v>
      </c>
      <c r="J9" s="1770">
        <f>COUNTIFS($E$41:$E$46,"Offshore")</f>
        <v>0</v>
      </c>
      <c r="K9" s="1770">
        <f>COUNTIFS($E$41:$E$46,"Hold")</f>
        <v>0</v>
      </c>
      <c r="L9" s="1770">
        <f>$F9-$K9</f>
        <v>6</v>
      </c>
      <c r="M9" s="1769">
        <f>IFERROR(IF(INDEX('1.5 P&amp;C'!$E$23:$E$33,MATCH($B9,'1.5 P&amp;C'!$B$23:$B$33,0))="Offshore",INDEX('0.3 Squad Archetypes'!$H$5:$H$23,MATCH($C9&amp;"|"&amp;$D9,'0.3 Squad Archetypes'!$A$5:$A$23,0)),INDEX('0.3 Squad Archetypes'!$G$5:$G$23,MATCH($C9&amp;"|"&amp;$D9,'0.3 Squad Archetypes'!$A$5:$A$23,0))),"-")</f>
        <v>1.4</v>
      </c>
      <c r="N9" s="1769">
        <f>SUMIFS('REVIEW - Complete Role Mapping'!$AA$2:$AA$528,'REVIEW - Complete Role Mapping'!$AJ$2:$AJ$528,$C$3,'REVIEW - Complete Role Mapping'!$AT$2:$AT$528,$B9)/1000000</f>
        <v>1.26408815</v>
      </c>
      <c r="O9" s="1769">
        <f>IFERROR(ROUND($N9-$M9,6),"-")</f>
        <v>-0.135912</v>
      </c>
      <c r="P9" s="1769">
        <f>SUM($G$41:$G$46)/1000000</f>
        <v>1.26408815</v>
      </c>
      <c r="Q9" s="1769">
        <f>IFERROR(ROUND($P9-$M9,6),"-")</f>
        <v>-0.135912</v>
      </c>
    </row>
    <row r="10">
      <c r="B10" s="1535" t="inlineStr">
        <is>
          <t>Squads priced by an archetype total</t>
        </is>
      </c>
      <c r="C10" s="1535" t="n"/>
      <c r="D10" s="1535" t="n"/>
      <c r="E10" s="1784">
        <f>SUM(E8:E9)</f>
        <v>15</v>
      </c>
      <c r="F10" s="1772">
        <f>SUM(F8:F9)</f>
        <v>14</v>
      </c>
      <c r="G10" s="1772">
        <f>SUM(G8:G9)</f>
        <v>6</v>
      </c>
      <c r="H10" s="1772">
        <f>SUM(H8:H9)</f>
        <v>8</v>
      </c>
      <c r="I10" s="1772">
        <f>SUM(I8:I9)</f>
        <v>8</v>
      </c>
      <c r="J10" s="1772">
        <f>SUM(J8:J9)</f>
        <v>0</v>
      </c>
      <c r="K10" s="1772">
        <f>SUM(K8:K9)</f>
        <v>0</v>
      </c>
      <c r="L10" s="1772">
        <f>SUM(L8:L9)</f>
        <v>14</v>
      </c>
      <c r="M10" s="1771">
        <f>IF(COUNT(M8:M9)=2,SUM(M8:M9),"-")</f>
        <v>3.5</v>
      </c>
      <c r="N10" s="1771">
        <f>SUM(N8:N9)</f>
        <v>3.02960608</v>
      </c>
      <c r="O10" s="1771">
        <f>IF(ISNUMBER($M10),ROUND($N10-$M10,6),"-")</f>
        <v>-0.470394</v>
      </c>
      <c r="P10" s="1771">
        <f>SUM(P8:P9)</f>
        <v>3.02960608</v>
      </c>
      <c r="Q10" s="1771">
        <f>IF(ISNUMBER($M10),ROUND($P10-$M10,6),"-")</f>
        <v>-0.470394</v>
      </c>
    </row>
    <row r="11">
      <c r="B11" s="1530" t="inlineStr">
        <is>
          <t>Directly funded programmes and platforms</t>
        </is>
      </c>
      <c r="C11" s="1530" t="n"/>
      <c r="D11" s="1530" t="n"/>
      <c r="E11" s="1530" t="n"/>
      <c r="F11" s="1530" t="n"/>
      <c r="G11" s="1530" t="n"/>
      <c r="H11" s="1530" t="n"/>
      <c r="I11" s="1530" t="n"/>
      <c r="J11" s="1530" t="n"/>
      <c r="K11" s="1530" t="n"/>
      <c r="L11" s="1530" t="n"/>
      <c r="M11" s="1530" t="n"/>
      <c r="N11" s="1530" t="n"/>
      <c r="O11" s="1530" t="n"/>
      <c r="P11" s="1530" t="n"/>
      <c r="Q11" s="1530" t="n"/>
    </row>
    <row r="12">
      <c r="B12" s="1531" t="inlineStr">
        <is>
          <t>EGI P&amp;C</t>
        </is>
      </c>
      <c r="C12" s="1531" t="str">
        <f>IFERROR(INDEX('1.5 P&amp;C'!$C$23:$C$33,MATCH($B12,'1.5 P&amp;C'!$B$23:$B$33,0)),"Not on the 1.x tab")</f>
        <v>Strategic Programs</v>
      </c>
      <c r="D12" s="1531" t="str">
        <f>IFERROR(IF(INDEX('1.5 P&amp;C'!$D$23:$D$33,MATCH($B12,'1.5 P&amp;C'!$B$23:$B$33,0))="","-",INDEX('1.5 P&amp;C'!$D$23:$D$33,MATCH($B12,'1.5 P&amp;C'!$B$23:$B$33,0))),"-")</f>
        <v>-</v>
      </c>
      <c r="E12" s="1783" t="str">
        <f>"-"</f>
        <v>-</v>
      </c>
      <c r="F12" s="1770">
        <f>COUNTA($B$30:$B$30)</f>
        <v>1</v>
      </c>
      <c r="G12" s="1770">
        <f>COUNTIFS($D$30:$D$30,"Filled")</f>
        <v>1</v>
      </c>
      <c r="H12" s="1770">
        <f>COUNTIFS($D$30:$D$30,"Vacant")</f>
        <v>0</v>
      </c>
      <c r="I12" s="1770">
        <f>COUNTIFS($D$30:$D$30,"Vacant",$E$30:$E$30,"Hire")</f>
        <v>0</v>
      </c>
      <c r="J12" s="1770">
        <f>COUNTIFS($E$30:$E$30,"Offshore")</f>
        <v>0</v>
      </c>
      <c r="K12" s="1770">
        <f>COUNTIFS($E$30:$E$30,"Hold")</f>
        <v>0</v>
      </c>
      <c r="L12" s="1770">
        <f>$F12-$K12</f>
        <v>1</v>
      </c>
      <c r="M12" s="1769" t="str">
        <f>IFERROR(IF(N(INDEX('1.5 P&amp;C'!$H$23:$H$33,MATCH($B12,'1.5 P&amp;C'!$B$23:$B$33,0)))=0,"-",INDEX('1.5 P&amp;C'!$H$23:$H$33,MATCH($B12,'1.5 P&amp;C'!$B$23:$B$33,0))),"-")</f>
        <v>-</v>
      </c>
      <c r="N12" s="1769">
        <f>SUMIFS('REVIEW - Complete Role Mapping'!$AA$2:$AA$528,'REVIEW - Complete Role Mapping'!$AJ$2:$AJ$528,$C$3,'REVIEW - Complete Role Mapping'!$AT$2:$AT$528,$B12)/1000000</f>
        <v>0.238965</v>
      </c>
      <c r="O12" s="1769" t="str">
        <f>IFERROR(ROUND($N12-$M12,6),"-")</f>
        <v>-</v>
      </c>
      <c r="P12" s="1769">
        <f>SUM($G$30:$G$30)/1000000</f>
        <v>0.238965</v>
      </c>
      <c r="Q12" s="1769" t="str">
        <f>IFERROR(ROUND($P12-$M12,6),"-")</f>
        <v>-</v>
      </c>
    </row>
    <row r="13">
      <c r="B13" s="1535" t="inlineStr">
        <is>
          <t>Directly funded programmes and platforms total</t>
        </is>
      </c>
      <c r="C13" s="1535" t="n"/>
      <c r="D13" s="1535" t="n"/>
      <c r="E13" s="1784">
        <f>SUM(E12:E12)</f>
        <v>0</v>
      </c>
      <c r="F13" s="1772">
        <f>SUM(F12:F12)</f>
        <v>1</v>
      </c>
      <c r="G13" s="1772">
        <f>SUM(G12:G12)</f>
        <v>1</v>
      </c>
      <c r="H13" s="1772">
        <f>SUM(H12:H12)</f>
        <v>0</v>
      </c>
      <c r="I13" s="1772">
        <f>SUM(I12:I12)</f>
        <v>0</v>
      </c>
      <c r="J13" s="1772">
        <f>SUM(J12:J12)</f>
        <v>0</v>
      </c>
      <c r="K13" s="1772">
        <f>SUM(K12:K12)</f>
        <v>0</v>
      </c>
      <c r="L13" s="1772">
        <f>SUM(L12:L12)</f>
        <v>1</v>
      </c>
      <c r="M13" s="1771" t="str">
        <f>IF(COUNT(M12:M12)=1,SUM(M12:M12),"-")</f>
        <v>-</v>
      </c>
      <c r="N13" s="1771">
        <f>SUM(N12:N12)</f>
        <v>0.238965</v>
      </c>
      <c r="O13" s="1771" t="str">
        <f>IF(ISNUMBER($M13),ROUND($N13-$M13,6),"-")</f>
        <v>-</v>
      </c>
      <c r="P13" s="1771">
        <f>SUM(P12:P12)</f>
        <v>0.238965</v>
      </c>
      <c r="Q13" s="1771" t="str">
        <f>IF(ISNUMBER($M13),ROUND($P13-$M13,6),"-")</f>
        <v>-</v>
      </c>
    </row>
    <row r="14">
      <c r="B14" s="1530" t="inlineStr">
        <is>
          <t>Groups with no archetype and no funded figure</t>
        </is>
      </c>
      <c r="C14" s="1530" t="n"/>
      <c r="D14" s="1530" t="n"/>
      <c r="E14" s="1530" t="n"/>
      <c r="F14" s="1530" t="n"/>
      <c r="G14" s="1530" t="n"/>
      <c r="H14" s="1530" t="n"/>
      <c r="I14" s="1530" t="n"/>
      <c r="J14" s="1530" t="n"/>
      <c r="K14" s="1530" t="n"/>
      <c r="L14" s="1530" t="n"/>
      <c r="M14" s="1530" t="n"/>
      <c r="N14" s="1530" t="n"/>
      <c r="O14" s="1530" t="n"/>
      <c r="P14" s="1530" t="n"/>
      <c r="Q14" s="1530" t="n"/>
    </row>
    <row r="15">
      <c r="B15" s="1531" t="inlineStr">
        <is>
          <t>None</t>
        </is>
      </c>
      <c r="C15" s="1531" t="inlineStr">
        <is>
          <t>None - every group here has a figure to compare</t>
        </is>
      </c>
      <c r="D15" s="1539" t="str">
        <f>"-"</f>
        <v>-</v>
      </c>
      <c r="E15" s="1539" t="str">
        <f>"-"</f>
        <v>-</v>
      </c>
      <c r="F15" s="1539" t="str">
        <f>"-"</f>
        <v>-</v>
      </c>
      <c r="G15" s="1539" t="str">
        <f>"-"</f>
        <v>-</v>
      </c>
      <c r="H15" s="1539" t="str">
        <f>"-"</f>
        <v>-</v>
      </c>
      <c r="I15" s="1539" t="str">
        <f>"-"</f>
        <v>-</v>
      </c>
      <c r="J15" s="1539" t="str">
        <f>"-"</f>
        <v>-</v>
      </c>
      <c r="K15" s="1539" t="str">
        <f>"-"</f>
        <v>-</v>
      </c>
      <c r="L15" s="1539" t="str">
        <f>"-"</f>
        <v>-</v>
      </c>
      <c r="M15" s="1539" t="str">
        <f>"-"</f>
        <v>-</v>
      </c>
      <c r="N15" s="1539" t="str">
        <f>"-"</f>
        <v>-</v>
      </c>
      <c r="O15" s="1539" t="str">
        <f>"-"</f>
        <v>-</v>
      </c>
      <c r="P15" s="1539" t="str">
        <f>"-"</f>
        <v>-</v>
      </c>
      <c r="Q15" s="1539" t="str">
        <f>"-"</f>
        <v>-</v>
      </c>
    </row>
    <row r="16">
      <c r="B16" s="1535" t="inlineStr">
        <is>
          <t>Groups with no archetype and no funded figure total</t>
        </is>
      </c>
      <c r="C16" s="1535" t="n"/>
      <c r="D16" s="1535" t="n"/>
      <c r="E16" s="1784">
        <f>SUM(E15:E15)</f>
        <v>0</v>
      </c>
      <c r="F16" s="1772">
        <f>SUM(F15:F15)</f>
        <v>0</v>
      </c>
      <c r="G16" s="1772">
        <f>SUM(G15:G15)</f>
        <v>0</v>
      </c>
      <c r="H16" s="1772">
        <f>SUM(H15:H15)</f>
        <v>0</v>
      </c>
      <c r="I16" s="1772">
        <f>SUM(I15:I15)</f>
        <v>0</v>
      </c>
      <c r="J16" s="1772">
        <f>SUM(J15:J15)</f>
        <v>0</v>
      </c>
      <c r="K16" s="1772">
        <f>SUM(K15:K15)</f>
        <v>0</v>
      </c>
      <c r="L16" s="1772">
        <f>SUM(L15:L15)</f>
        <v>0</v>
      </c>
      <c r="M16" s="1771" t="str">
        <f>IF(COUNT(M15:M15)=1,SUM(M15:M15),"-")</f>
        <v>-</v>
      </c>
      <c r="N16" s="1771">
        <f>SUM(N15:N15)</f>
        <v>0</v>
      </c>
      <c r="O16" s="1771" t="str">
        <f>IF(ISNUMBER($M16),ROUND($N16-$M16,6),"-")</f>
        <v>-</v>
      </c>
      <c r="P16" s="1771">
        <f>SUM(P15:P15)</f>
        <v>0</v>
      </c>
      <c r="Q16" s="1771" t="str">
        <f>IF(ISNUMBER($M16),ROUND($P16-$M16,6),"-")</f>
        <v>-</v>
      </c>
    </row>
    <row r="17">
      <c r="B17" s="1530" t="inlineStr">
        <is>
          <t>Overhead roles</t>
        </is>
      </c>
      <c r="C17" s="1530" t="n"/>
      <c r="D17" s="1530" t="n"/>
      <c r="E17" s="1530" t="n"/>
      <c r="F17" s="1530" t="n"/>
      <c r="G17" s="1530" t="n"/>
      <c r="H17" s="1530" t="n"/>
      <c r="I17" s="1530" t="n"/>
      <c r="J17" s="1530" t="n"/>
      <c r="K17" s="1530" t="n"/>
      <c r="L17" s="1530" t="n"/>
      <c r="M17" s="1530" t="n"/>
      <c r="N17" s="1530" t="n"/>
      <c r="O17" s="1530" t="n"/>
      <c r="P17" s="1530" t="n"/>
      <c r="Q17" s="1530" t="n"/>
    </row>
    <row r="18">
      <c r="B18" s="1531" t="inlineStr">
        <is>
          <t>Head of Technology</t>
        </is>
      </c>
      <c r="C18" s="1531" t="str">
        <f>"-"</f>
        <v>-</v>
      </c>
      <c r="D18" s="1531" t="str">
        <f>"-"</f>
        <v>-</v>
      </c>
      <c r="E18" s="1540" t="str">
        <f>"-"</f>
        <v>-</v>
      </c>
      <c r="F18" s="1770">
        <f>COUNTA($B$48:$B$48)</f>
        <v>1</v>
      </c>
      <c r="G18" s="1770">
        <f>COUNTIFS($D$48:$D$48,"Filled")</f>
        <v>1</v>
      </c>
      <c r="H18" s="1770">
        <f>COUNTIFS($D$48:$D$48,"Vacant")</f>
        <v>0</v>
      </c>
      <c r="I18" s="1770">
        <f>COUNTIFS($D$48:$D$48,"Vacant",$E$48:$E$48,"Hire")</f>
        <v>0</v>
      </c>
      <c r="J18" s="1770">
        <f>COUNTIFS($E$48:$E$48,"Offshore")</f>
        <v>0</v>
      </c>
      <c r="K18" s="1770">
        <f>COUNTIFS($E$48:$E$48,"Hold")</f>
        <v>0</v>
      </c>
      <c r="L18" s="1770">
        <f>$F18-$K18</f>
        <v>1</v>
      </c>
      <c r="M18" s="1540" t="str">
        <f>"-"</f>
        <v>-</v>
      </c>
      <c r="N18" s="1769">
        <f>SUMIFS('REVIEW - Complete Role Mapping'!$AA$2:$AA$528,'REVIEW - Complete Role Mapping'!$AJ$2:$AJ$528,$C$3,'REVIEW - Complete Role Mapping'!$AT$2:$AT$528,$B18)/1000000</f>
        <v>0.3642493</v>
      </c>
      <c r="O18" s="1540" t="str">
        <f>"-"</f>
        <v>-</v>
      </c>
      <c r="P18" s="1769">
        <f>SUM($G$48:$G$48)/1000000</f>
        <v>0.3642493</v>
      </c>
      <c r="Q18" s="1540" t="str">
        <f>"-"</f>
        <v>-</v>
      </c>
    </row>
    <row r="19">
      <c r="B19" s="1531" t="inlineStr">
        <is>
          <t>Delivery Manager</t>
        </is>
      </c>
      <c r="C19" s="1531" t="str">
        <f>"-"</f>
        <v>-</v>
      </c>
      <c r="D19" s="1531" t="str">
        <f>"-"</f>
        <v>-</v>
      </c>
      <c r="E19" s="1540" t="str">
        <f>"-"</f>
        <v>-</v>
      </c>
      <c r="F19" s="1770">
        <f>COUNTA($B$50:$B$50)</f>
        <v>1</v>
      </c>
      <c r="G19" s="1770">
        <f>COUNTIFS($D$50:$D$50,"Filled")</f>
        <v>0</v>
      </c>
      <c r="H19" s="1770">
        <f>COUNTIFS($D$50:$D$50,"Vacant")</f>
        <v>1</v>
      </c>
      <c r="I19" s="1770">
        <f>COUNTIFS($D$50:$D$50,"Vacant",$E$50:$E$50,"Hire")</f>
        <v>1</v>
      </c>
      <c r="J19" s="1770">
        <f>COUNTIFS($E$50:$E$50,"Offshore")</f>
        <v>0</v>
      </c>
      <c r="K19" s="1770">
        <f>COUNTIFS($E$50:$E$50,"Hold")</f>
        <v>0</v>
      </c>
      <c r="L19" s="1770">
        <f>$F19-$K19</f>
        <v>1</v>
      </c>
      <c r="M19" s="1540" t="str">
        <f>"-"</f>
        <v>-</v>
      </c>
      <c r="N19" s="1769">
        <f>SUMIFS('REVIEW - Complete Role Mapping'!$AA$2:$AA$528,'REVIEW - Complete Role Mapping'!$AJ$2:$AJ$528,$C$3,'REVIEW - Complete Role Mapping'!$AT$2:$AT$528,$B19)/1000000</f>
        <v>0.27581025</v>
      </c>
      <c r="O19" s="1540" t="str">
        <f>"-"</f>
        <v>-</v>
      </c>
      <c r="P19" s="1769">
        <f>SUM($G$50:$G$50)/1000000</f>
        <v>0.27581025</v>
      </c>
      <c r="Q19" s="1540" t="str">
        <f>"-"</f>
        <v>-</v>
      </c>
    </row>
    <row r="20">
      <c r="B20" s="1531" t="inlineStr">
        <is>
          <t>Technology Manager</t>
        </is>
      </c>
      <c r="C20" s="1531" t="str">
        <f>"-"</f>
        <v>-</v>
      </c>
      <c r="D20" s="1531" t="str">
        <f>"-"</f>
        <v>-</v>
      </c>
      <c r="E20" s="1540" t="str">
        <f>"-"</f>
        <v>-</v>
      </c>
      <c r="F20" s="1770">
        <f>COUNTA($B$52:$B$52)</f>
        <v>1</v>
      </c>
      <c r="G20" s="1770">
        <f>COUNTIFS($D$52:$D$52,"Filled")</f>
        <v>0</v>
      </c>
      <c r="H20" s="1770">
        <f>COUNTIFS($D$52:$D$52,"Vacant")</f>
        <v>1</v>
      </c>
      <c r="I20" s="1770">
        <f>COUNTIFS($D$52:$D$52,"Vacant",$E$52:$E$52,"Hire")</f>
        <v>1</v>
      </c>
      <c r="J20" s="1770">
        <f>COUNTIFS($E$52:$E$52,"Offshore")</f>
        <v>0</v>
      </c>
      <c r="K20" s="1770">
        <f>COUNTIFS($E$52:$E$52,"Hold")</f>
        <v>0</v>
      </c>
      <c r="L20" s="1770">
        <f>$F20-$K20</f>
        <v>1</v>
      </c>
      <c r="M20" s="1540" t="str">
        <f>"-"</f>
        <v>-</v>
      </c>
      <c r="N20" s="1769">
        <f>SUMIFS('REVIEW - Complete Role Mapping'!$AA$2:$AA$528,'REVIEW - Complete Role Mapping'!$AJ$2:$AJ$528,$C$3,'REVIEW - Complete Role Mapping'!$AT$2:$AT$528,$B20)/1000000</f>
        <v>0.27581025</v>
      </c>
      <c r="O20" s="1540" t="str">
        <f>"-"</f>
        <v>-</v>
      </c>
      <c r="P20" s="1769">
        <f>SUM($G$52:$G$52)/1000000</f>
        <v>0.27581025</v>
      </c>
      <c r="Q20" s="1540" t="str">
        <f>"-"</f>
        <v>-</v>
      </c>
    </row>
    <row r="21">
      <c r="B21" s="1535" t="inlineStr">
        <is>
          <t>Overhead roles total</t>
        </is>
      </c>
      <c r="C21" s="1535" t="n"/>
      <c r="D21" s="1535" t="n"/>
      <c r="E21" s="1784">
        <f>SUM(E18:E20)</f>
        <v>0</v>
      </c>
      <c r="F21" s="1772">
        <f>SUM(F18:F20)</f>
        <v>3</v>
      </c>
      <c r="G21" s="1772">
        <f>SUM(G18:G20)</f>
        <v>1</v>
      </c>
      <c r="H21" s="1772">
        <f>SUM(H18:H20)</f>
        <v>2</v>
      </c>
      <c r="I21" s="1772">
        <f>SUM(I18:I20)</f>
        <v>2</v>
      </c>
      <c r="J21" s="1772">
        <f>SUM(J18:J20)</f>
        <v>0</v>
      </c>
      <c r="K21" s="1772">
        <f>SUM(K18:K20)</f>
        <v>0</v>
      </c>
      <c r="L21" s="1772">
        <f>SUM(L18:L20)</f>
        <v>3</v>
      </c>
      <c r="M21" s="1771" t="str">
        <f>IF(COUNT(M18:M20)=3,SUM(M18:M20),"-")</f>
        <v>-</v>
      </c>
      <c r="N21" s="1771">
        <f>SUM(N18:N20)</f>
        <v>0.9158698</v>
      </c>
      <c r="O21" s="1771" t="str">
        <f>IF(ISNUMBER($M21),ROUND($N21-$M21,6),"-")</f>
        <v>-</v>
      </c>
      <c r="P21" s="1771">
        <f>SUM(P18:P20)</f>
        <v>0.9158698</v>
      </c>
      <c r="Q21" s="1771" t="str">
        <f>IF(ISNUMBER($M21),ROUND($P21-$M21,6),"-")</f>
        <v>-</v>
      </c>
    </row>
    <row r="22">
      <c r="B22" s="1541" t="inlineStr">
        <is>
          <t>Total portfolio</t>
        </is>
      </c>
      <c r="C22" s="1541" t="n"/>
      <c r="D22" s="1541" t="n"/>
      <c r="E22" s="1785">
        <f>N(E10)+N(E13)+N(E16)+N(E21)</f>
        <v>15</v>
      </c>
      <c r="F22" s="1774">
        <f>N(F10)+N(F13)+N(F16)+N(F21)</f>
        <v>18</v>
      </c>
      <c r="G22" s="1774">
        <f>N(G10)+N(G13)+N(G16)+N(G21)</f>
        <v>8</v>
      </c>
      <c r="H22" s="1774">
        <f>N(H10)+N(H13)+N(H16)+N(H21)</f>
        <v>10</v>
      </c>
      <c r="I22" s="1774">
        <f>N(I10)+N(I13)+N(I16)+N(I21)</f>
        <v>10</v>
      </c>
      <c r="J22" s="1774">
        <f>N(J10)+N(J13)+N(J16)+N(J21)</f>
        <v>0</v>
      </c>
      <c r="K22" s="1774">
        <f>N(K10)+N(K13)+N(K16)+N(K21)</f>
        <v>0</v>
      </c>
      <c r="L22" s="1774">
        <f>N(L10)+N(L13)+N(L16)+N(L21)</f>
        <v>18</v>
      </c>
      <c r="M22" s="1773" t="str">
        <f>"-"</f>
        <v>-</v>
      </c>
      <c r="N22" s="1773">
        <f>N(N10)+N(N13)+N(N16)+N(N21)</f>
        <v>4.18444088</v>
      </c>
      <c r="O22" s="1773" t="str">
        <f>"-"</f>
        <v>-</v>
      </c>
      <c r="P22" s="1773">
        <f>N(P10)+N(P13)+N(P16)+N(P21)</f>
        <v>4.18444088</v>
      </c>
      <c r="Q22" s="1773" t="str">
        <f>"-"</f>
        <v>-</v>
      </c>
    </row>
    <row r="24">
      <c r="B24" s="1526" t="inlineStr">
        <is>
          <t>Control - roles against the ledger, must be 0</t>
        </is>
      </c>
      <c r="F24" s="1778">
        <f>$F$22-COUNTIFS('REVIEW - Complete Role Mapping'!$AJ$2:$AJ$528,$C$3)</f>
        <v>0</v>
      </c>
    </row>
    <row r="25">
      <c r="B25" s="1526" t="inlineStr">
        <is>
          <t>Control - cost against the ledger ($m), must be 0</t>
        </is>
      </c>
      <c r="N25" s="1779">
        <f>ROUND($N$22-SUMIFS('REVIEW - Complete Role Mapping'!$AA$2:$AA$528,'REVIEW - Complete Role Mapping'!$AJ$2:$AJ$528,$C$3)/1000000,6)</f>
        <v>0</v>
      </c>
    </row>
    <row r="27" ht="19" customHeight="1" s="866">
      <c r="B27" s="1527" t="inlineStr">
        <is>
          <t>P&amp;C FTE</t>
        </is>
      </c>
      <c r="C27" s="1528" t="n"/>
      <c r="D27" s="1528" t="n"/>
      <c r="E27" s="1528" t="n"/>
      <c r="F27" s="1528" t="n"/>
      <c r="G27" s="1528" t="n"/>
    </row>
    <row r="28" ht="34" customHeight="1" s="866">
      <c r="B28" s="1529" t="inlineStr">
        <is>
          <t>Name</t>
        </is>
      </c>
      <c r="C28" s="1529" t="inlineStr">
        <is>
          <t>Role</t>
        </is>
      </c>
      <c r="D28" s="1529" t="inlineStr">
        <is>
          <t>Status</t>
        </is>
      </c>
      <c r="E28" s="1529" t="inlineStr">
        <is>
          <t>Vacancy lever</t>
        </is>
      </c>
      <c r="F28" s="1529" t="inlineStr">
        <is>
          <t>Role cost ($)</t>
        </is>
      </c>
      <c r="G28" s="1529" t="inlineStr">
        <is>
          <t>Cost after decision ($)</t>
        </is>
      </c>
    </row>
    <row r="29">
      <c r="B29" s="1530" t="inlineStr">
        <is>
          <t>EGI P&amp;C</t>
        </is>
      </c>
      <c r="C29" s="1530" t="str">
        <f>COUNTA($B$30:$B$30)&amp;IF(COUNTA($B$30:$B$30)=1," role"," roles")</f>
        <v>1 role</v>
      </c>
      <c r="D29" s="1530" t="n"/>
      <c r="E29" s="1530" t="n"/>
      <c r="F29" s="1786">
        <f>SUM(F30:F30)</f>
        <v>238965</v>
      </c>
      <c r="G29" s="1786">
        <f>SUM(G30:G30)</f>
        <v>238965</v>
      </c>
    </row>
    <row r="30">
      <c r="B30" s="1531" t="str">
        <f>INDEX('REVIEW - Complete Role Mapping'!$B:$B,448)</f>
        <v>Vikram Chhahira</v>
      </c>
      <c r="C30" s="1531" t="str">
        <f>INDEX('REVIEW - Complete Role Mapping'!$C:$C,448)</f>
        <v>Delivery Lead, EGI</v>
      </c>
      <c r="D30" s="1531" t="str">
        <f>INDEX('REVIEW - Complete Role Mapping'!$AK:$AK,448)</f>
        <v>Filled</v>
      </c>
      <c r="E30" s="1548" t="inlineStr">
        <is>
          <t>Filled</t>
        </is>
      </c>
      <c r="F30" s="1770">
        <f>INDEX('REVIEW - Complete Role Mapping'!$AA:$AA,448)</f>
        <v>238965</v>
      </c>
      <c r="G30" s="1770">
        <f>$F30*IFERROR(INDEX(Lists!$AD:$AD,MATCH($E30,Lists!$AC:$AC,0)),1)</f>
        <v>238965</v>
      </c>
    </row>
    <row r="31">
      <c r="B31" s="1530" t="inlineStr">
        <is>
          <t>P&amp;C</t>
        </is>
      </c>
      <c r="C31" s="1530" t="str">
        <f>COUNTA($B$32:$B$39)&amp;IF(COUNTA($B$32:$B$39)=1," role"," roles")</f>
        <v>8 roles</v>
      </c>
      <c r="D31" s="1530" t="n"/>
      <c r="E31" s="1530" t="n"/>
      <c r="F31" s="1786">
        <f>SUM(F32:F39)</f>
        <v>1765517.93</v>
      </c>
      <c r="G31" s="1786">
        <f>SUM(G32:G39)</f>
        <v>1765517.93</v>
      </c>
    </row>
    <row r="32">
      <c r="B32" s="1531" t="str">
        <f>INDEX('REVIEW - Complete Role Mapping'!$B:$B,460)</f>
        <v>Grace Hadiwijaya</v>
      </c>
      <c r="C32" s="1531" t="str">
        <f>INDEX('REVIEW - Complete Role Mapping'!$C:$C,460)</f>
        <v>Lead P&amp;C Platforms</v>
      </c>
      <c r="D32" s="1531" t="str">
        <f>INDEX('REVIEW - Complete Role Mapping'!$AK:$AK,460)</f>
        <v>Filled</v>
      </c>
      <c r="E32" s="1548" t="inlineStr">
        <is>
          <t>Filled</t>
        </is>
      </c>
      <c r="F32" s="1770">
        <f>INDEX('REVIEW - Complete Role Mapping'!$AA:$AA,460)</f>
        <v>237963.75</v>
      </c>
      <c r="G32" s="1770">
        <f>$F32*IFERROR(INDEX(Lists!$AD:$AD,MATCH($E32,Lists!$AC:$AC,0)),1)</f>
        <v>237963.75</v>
      </c>
    </row>
    <row r="33">
      <c r="B33" s="1531" t="str">
        <f>INDEX('REVIEW - Complete Role Mapping'!$B:$B,461)</f>
        <v>Maadhu Suresh</v>
      </c>
      <c r="C33" s="1531" t="str">
        <f>INDEX('REVIEW - Complete Role Mapping'!$C:$C,461)</f>
        <v>Solution Architect</v>
      </c>
      <c r="D33" s="1531" t="str">
        <f>INDEX('REVIEW - Complete Role Mapping'!$AK:$AK,461)</f>
        <v>Filled</v>
      </c>
      <c r="E33" s="1548" t="inlineStr">
        <is>
          <t>Filled</t>
        </is>
      </c>
      <c r="F33" s="1770">
        <f>INDEX('REVIEW - Complete Role Mapping'!$AA:$AA,461)</f>
        <v>272340</v>
      </c>
      <c r="G33" s="1770">
        <f>$F33*IFERROR(INDEX(Lists!$AD:$AD,MATCH($E33,Lists!$AC:$AC,0)),1)</f>
        <v>272340</v>
      </c>
    </row>
    <row r="34">
      <c r="B34" s="1531" t="str">
        <f>INDEX('REVIEW - Complete Role Mapping'!$B:$B,462)</f>
        <v>Michael Pollock</v>
      </c>
      <c r="C34" s="1531" t="str">
        <f>INDEX('REVIEW - Complete Role Mapping'!$C:$C,462)</f>
        <v>Lead Business Analyst</v>
      </c>
      <c r="D34" s="1531" t="str">
        <f>INDEX('REVIEW - Complete Role Mapping'!$AK:$AK,462)</f>
        <v>Filled</v>
      </c>
      <c r="E34" s="1548" t="inlineStr">
        <is>
          <t>Filled</t>
        </is>
      </c>
      <c r="F34" s="1770">
        <f>INDEX('REVIEW - Complete Role Mapping'!$AA:$AA,462)</f>
        <v>193358.28</v>
      </c>
      <c r="G34" s="1770">
        <f>$F34*IFERROR(INDEX(Lists!$AD:$AD,MATCH($E34,Lists!$AC:$AC,0)),1)</f>
        <v>193358.28</v>
      </c>
    </row>
    <row r="35">
      <c r="B35" s="1531" t="str">
        <f>INDEX('REVIEW - Complete Role Mapping'!$B:$B,463)</f>
        <v>Prerna Sharma</v>
      </c>
      <c r="C35" s="1531" t="str">
        <f>INDEX('REVIEW - Complete Role Mapping'!$C:$C,463)</f>
        <v>SAP HR Specialist</v>
      </c>
      <c r="D35" s="1531" t="str">
        <f>INDEX('REVIEW - Complete Role Mapping'!$AK:$AK,463)</f>
        <v>Filled</v>
      </c>
      <c r="E35" s="1548" t="inlineStr">
        <is>
          <t>Filled</t>
        </is>
      </c>
      <c r="F35" s="1770">
        <f>INDEX('REVIEW - Complete Role Mapping'!$AA:$AA,463)</f>
        <v>234172.35</v>
      </c>
      <c r="G35" s="1770">
        <f>$F35*IFERROR(INDEX(Lists!$AD:$AD,MATCH($E35,Lists!$AC:$AC,0)),1)</f>
        <v>234172.35</v>
      </c>
    </row>
    <row r="36">
      <c r="B36" s="1531" t="str">
        <f>INDEX('REVIEW - Complete Role Mapping'!$B:$B,464)</f>
        <v>Thai Pung</v>
      </c>
      <c r="C36" s="1531" t="str">
        <f>INDEX('REVIEW - Complete Role Mapping'!$C:$C,464)</f>
        <v>Delivery Lead - (P&amp;C)</v>
      </c>
      <c r="D36" s="1531" t="str">
        <f>INDEX('REVIEW - Complete Role Mapping'!$AK:$AK,464)</f>
        <v>Filled</v>
      </c>
      <c r="E36" s="1548" t="inlineStr">
        <is>
          <t>Filled</t>
        </is>
      </c>
      <c r="F36" s="1770">
        <f>INDEX('REVIEW - Complete Role Mapping'!$AA:$AA,464)</f>
        <v>251487.3</v>
      </c>
      <c r="G36" s="1770">
        <f>$F36*IFERROR(INDEX(Lists!$AD:$AD,MATCH($E36,Lists!$AC:$AC,0)),1)</f>
        <v>251487.3</v>
      </c>
    </row>
    <row r="37">
      <c r="B37" s="1531" t="str">
        <f>INDEX('REVIEW - Complete Role Mapping'!$B:$B,504)</f>
        <v>Vacant</v>
      </c>
      <c r="C37" s="1531" t="str">
        <f>INDEX('REVIEW - Complete Role Mapping'!$C:$C,504)</f>
        <v>Engineer</v>
      </c>
      <c r="D37" s="1531" t="str">
        <f>INDEX('REVIEW - Complete Role Mapping'!$AK:$AK,504)</f>
        <v>Vacant</v>
      </c>
      <c r="E37" s="1548" t="inlineStr">
        <is>
          <t>Hire</t>
        </is>
      </c>
      <c r="F37" s="1770">
        <f>INDEX('REVIEW - Complete Role Mapping'!$AA:$AA,504)</f>
        <v>202853.25</v>
      </c>
      <c r="G37" s="1770">
        <f>$F37*IFERROR(INDEX(Lists!$AD:$AD,MATCH($E37,Lists!$AC:$AC,0)),1)</f>
        <v>202853.25</v>
      </c>
    </row>
    <row r="38">
      <c r="B38" s="1531" t="str">
        <f>INDEX('REVIEW - Complete Role Mapping'!$B:$B,505)</f>
        <v>Vacant</v>
      </c>
      <c r="C38" s="1531" t="str">
        <f>INDEX('REVIEW - Complete Role Mapping'!$C:$C,505)</f>
        <v>Engineer</v>
      </c>
      <c r="D38" s="1531" t="str">
        <f>INDEX('REVIEW - Complete Role Mapping'!$AK:$AK,505)</f>
        <v>Vacant</v>
      </c>
      <c r="E38" s="1548" t="inlineStr">
        <is>
          <t>Hire</t>
        </is>
      </c>
      <c r="F38" s="1770">
        <f>INDEX('REVIEW - Complete Role Mapping'!$AA:$AA,505)</f>
        <v>202853.25</v>
      </c>
      <c r="G38" s="1770">
        <f>$F38*IFERROR(INDEX(Lists!$AD:$AD,MATCH($E38,Lists!$AC:$AC,0)),1)</f>
        <v>202853.25</v>
      </c>
    </row>
    <row r="39">
      <c r="B39" s="1531" t="str">
        <f>INDEX('REVIEW - Complete Role Mapping'!$B:$B,507)</f>
        <v>Vacant</v>
      </c>
      <c r="C39" s="1531" t="str">
        <f>INDEX('REVIEW - Complete Role Mapping'!$C:$C,507)</f>
        <v>Quality Assurance</v>
      </c>
      <c r="D39" s="1531" t="str">
        <f>INDEX('REVIEW - Complete Role Mapping'!$AK:$AK,507)</f>
        <v>Vacant</v>
      </c>
      <c r="E39" s="1548" t="inlineStr">
        <is>
          <t>Hire</t>
        </is>
      </c>
      <c r="F39" s="1770">
        <f>INDEX('REVIEW - Complete Role Mapping'!$AA:$AA,507)</f>
        <v>170489.75</v>
      </c>
      <c r="G39" s="1770">
        <f>$F39*IFERROR(INDEX(Lists!$AD:$AD,MATCH($E39,Lists!$AC:$AC,0)),1)</f>
        <v>170489.75</v>
      </c>
    </row>
    <row r="40">
      <c r="B40" s="1530" t="inlineStr">
        <is>
          <t>P&amp;C RTA</t>
        </is>
      </c>
      <c r="C40" s="1530" t="str">
        <f>COUNTA($B$41:$B$46)&amp;IF(COUNTA($B$41:$B$46)=1," role"," roles")</f>
        <v>6 roles</v>
      </c>
      <c r="D40" s="1530" t="n"/>
      <c r="E40" s="1530" t="n"/>
      <c r="F40" s="1786">
        <f>SUM(F41:F46)</f>
        <v>1264088.15</v>
      </c>
      <c r="G40" s="1786">
        <f>SUM(G41:G46)</f>
        <v>1264088.15</v>
      </c>
    </row>
    <row r="41">
      <c r="B41" s="1531" t="str">
        <f>INDEX('REVIEW - Complete Role Mapping'!$B:$B,465)</f>
        <v>Kurniaty Widjaya</v>
      </c>
      <c r="C41" s="1531" t="str">
        <f>INDEX('REVIEW - Complete Role Mapping'!$C:$C,465)</f>
        <v>ERP HR Pay Functional Lead</v>
      </c>
      <c r="D41" s="1531" t="str">
        <f>INDEX('REVIEW - Complete Role Mapping'!$AK:$AK,465)</f>
        <v>Filled</v>
      </c>
      <c r="E41" s="1548" t="inlineStr">
        <is>
          <t>Filled</t>
        </is>
      </c>
      <c r="F41" s="1770">
        <f>INDEX('REVIEW - Complete Role Mapping'!$AA:$AA,465)</f>
        <v>277500</v>
      </c>
      <c r="G41" s="1770">
        <f>$F41*IFERROR(INDEX(Lists!$AD:$AD,MATCH($E41,Lists!$AC:$AC,0)),1)</f>
        <v>277500</v>
      </c>
    </row>
    <row r="42">
      <c r="B42" s="1531" t="str">
        <f>INDEX('REVIEW - Complete Role Mapping'!$B:$B,502)</f>
        <v>Vacant</v>
      </c>
      <c r="C42" s="1531" t="str">
        <f>INDEX('REVIEW - Complete Role Mapping'!$C:$C,502)</f>
        <v>Business Analyst (P&amp;C RTA)</v>
      </c>
      <c r="D42" s="1531" t="str">
        <f>INDEX('REVIEW - Complete Role Mapping'!$AK:$AK,502)</f>
        <v>Vacant</v>
      </c>
      <c r="E42" s="1548" t="inlineStr">
        <is>
          <t>Hire</t>
        </is>
      </c>
      <c r="F42" s="1770">
        <f>INDEX('REVIEW - Complete Role Mapping'!$AA:$AA,502)</f>
        <v>201585</v>
      </c>
      <c r="G42" s="1770">
        <f>$F42*IFERROR(INDEX(Lists!$AD:$AD,MATCH($E42,Lists!$AC:$AC,0)),1)</f>
        <v>201585</v>
      </c>
    </row>
    <row r="43">
      <c r="B43" s="1531" t="str">
        <f>INDEX('REVIEW - Complete Role Mapping'!$B:$B,503)</f>
        <v>Vacant</v>
      </c>
      <c r="C43" s="1531" t="str">
        <f>INDEX('REVIEW - Complete Role Mapping'!$C:$C,503)</f>
        <v>Delivery Lead (RTA)</v>
      </c>
      <c r="D43" s="1531" t="str">
        <f>INDEX('REVIEW - Complete Role Mapping'!$AK:$AK,503)</f>
        <v>Vacant</v>
      </c>
      <c r="E43" s="1548" t="inlineStr">
        <is>
          <t>Hire</t>
        </is>
      </c>
      <c r="F43" s="1770">
        <f>INDEX('REVIEW - Complete Role Mapping'!$AA:$AA,503)</f>
        <v>231689.25</v>
      </c>
      <c r="G43" s="1770">
        <f>$F43*IFERROR(INDEX(Lists!$AD:$AD,MATCH($E43,Lists!$AC:$AC,0)),1)</f>
        <v>231689.25</v>
      </c>
    </row>
    <row r="44">
      <c r="B44" s="1531" t="str">
        <f>INDEX('REVIEW - Complete Role Mapping'!$B:$B,506)</f>
        <v>Vacant</v>
      </c>
      <c r="C44" s="1531" t="str">
        <f>INDEX('REVIEW - Complete Role Mapping'!$C:$C,506)</f>
        <v>Engineer</v>
      </c>
      <c r="D44" s="1531" t="str">
        <f>INDEX('REVIEW - Complete Role Mapping'!$AK:$AK,506)</f>
        <v>Vacant</v>
      </c>
      <c r="E44" s="1548" t="inlineStr">
        <is>
          <t>Hire</t>
        </is>
      </c>
      <c r="F44" s="1770">
        <f>INDEX('REVIEW - Complete Role Mapping'!$AA:$AA,506)</f>
        <v>202853.25</v>
      </c>
      <c r="G44" s="1770">
        <f>$F44*IFERROR(INDEX(Lists!$AD:$AD,MATCH($E44,Lists!$AC:$AC,0)),1)</f>
        <v>202853.25</v>
      </c>
    </row>
    <row r="45">
      <c r="B45" s="1531" t="str">
        <f>INDEX('REVIEW - Complete Role Mapping'!$B:$B,508)</f>
        <v>Vacant</v>
      </c>
      <c r="C45" s="1531" t="str">
        <f>INDEX('REVIEW - Complete Role Mapping'!$C:$C,508)</f>
        <v>Quality Assurance</v>
      </c>
      <c r="D45" s="1531" t="str">
        <f>INDEX('REVIEW - Complete Role Mapping'!$AK:$AK,508)</f>
        <v>Vacant</v>
      </c>
      <c r="E45" s="1548" t="inlineStr">
        <is>
          <t>Hire</t>
        </is>
      </c>
      <c r="F45" s="1770">
        <f>INDEX('REVIEW - Complete Role Mapping'!$AA:$AA,508)</f>
        <v>170489.75</v>
      </c>
      <c r="G45" s="1770">
        <f>$F45*IFERROR(INDEX(Lists!$AD:$AD,MATCH($E45,Lists!$AC:$AC,0)),1)</f>
        <v>170489.75</v>
      </c>
    </row>
    <row r="46">
      <c r="B46" s="1531" t="str">
        <f>INDEX('REVIEW - Complete Role Mapping'!$B:$B,509)</f>
        <v>Vacant</v>
      </c>
      <c r="C46" s="1531" t="str">
        <f>INDEX('REVIEW - Complete Role Mapping'!$C:$C,509)</f>
        <v>Systems Specialist</v>
      </c>
      <c r="D46" s="1531" t="str">
        <f>INDEX('REVIEW - Complete Role Mapping'!$AK:$AK,509)</f>
        <v>Vacant</v>
      </c>
      <c r="E46" s="1548" t="inlineStr">
        <is>
          <t>Hire</t>
        </is>
      </c>
      <c r="F46" s="1770">
        <f>INDEX('REVIEW - Complete Role Mapping'!$AA:$AA,509)</f>
        <v>179970.9</v>
      </c>
      <c r="G46" s="1770">
        <f>$F46*IFERROR(INDEX(Lists!$AD:$AD,MATCH($E46,Lists!$AC:$AC,0)),1)</f>
        <v>179970.9</v>
      </c>
    </row>
    <row r="47">
      <c r="B47" s="1530" t="inlineStr">
        <is>
          <t>Head of Technology</t>
        </is>
      </c>
      <c r="C47" s="1530" t="str">
        <f>COUNTA($B$48:$B$48)&amp;IF(COUNTA($B$48:$B$48)=1," role"," roles")</f>
        <v>1 role</v>
      </c>
      <c r="D47" s="1530" t="n"/>
      <c r="E47" s="1530" t="n"/>
      <c r="F47" s="1786">
        <f>SUM(F48:F48)</f>
        <v>364249.3</v>
      </c>
      <c r="G47" s="1786">
        <f>SUM(G48:G48)</f>
        <v>364249.3</v>
      </c>
    </row>
    <row r="48">
      <c r="B48" s="1531" t="str">
        <f>INDEX('REVIEW - Complete Role Mapping'!$B:$B,466)</f>
        <v>Vaso Vukovic</v>
      </c>
      <c r="C48" s="1531" t="str">
        <f>INDEX('REVIEW - Complete Role Mapping'!$C:$C,466)</f>
        <v>Head of Technology - P&amp;C, Finance &amp; Legal</v>
      </c>
      <c r="D48" s="1531" t="str">
        <f>INDEX('REVIEW - Complete Role Mapping'!$AK:$AK,466)</f>
        <v>Filled</v>
      </c>
      <c r="E48" s="1548" t="inlineStr">
        <is>
          <t>Filled</t>
        </is>
      </c>
      <c r="F48" s="1770">
        <f>INDEX('REVIEW - Complete Role Mapping'!$AA:$AA,466)</f>
        <v>364249.3</v>
      </c>
      <c r="G48" s="1770">
        <f>$F48*IFERROR(INDEX(Lists!$AD:$AD,MATCH($E48,Lists!$AC:$AC,0)),1)</f>
        <v>364249.3</v>
      </c>
    </row>
    <row r="49">
      <c r="B49" s="1530" t="inlineStr">
        <is>
          <t>Delivery Manager</t>
        </is>
      </c>
      <c r="C49" s="1530" t="str">
        <f>COUNTA($B$50:$B$50)&amp;IF(COUNTA($B$50:$B$50)=1," role"," roles")</f>
        <v>1 role</v>
      </c>
      <c r="D49" s="1530" t="n"/>
      <c r="E49" s="1530" t="n"/>
      <c r="F49" s="1786">
        <f>SUM(F50:F50)</f>
        <v>275810.25</v>
      </c>
      <c r="G49" s="1786">
        <f>SUM(G50:G50)</f>
        <v>275810.25</v>
      </c>
    </row>
    <row r="50">
      <c r="B50" s="1531" t="str">
        <f>INDEX('REVIEW - Complete Role Mapping'!$B:$B,511)</f>
        <v>Vacant</v>
      </c>
      <c r="C50" s="1531" t="str">
        <f>INDEX('REVIEW - Complete Role Mapping'!$C:$C,511)</f>
        <v>Delivery Manager</v>
      </c>
      <c r="D50" s="1531" t="str">
        <f>INDEX('REVIEW - Complete Role Mapping'!$AK:$AK,511)</f>
        <v>Vacant</v>
      </c>
      <c r="E50" s="1548" t="inlineStr">
        <is>
          <t>Hire</t>
        </is>
      </c>
      <c r="F50" s="1770">
        <f>INDEX('REVIEW - Complete Role Mapping'!$AA:$AA,511)</f>
        <v>275810.25</v>
      </c>
      <c r="G50" s="1770">
        <f>$F50*IFERROR(INDEX(Lists!$AD:$AD,MATCH($E50,Lists!$AC:$AC,0)),1)</f>
        <v>275810.25</v>
      </c>
    </row>
    <row r="51">
      <c r="B51" s="1530" t="inlineStr">
        <is>
          <t>Technology Manager</t>
        </is>
      </c>
      <c r="C51" s="1530" t="str">
        <f>COUNTA($B$52:$B$52)&amp;IF(COUNTA($B$52:$B$52)=1," role"," roles")</f>
        <v>1 role</v>
      </c>
      <c r="D51" s="1530" t="n"/>
      <c r="E51" s="1530" t="n"/>
      <c r="F51" s="1786">
        <f>SUM(F52:F52)</f>
        <v>275810.25</v>
      </c>
      <c r="G51" s="1786">
        <f>SUM(G52:G52)</f>
        <v>275810.25</v>
      </c>
    </row>
    <row r="52">
      <c r="B52" s="1531" t="str">
        <f>INDEX('REVIEW - Complete Role Mapping'!$B:$B,510)</f>
        <v>Vacant</v>
      </c>
      <c r="C52" s="1531" t="str">
        <f>INDEX('REVIEW - Complete Role Mapping'!$C:$C,510)</f>
        <v>Technology Manager - P&amp;C Platforms</v>
      </c>
      <c r="D52" s="1531" t="str">
        <f>INDEX('REVIEW - Complete Role Mapping'!$AK:$AK,510)</f>
        <v>Vacant</v>
      </c>
      <c r="E52" s="1548" t="inlineStr">
        <is>
          <t>Hire</t>
        </is>
      </c>
      <c r="F52" s="1770">
        <f>INDEX('REVIEW - Complete Role Mapping'!$AA:$AA,510)</f>
        <v>275810.25</v>
      </c>
      <c r="G52" s="1770">
        <f>$F52*IFERROR(INDEX(Lists!$AD:$AD,MATCH($E52,Lists!$AC:$AC,0)),1)</f>
        <v>275810.25</v>
      </c>
    </row>
  </sheetData>
  <dataValidations count="1">
    <dataValidation sqref="E30 E32 E33 E34 E35 E36 E37 E38 E39 E41 E42 E43 E44 E45 E46 E48 E50 E52"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8.xml><?xml version="1.0" encoding="utf-8"?>
<worksheet xmlns="http://schemas.openxmlformats.org/spreadsheetml/2006/main">
  <sheetPr filterMode="0">
    <tabColor rgb="FFBF8F00"/>
    <outlinePr summaryBelow="1" summaryRight="1"/>
    <pageSetUpPr fitToPage="1"/>
  </sheetPr>
  <dimension ref="B2:Q4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election pane="topRight" activeCell="C1" activeCellId="0" sqref="C1"/>
      <selection pane="bottomLeft" activeCell="A7" activeCellId="0" sqref="A7"/>
      <selection pane="bottomRight" activeCell="A12" activeCellId="0" sqref="A12"/>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Finance - working copy</t>
        </is>
      </c>
    </row>
    <row r="3">
      <c r="B3" s="1525" t="inlineStr">
        <is>
          <t>Portfolio</t>
        </is>
      </c>
      <c r="C3" s="1526" t="inlineStr">
        <is>
          <t>Finance</t>
        </is>
      </c>
    </row>
    <row r="4" ht="19" customHeight="1" s="866">
      <c r="B4" s="1527" t="inlineStr">
        <is>
          <t>Finance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NZ Finance</t>
        </is>
      </c>
      <c r="C8" s="1531" t="str">
        <f>IFERROR(INDEX('1.6 Finance'!$C$24:$C$34,MATCH($B8,'1.6 Finance'!$B$24:$B$34,0)),"Not on the 1.x tab")</f>
        <v>Configuration / Integration</v>
      </c>
      <c r="D8" s="1531" t="str">
        <f>IFERROR(IF(INDEX('1.6 Finance'!$D$24:$D$34,MATCH($B8,'1.6 Finance'!$B$24:$B$34,0))="","-",INDEX('1.6 Finance'!$D$24:$D$34,MATCH($B8,'1.6 Finance'!$B$24:$B$34,0))),"-")</f>
        <v>S</v>
      </c>
      <c r="E8" s="1783">
        <f>IFERROR(INDEX('0.3 Squad Archetypes'!$F$5:$F$23,MATCH($C8&amp;"|"&amp;$D8,'0.3 Squad Archetypes'!$A$5:$A$23,0)),"-")</f>
        <v>6</v>
      </c>
      <c r="F8" s="1770">
        <f>COUNTA($B$30:$B$34)</f>
        <v>5</v>
      </c>
      <c r="G8" s="1770">
        <f>COUNTIFS($D$30:$D$34,"Filled")</f>
        <v>4</v>
      </c>
      <c r="H8" s="1770">
        <f>COUNTIFS($D$30:$D$34,"Vacant")</f>
        <v>1</v>
      </c>
      <c r="I8" s="1770">
        <f>COUNTIFS($D$30:$D$34,"Vacant",$E$30:$E$34,"Hire")</f>
        <v>1</v>
      </c>
      <c r="J8" s="1770">
        <f>COUNTIFS($E$30:$E$34,"Offshore")</f>
        <v>0</v>
      </c>
      <c r="K8" s="1770">
        <f>COUNTIFS($E$30:$E$34,"Hold")</f>
        <v>0</v>
      </c>
      <c r="L8" s="1770">
        <f>$F8-$K8</f>
        <v>5</v>
      </c>
      <c r="M8" s="1769">
        <f>IFERROR(IF(INDEX('1.6 Finance'!$E$24:$E$34,MATCH($B8,'1.6 Finance'!$B$24:$B$34,0))="Offshore",INDEX('0.3 Squad Archetypes'!$H$5:$H$23,MATCH($C8&amp;"|"&amp;$D8,'0.3 Squad Archetypes'!$A$5:$A$23,0)),INDEX('0.3 Squad Archetypes'!$G$5:$G$23,MATCH($C8&amp;"|"&amp;$D8,'0.3 Squad Archetypes'!$A$5:$A$23,0))),"-")</f>
        <v>1.4</v>
      </c>
      <c r="N8" s="1769">
        <f>SUMIFS('REVIEW - Complete Role Mapping'!$AA$2:$AA$528,'REVIEW - Complete Role Mapping'!$AJ$2:$AJ$528,$C$3,'REVIEW - Complete Role Mapping'!$AT$2:$AT$528,$B8)/1000000</f>
        <v>0.905141646</v>
      </c>
      <c r="O8" s="1769">
        <f>IFERROR(ROUND($N8-$M8,6),"-")</f>
        <v>-0.494858</v>
      </c>
      <c r="P8" s="1769">
        <f>SUM($G$30:$G$34)/1000000</f>
        <v>0.905141646</v>
      </c>
      <c r="Q8" s="1769">
        <f>IFERROR(ROUND($P8-$M8,6),"-")</f>
        <v>-0.494858</v>
      </c>
    </row>
    <row r="9">
      <c r="B9" s="1531" t="inlineStr">
        <is>
          <t>SAP ERP</t>
        </is>
      </c>
      <c r="C9" s="1531" t="str">
        <f>IFERROR(INDEX('1.6 Finance'!$C$24:$C$34,MATCH($B9,'1.6 Finance'!$B$24:$B$34,0)),"Not on the 1.x tab")</f>
        <v>Configuration / Integration</v>
      </c>
      <c r="D9" s="1531" t="str">
        <f>IFERROR(IF(INDEX('1.6 Finance'!$D$24:$D$34,MATCH($B9,'1.6 Finance'!$B$24:$B$34,0))="","-",INDEX('1.6 Finance'!$D$24:$D$34,MATCH($B9,'1.6 Finance'!$B$24:$B$34,0))),"-")</f>
        <v>S</v>
      </c>
      <c r="E9" s="1783">
        <f>IFERROR(INDEX('0.3 Squad Archetypes'!$F$5:$F$23,MATCH($C9&amp;"|"&amp;$D9,'0.3 Squad Archetypes'!$A$5:$A$23,0)),"-")</f>
        <v>6</v>
      </c>
      <c r="F9" s="1770">
        <f>COUNTA($B$36:$B$45)</f>
        <v>10</v>
      </c>
      <c r="G9" s="1770">
        <f>COUNTIFS($D$36:$D$45,"Filled")</f>
        <v>3</v>
      </c>
      <c r="H9" s="1770">
        <f>COUNTIFS($D$36:$D$45,"Vacant")</f>
        <v>7</v>
      </c>
      <c r="I9" s="1770">
        <f>COUNTIFS($D$36:$D$45,"Vacant",$E$36:$E$45,"Hire")</f>
        <v>7</v>
      </c>
      <c r="J9" s="1770">
        <f>COUNTIFS($E$36:$E$45,"Offshore")</f>
        <v>0</v>
      </c>
      <c r="K9" s="1770">
        <f>COUNTIFS($E$36:$E$45,"Hold")</f>
        <v>0</v>
      </c>
      <c r="L9" s="1770">
        <f>$F9-$K9</f>
        <v>10</v>
      </c>
      <c r="M9" s="1769">
        <f>IFERROR(IF(INDEX('1.6 Finance'!$E$24:$E$34,MATCH($B9,'1.6 Finance'!$B$24:$B$34,0))="Offshore",INDEX('0.3 Squad Archetypes'!$H$5:$H$23,MATCH($C9&amp;"|"&amp;$D9,'0.3 Squad Archetypes'!$A$5:$A$23,0)),INDEX('0.3 Squad Archetypes'!$G$5:$G$23,MATCH($C9&amp;"|"&amp;$D9,'0.3 Squad Archetypes'!$A$5:$A$23,0))),"-")</f>
        <v>1.4</v>
      </c>
      <c r="N9" s="1769">
        <f>SUMIFS('REVIEW - Complete Role Mapping'!$AA$2:$AA$528,'REVIEW - Complete Role Mapping'!$AJ$2:$AJ$528,$C$3,'REVIEW - Complete Role Mapping'!$AT$2:$AT$528,$B9)/1000000</f>
        <v>2.37418557</v>
      </c>
      <c r="O9" s="1769">
        <f>IFERROR(ROUND($N9-$M9,6),"-")</f>
        <v>0.974186</v>
      </c>
      <c r="P9" s="1769">
        <f>SUM($G$36:$G$45)/1000000</f>
        <v>2.37418557</v>
      </c>
      <c r="Q9" s="1769">
        <f>IFERROR(ROUND($P9-$M9,6),"-")</f>
        <v>0.974186</v>
      </c>
    </row>
    <row r="10">
      <c r="B10" s="1535" t="inlineStr">
        <is>
          <t>Squads priced by an archetype total</t>
        </is>
      </c>
      <c r="C10" s="1535" t="n"/>
      <c r="D10" s="1535" t="n"/>
      <c r="E10" s="1784">
        <f>SUM(E8:E9)</f>
        <v>12</v>
      </c>
      <c r="F10" s="1772">
        <f>SUM(F8:F9)</f>
        <v>15</v>
      </c>
      <c r="G10" s="1772">
        <f>SUM(G8:G9)</f>
        <v>7</v>
      </c>
      <c r="H10" s="1772">
        <f>SUM(H8:H9)</f>
        <v>8</v>
      </c>
      <c r="I10" s="1772">
        <f>SUM(I8:I9)</f>
        <v>8</v>
      </c>
      <c r="J10" s="1772">
        <f>SUM(J8:J9)</f>
        <v>0</v>
      </c>
      <c r="K10" s="1772">
        <f>SUM(K8:K9)</f>
        <v>0</v>
      </c>
      <c r="L10" s="1772">
        <f>SUM(L8:L9)</f>
        <v>15</v>
      </c>
      <c r="M10" s="1771">
        <f>IF(COUNT(M8:M9)=2,SUM(M8:M9),"-")</f>
        <v>2.8</v>
      </c>
      <c r="N10" s="1771">
        <f>SUM(N8:N9)</f>
        <v>3.279327216</v>
      </c>
      <c r="O10" s="1771">
        <f>IF(ISNUMBER($M10),ROUND($N10-$M10,6),"-")</f>
        <v>0.479327</v>
      </c>
      <c r="P10" s="1771">
        <f>SUM(P8:P9)</f>
        <v>3.279327216</v>
      </c>
      <c r="Q10" s="1771">
        <f>IF(ISNUMBER($M10),ROUND($P10-$M10,6),"-")</f>
        <v>0.479327</v>
      </c>
    </row>
    <row r="11">
      <c r="B11" s="1530" t="inlineStr">
        <is>
          <t>Directly funded programmes and platforms</t>
        </is>
      </c>
      <c r="C11" s="1530" t="n"/>
      <c r="D11" s="1530" t="n"/>
      <c r="E11" s="1530" t="n"/>
      <c r="F11" s="1530" t="n"/>
      <c r="G11" s="1530" t="n"/>
      <c r="H11" s="1530" t="n"/>
      <c r="I11" s="1530" t="n"/>
      <c r="J11" s="1530" t="n"/>
      <c r="K11" s="1530" t="n"/>
      <c r="L11" s="1530" t="n"/>
      <c r="M11" s="1530" t="n"/>
      <c r="N11" s="1530" t="n"/>
      <c r="O11" s="1530" t="n"/>
      <c r="P11" s="1530" t="n"/>
      <c r="Q11" s="1530" t="n"/>
    </row>
    <row r="12">
      <c r="B12" s="1531" t="inlineStr">
        <is>
          <t>EGI Finance</t>
        </is>
      </c>
      <c r="C12" s="1531" t="str">
        <f>IFERROR(INDEX('1.6 Finance'!$C$24:$C$34,MATCH($B12,'1.6 Finance'!$B$24:$B$34,0)),"Not on the 1.x tab")</f>
        <v>Strategic Programs</v>
      </c>
      <c r="D12" s="1531" t="str">
        <f>IFERROR(IF(INDEX('1.6 Finance'!$D$24:$D$34,MATCH($B12,'1.6 Finance'!$B$24:$B$34,0))="","-",INDEX('1.6 Finance'!$D$24:$D$34,MATCH($B12,'1.6 Finance'!$B$24:$B$34,0))),"-")</f>
        <v>-</v>
      </c>
      <c r="E12" s="1783" t="str">
        <f>"-"</f>
        <v>-</v>
      </c>
      <c r="F12" s="1770">
        <f>COUNTA($B$28:$B$28)</f>
        <v>1</v>
      </c>
      <c r="G12" s="1770">
        <f>COUNTIFS($D$28:$D$28,"Filled")</f>
        <v>1</v>
      </c>
      <c r="H12" s="1770">
        <f>COUNTIFS($D$28:$D$28,"Vacant")</f>
        <v>0</v>
      </c>
      <c r="I12" s="1770">
        <f>COUNTIFS($D$28:$D$28,"Vacant",$E$28:$E$28,"Hire")</f>
        <v>0</v>
      </c>
      <c r="J12" s="1770">
        <f>COUNTIFS($E$28:$E$28,"Offshore")</f>
        <v>0</v>
      </c>
      <c r="K12" s="1770">
        <f>COUNTIFS($E$28:$E$28,"Hold")</f>
        <v>0</v>
      </c>
      <c r="L12" s="1770">
        <f>$F12-$K12</f>
        <v>1</v>
      </c>
      <c r="M12" s="1769" t="str">
        <f>IFERROR(IF(N(INDEX('1.6 Finance'!$H$24:$H$34,MATCH($B12,'1.6 Finance'!$B$24:$B$34,0)))=0,"-",INDEX('1.6 Finance'!$H$24:$H$34,MATCH($B12,'1.6 Finance'!$B$24:$B$34,0))),"-")</f>
        <v>-</v>
      </c>
      <c r="N12" s="1769">
        <f>SUMIFS('REVIEW - Complete Role Mapping'!$AA$2:$AA$528,'REVIEW - Complete Role Mapping'!$AJ$2:$AJ$528,$C$3,'REVIEW - Complete Role Mapping'!$AT$2:$AT$528,$B12)/1000000</f>
        <v>0.24172845</v>
      </c>
      <c r="O12" s="1769" t="str">
        <f>IFERROR(ROUND($N12-$M12,6),"-")</f>
        <v>-</v>
      </c>
      <c r="P12" s="1769">
        <f>SUM($G$28:$G$28)/1000000</f>
        <v>0.24172845</v>
      </c>
      <c r="Q12" s="1769" t="str">
        <f>IFERROR(ROUND($P12-$M12,6),"-")</f>
        <v>-</v>
      </c>
    </row>
    <row r="13">
      <c r="B13" s="1535" t="inlineStr">
        <is>
          <t>Directly funded programmes and platforms total</t>
        </is>
      </c>
      <c r="C13" s="1535" t="n"/>
      <c r="D13" s="1535" t="n"/>
      <c r="E13" s="1784">
        <f>SUM(E12:E12)</f>
        <v>0</v>
      </c>
      <c r="F13" s="1772">
        <f>SUM(F12:F12)</f>
        <v>1</v>
      </c>
      <c r="G13" s="1772">
        <f>SUM(G12:G12)</f>
        <v>1</v>
      </c>
      <c r="H13" s="1772">
        <f>SUM(H12:H12)</f>
        <v>0</v>
      </c>
      <c r="I13" s="1772">
        <f>SUM(I12:I12)</f>
        <v>0</v>
      </c>
      <c r="J13" s="1772">
        <f>SUM(J12:J12)</f>
        <v>0</v>
      </c>
      <c r="K13" s="1772">
        <f>SUM(K12:K12)</f>
        <v>0</v>
      </c>
      <c r="L13" s="1772">
        <f>SUM(L12:L12)</f>
        <v>1</v>
      </c>
      <c r="M13" s="1771" t="str">
        <f>IF(COUNT(M12:M12)=1,SUM(M12:M12),"-")</f>
        <v>-</v>
      </c>
      <c r="N13" s="1771">
        <f>SUM(N12:N12)</f>
        <v>0.24172845</v>
      </c>
      <c r="O13" s="1771" t="str">
        <f>IF(ISNUMBER($M13),ROUND($N13-$M13,6),"-")</f>
        <v>-</v>
      </c>
      <c r="P13" s="1771">
        <f>SUM(P12:P12)</f>
        <v>0.24172845</v>
      </c>
      <c r="Q13" s="1771" t="str">
        <f>IF(ISNUMBER($M13),ROUND($P13-$M13,6),"-")</f>
        <v>-</v>
      </c>
    </row>
    <row r="14">
      <c r="B14" s="1530" t="inlineStr">
        <is>
          <t>Groups with no archetype and no funded figure</t>
        </is>
      </c>
      <c r="C14" s="1530" t="n"/>
      <c r="D14" s="1530" t="n"/>
      <c r="E14" s="1530" t="n"/>
      <c r="F14" s="1530" t="n"/>
      <c r="G14" s="1530" t="n"/>
      <c r="H14" s="1530" t="n"/>
      <c r="I14" s="1530" t="n"/>
      <c r="J14" s="1530" t="n"/>
      <c r="K14" s="1530" t="n"/>
      <c r="L14" s="1530" t="n"/>
      <c r="M14" s="1530" t="n"/>
      <c r="N14" s="1530" t="n"/>
      <c r="O14" s="1530" t="n"/>
      <c r="P14" s="1530" t="n"/>
      <c r="Q14" s="1530" t="n"/>
    </row>
    <row r="15">
      <c r="B15" s="1531" t="inlineStr">
        <is>
          <t>None</t>
        </is>
      </c>
      <c r="C15" s="1531" t="inlineStr">
        <is>
          <t>None - every group here has a figure to compare</t>
        </is>
      </c>
      <c r="D15" s="1539" t="str">
        <f>"-"</f>
        <v>-</v>
      </c>
      <c r="E15" s="1539" t="str">
        <f>"-"</f>
        <v>-</v>
      </c>
      <c r="F15" s="1539" t="str">
        <f>"-"</f>
        <v>-</v>
      </c>
      <c r="G15" s="1539" t="str">
        <f>"-"</f>
        <v>-</v>
      </c>
      <c r="H15" s="1539" t="str">
        <f>"-"</f>
        <v>-</v>
      </c>
      <c r="I15" s="1539" t="str">
        <f>"-"</f>
        <v>-</v>
      </c>
      <c r="J15" s="1539" t="str">
        <f>"-"</f>
        <v>-</v>
      </c>
      <c r="K15" s="1539" t="str">
        <f>"-"</f>
        <v>-</v>
      </c>
      <c r="L15" s="1539" t="str">
        <f>"-"</f>
        <v>-</v>
      </c>
      <c r="M15" s="1539" t="str">
        <f>"-"</f>
        <v>-</v>
      </c>
      <c r="N15" s="1539" t="str">
        <f>"-"</f>
        <v>-</v>
      </c>
      <c r="O15" s="1539" t="str">
        <f>"-"</f>
        <v>-</v>
      </c>
      <c r="P15" s="1539" t="str">
        <f>"-"</f>
        <v>-</v>
      </c>
      <c r="Q15" s="1539" t="str">
        <f>"-"</f>
        <v>-</v>
      </c>
    </row>
    <row r="16">
      <c r="B16" s="1535" t="inlineStr">
        <is>
          <t>Groups with no archetype and no funded figure total</t>
        </is>
      </c>
      <c r="C16" s="1535" t="n"/>
      <c r="D16" s="1535" t="n"/>
      <c r="E16" s="1784">
        <f>SUM(E15:E15)</f>
        <v>0</v>
      </c>
      <c r="F16" s="1772">
        <f>SUM(F15:F15)</f>
        <v>0</v>
      </c>
      <c r="G16" s="1772">
        <f>SUM(G15:G15)</f>
        <v>0</v>
      </c>
      <c r="H16" s="1772">
        <f>SUM(H15:H15)</f>
        <v>0</v>
      </c>
      <c r="I16" s="1772">
        <f>SUM(I15:I15)</f>
        <v>0</v>
      </c>
      <c r="J16" s="1772">
        <f>SUM(J15:J15)</f>
        <v>0</v>
      </c>
      <c r="K16" s="1772">
        <f>SUM(K15:K15)</f>
        <v>0</v>
      </c>
      <c r="L16" s="1772">
        <f>SUM(L15:L15)</f>
        <v>0</v>
      </c>
      <c r="M16" s="1771" t="str">
        <f>IF(COUNT(M15:M15)=1,SUM(M15:M15),"-")</f>
        <v>-</v>
      </c>
      <c r="N16" s="1771">
        <f>SUM(N15:N15)</f>
        <v>0</v>
      </c>
      <c r="O16" s="1771" t="str">
        <f>IF(ISNUMBER($M16),ROUND($N16-$M16,6),"-")</f>
        <v>-</v>
      </c>
      <c r="P16" s="1771">
        <f>SUM(P15:P15)</f>
        <v>0</v>
      </c>
      <c r="Q16" s="1771" t="str">
        <f>IF(ISNUMBER($M16),ROUND($P16-$M16,6),"-")</f>
        <v>-</v>
      </c>
    </row>
    <row r="17">
      <c r="B17" s="1530" t="inlineStr">
        <is>
          <t>Overhead roles</t>
        </is>
      </c>
      <c r="C17" s="1530" t="n"/>
      <c r="D17" s="1530" t="n"/>
      <c r="E17" s="1530" t="n"/>
      <c r="F17" s="1530" t="n"/>
      <c r="G17" s="1530" t="n"/>
      <c r="H17" s="1530" t="n"/>
      <c r="I17" s="1530" t="n"/>
      <c r="J17" s="1530" t="n"/>
      <c r="K17" s="1530" t="n"/>
      <c r="L17" s="1530" t="n"/>
      <c r="M17" s="1530" t="n"/>
      <c r="N17" s="1530" t="n"/>
      <c r="O17" s="1530" t="n"/>
      <c r="P17" s="1530" t="n"/>
      <c r="Q17" s="1530" t="n"/>
    </row>
    <row r="18">
      <c r="B18" s="1531" t="inlineStr">
        <is>
          <t>Technology Manager</t>
        </is>
      </c>
      <c r="C18" s="1531" t="str">
        <f>"-"</f>
        <v>-</v>
      </c>
      <c r="D18" s="1531" t="str">
        <f>"-"</f>
        <v>-</v>
      </c>
      <c r="E18" s="1540" t="str">
        <f>"-"</f>
        <v>-</v>
      </c>
      <c r="F18" s="1770">
        <f>COUNTA($B$47:$B$47)</f>
        <v>1</v>
      </c>
      <c r="G18" s="1770">
        <f>COUNTIFS($D$47:$D$47,"Filled")</f>
        <v>1</v>
      </c>
      <c r="H18" s="1770">
        <f>COUNTIFS($D$47:$D$47,"Vacant")</f>
        <v>0</v>
      </c>
      <c r="I18" s="1770">
        <f>COUNTIFS($D$47:$D$47,"Vacant",$E$47:$E$47,"Hire")</f>
        <v>0</v>
      </c>
      <c r="J18" s="1770">
        <f>COUNTIFS($E$47:$E$47,"Offshore")</f>
        <v>0</v>
      </c>
      <c r="K18" s="1770">
        <f>COUNTIFS($E$47:$E$47,"Hold")</f>
        <v>0</v>
      </c>
      <c r="L18" s="1770">
        <f>$F18-$K18</f>
        <v>1</v>
      </c>
      <c r="M18" s="1540" t="str">
        <f>"-"</f>
        <v>-</v>
      </c>
      <c r="N18" s="1769">
        <f>SUMIFS('REVIEW - Complete Role Mapping'!$AA$2:$AA$528,'REVIEW - Complete Role Mapping'!$AJ$2:$AJ$528,$C$3,'REVIEW - Complete Role Mapping'!$AT$2:$AT$528,$B18)/1000000</f>
        <v>0.32356045</v>
      </c>
      <c r="O18" s="1540" t="str">
        <f>"-"</f>
        <v>-</v>
      </c>
      <c r="P18" s="1769">
        <f>SUM($G$47:$G$47)/1000000</f>
        <v>0.32356045</v>
      </c>
      <c r="Q18" s="1540" t="str">
        <f>"-"</f>
        <v>-</v>
      </c>
    </row>
    <row r="19">
      <c r="B19" s="1535" t="inlineStr">
        <is>
          <t>Overhead roles total</t>
        </is>
      </c>
      <c r="C19" s="1535" t="n"/>
      <c r="D19" s="1535" t="n"/>
      <c r="E19" s="1784">
        <f>SUM(E18:E18)</f>
        <v>0</v>
      </c>
      <c r="F19" s="1772">
        <f>SUM(F18:F18)</f>
        <v>1</v>
      </c>
      <c r="G19" s="1772">
        <f>SUM(G18:G18)</f>
        <v>1</v>
      </c>
      <c r="H19" s="1772">
        <f>SUM(H18:H18)</f>
        <v>0</v>
      </c>
      <c r="I19" s="1772">
        <f>SUM(I18:I18)</f>
        <v>0</v>
      </c>
      <c r="J19" s="1772">
        <f>SUM(J18:J18)</f>
        <v>0</v>
      </c>
      <c r="K19" s="1772">
        <f>SUM(K18:K18)</f>
        <v>0</v>
      </c>
      <c r="L19" s="1772">
        <f>SUM(L18:L18)</f>
        <v>1</v>
      </c>
      <c r="M19" s="1771" t="str">
        <f>IF(COUNT(M18:M18)=1,SUM(M18:M18),"-")</f>
        <v>-</v>
      </c>
      <c r="N19" s="1771">
        <f>SUM(N18:N18)</f>
        <v>0.32356045</v>
      </c>
      <c r="O19" s="1771" t="str">
        <f>IF(ISNUMBER($M19),ROUND($N19-$M19,6),"-")</f>
        <v>-</v>
      </c>
      <c r="P19" s="1771">
        <f>SUM(P18:P18)</f>
        <v>0.32356045</v>
      </c>
      <c r="Q19" s="1771" t="str">
        <f>IF(ISNUMBER($M19),ROUND($P19-$M19,6),"-")</f>
        <v>-</v>
      </c>
    </row>
    <row r="20">
      <c r="B20" s="1541" t="inlineStr">
        <is>
          <t>Total portfolio</t>
        </is>
      </c>
      <c r="C20" s="1541" t="n"/>
      <c r="D20" s="1541" t="n"/>
      <c r="E20" s="1785">
        <f>N(E10)+N(E13)+N(E16)+N(E19)</f>
        <v>12</v>
      </c>
      <c r="F20" s="1774">
        <f>N(F10)+N(F13)+N(F16)+N(F19)</f>
        <v>17</v>
      </c>
      <c r="G20" s="1774">
        <f>N(G10)+N(G13)+N(G16)+N(G19)</f>
        <v>9</v>
      </c>
      <c r="H20" s="1774">
        <f>N(H10)+N(H13)+N(H16)+N(H19)</f>
        <v>8</v>
      </c>
      <c r="I20" s="1774">
        <f>N(I10)+N(I13)+N(I16)+N(I19)</f>
        <v>8</v>
      </c>
      <c r="J20" s="1774">
        <f>N(J10)+N(J13)+N(J16)+N(J19)</f>
        <v>0</v>
      </c>
      <c r="K20" s="1774">
        <f>N(K10)+N(K13)+N(K16)+N(K19)</f>
        <v>0</v>
      </c>
      <c r="L20" s="1774">
        <f>N(L10)+N(L13)+N(L16)+N(L19)</f>
        <v>17</v>
      </c>
      <c r="M20" s="1773" t="str">
        <f>"-"</f>
        <v>-</v>
      </c>
      <c r="N20" s="1773">
        <f>N(N10)+N(N13)+N(N16)+N(N19)</f>
        <v>3.844616116</v>
      </c>
      <c r="O20" s="1773" t="str">
        <f>"-"</f>
        <v>-</v>
      </c>
      <c r="P20" s="1773">
        <f>N(P10)+N(P13)+N(P16)+N(P19)</f>
        <v>3.844616116</v>
      </c>
      <c r="Q20" s="1773" t="str">
        <f>"-"</f>
        <v>-</v>
      </c>
    </row>
    <row r="22">
      <c r="B22" s="1526" t="inlineStr">
        <is>
          <t>Control - roles against the ledger, must be 0</t>
        </is>
      </c>
      <c r="F22" s="1778">
        <f>$F$20-COUNTIFS('REVIEW - Complete Role Mapping'!$AJ$2:$AJ$528,$C$3)</f>
        <v>0</v>
      </c>
    </row>
    <row r="23">
      <c r="B23" s="1526" t="inlineStr">
        <is>
          <t>Control - cost against the ledger ($m), must be 0</t>
        </is>
      </c>
      <c r="N23" s="1779">
        <f>ROUND($N$20-SUMIFS('REVIEW - Complete Role Mapping'!$AA$2:$AA$528,'REVIEW - Complete Role Mapping'!$AJ$2:$AJ$528,$C$3)/1000000,6)</f>
        <v>0</v>
      </c>
    </row>
    <row r="25" ht="19" customHeight="1" s="866">
      <c r="B25" s="1527" t="inlineStr">
        <is>
          <t>Finance FTE</t>
        </is>
      </c>
      <c r="C25" s="1528" t="n"/>
      <c r="D25" s="1528" t="n"/>
      <c r="E25" s="1528" t="n"/>
      <c r="F25" s="1528" t="n"/>
      <c r="G25" s="1528" t="n"/>
    </row>
    <row r="26" ht="34" customHeight="1" s="866">
      <c r="B26" s="1529" t="inlineStr">
        <is>
          <t>Name</t>
        </is>
      </c>
      <c r="C26" s="1529" t="inlineStr">
        <is>
          <t>Role</t>
        </is>
      </c>
      <c r="D26" s="1529" t="inlineStr">
        <is>
          <t>Status</t>
        </is>
      </c>
      <c r="E26" s="1529" t="inlineStr">
        <is>
          <t>Vacancy lever</t>
        </is>
      </c>
      <c r="F26" s="1529" t="inlineStr">
        <is>
          <t>Role cost ($)</t>
        </is>
      </c>
      <c r="G26" s="1529" t="inlineStr">
        <is>
          <t>Cost after decision ($)</t>
        </is>
      </c>
    </row>
    <row r="27">
      <c r="B27" s="1530" t="inlineStr">
        <is>
          <t>EGI Finance</t>
        </is>
      </c>
      <c r="C27" s="1530" t="str">
        <f>COUNTA($B$28:$B$28)&amp;IF(COUNTA($B$28:$B$28)=1," role"," roles")</f>
        <v>1 role</v>
      </c>
      <c r="D27" s="1530" t="n"/>
      <c r="E27" s="1530" t="n"/>
      <c r="F27" s="1786">
        <f>SUM(F28:F28)</f>
        <v>241728.45</v>
      </c>
      <c r="G27" s="1786">
        <f>SUM(G28:G28)</f>
        <v>241728.45</v>
      </c>
    </row>
    <row r="28">
      <c r="B28" s="1531" t="str">
        <f>INDEX('REVIEW - Complete Role Mapping'!$B:$B,447)</f>
        <v>Ee Lynn Yap</v>
      </c>
      <c r="C28" s="1531" t="str">
        <f>INDEX('REVIEW - Complete Role Mapping'!$C:$C,447)</f>
        <v>SAP ERP Application Lead</v>
      </c>
      <c r="D28" s="1531" t="str">
        <f>INDEX('REVIEW - Complete Role Mapping'!$AK:$AK,447)</f>
        <v>Filled</v>
      </c>
      <c r="E28" s="1548" t="inlineStr">
        <is>
          <t>Filled</t>
        </is>
      </c>
      <c r="F28" s="1770">
        <f>INDEX('REVIEW - Complete Role Mapping'!$AA:$AA,447)</f>
        <v>241728.45</v>
      </c>
      <c r="G28" s="1770">
        <f>$F28*IFERROR(INDEX(Lists!$AD:$AD,MATCH($E28,Lists!$AC:$AC,0)),1)</f>
        <v>241728.45</v>
      </c>
    </row>
    <row r="29">
      <c r="B29" s="1530" t="inlineStr">
        <is>
          <t>NZ Finance</t>
        </is>
      </c>
      <c r="C29" s="1530" t="str">
        <f>COUNTA($B$30:$B$34)&amp;IF(COUNTA($B$30:$B$34)=1," role"," roles")</f>
        <v>5 roles</v>
      </c>
      <c r="D29" s="1530" t="n"/>
      <c r="E29" s="1530" t="n"/>
      <c r="F29" s="1786">
        <f>SUM(F30:F34)</f>
        <v>905141.646</v>
      </c>
      <c r="G29" s="1786">
        <f>SUM(G30:G34)</f>
        <v>905141.646</v>
      </c>
    </row>
    <row r="30">
      <c r="B30" s="1531" t="str">
        <f>INDEX('REVIEW - Complete Role Mapping'!$B:$B,456)</f>
        <v>Leilanie Avilla</v>
      </c>
      <c r="C30" s="1531" t="str">
        <f>INDEX('REVIEW - Complete Role Mapping'!$C:$C,456)</f>
        <v>JDE Systems Specialist</v>
      </c>
      <c r="D30" s="1531" t="str">
        <f>INDEX('REVIEW - Complete Role Mapping'!$AK:$AK,456)</f>
        <v>Filled</v>
      </c>
      <c r="E30" s="1548" t="inlineStr">
        <is>
          <t>Filled</t>
        </is>
      </c>
      <c r="F30" s="1770">
        <f>INDEX('REVIEW - Complete Role Mapping'!$AA:$AA,456)</f>
        <v>107420.712</v>
      </c>
      <c r="G30" s="1770">
        <f>$F30*IFERROR(INDEX(Lists!$AD:$AD,MATCH($E30,Lists!$AC:$AC,0)),1)</f>
        <v>107420.712</v>
      </c>
    </row>
    <row r="31">
      <c r="B31" s="1531" t="str">
        <f>INDEX('REVIEW - Complete Role Mapping'!$B:$B,457)</f>
        <v>Lydia Pritchard</v>
      </c>
      <c r="C31" s="1531" t="str">
        <f>INDEX('REVIEW - Complete Role Mapping'!$C:$C,457)</f>
        <v>Lead JDE Systems Specialist</v>
      </c>
      <c r="D31" s="1531" t="str">
        <f>INDEX('REVIEW - Complete Role Mapping'!$AK:$AK,457)</f>
        <v>Filled</v>
      </c>
      <c r="E31" s="1548" t="inlineStr">
        <is>
          <t>Filled</t>
        </is>
      </c>
      <c r="F31" s="1770">
        <f>INDEX('REVIEW - Complete Role Mapping'!$AA:$AA,457)</f>
        <v>198099.684</v>
      </c>
      <c r="G31" s="1770">
        <f>$F31*IFERROR(INDEX(Lists!$AD:$AD,MATCH($E31,Lists!$AC:$AC,0)),1)</f>
        <v>198099.684</v>
      </c>
    </row>
    <row r="32">
      <c r="B32" s="1531" t="str">
        <f>INDEX('REVIEW - Complete Role Mapping'!$B:$B,458)</f>
        <v>Ring fenced</v>
      </c>
      <c r="C32" s="1531" t="str">
        <f>INDEX('REVIEW - Complete Role Mapping'!$C:$C,458)</f>
        <v>JDE Senior Systems Specialist</v>
      </c>
      <c r="D32" s="1531" t="str">
        <f>INDEX('REVIEW - Complete Role Mapping'!$AK:$AK,458)</f>
        <v>Filled</v>
      </c>
      <c r="E32" s="1548" t="inlineStr">
        <is>
          <t>Filled</t>
        </is>
      </c>
      <c r="F32" s="1770">
        <f>INDEX('REVIEW - Complete Role Mapping'!$AA:$AA,458)</f>
        <v>183966</v>
      </c>
      <c r="G32" s="1770">
        <f>$F32*IFERROR(INDEX(Lists!$AD:$AD,MATCH($E32,Lists!$AC:$AC,0)),1)</f>
        <v>183966</v>
      </c>
    </row>
    <row r="33">
      <c r="B33" s="1531" t="str">
        <f>INDEX('REVIEW - Complete Role Mapping'!$B:$B,459)</f>
        <v>Ring fenced</v>
      </c>
      <c r="C33" s="1531" t="str">
        <f>INDEX('REVIEW - Complete Role Mapping'!$C:$C,459)</f>
        <v>JDE Senior Systems Specialist</v>
      </c>
      <c r="D33" s="1531" t="str">
        <f>INDEX('REVIEW - Complete Role Mapping'!$AK:$AK,459)</f>
        <v>Filled</v>
      </c>
      <c r="E33" s="1548" t="inlineStr">
        <is>
          <t>Filled</t>
        </is>
      </c>
      <c r="F33" s="1770">
        <f>INDEX('REVIEW - Complete Role Mapping'!$AA:$AA,459)</f>
        <v>183966</v>
      </c>
      <c r="G33" s="1770">
        <f>$F33*IFERROR(INDEX(Lists!$AD:$AD,MATCH($E33,Lists!$AC:$AC,0)),1)</f>
        <v>183966</v>
      </c>
    </row>
    <row r="34">
      <c r="B34" s="1531" t="str">
        <f>INDEX('REVIEW - Complete Role Mapping'!$B:$B,500)</f>
        <v>Vacant</v>
      </c>
      <c r="C34" s="1531" t="str">
        <f>INDEX('REVIEW - Complete Role Mapping'!$C:$C,500)</f>
        <v>Delivery Lead (JDE)</v>
      </c>
      <c r="D34" s="1531" t="str">
        <f>INDEX('REVIEW - Complete Role Mapping'!$AK:$AK,500)</f>
        <v>Vacant</v>
      </c>
      <c r="E34" s="1548" t="inlineStr">
        <is>
          <t>Hire</t>
        </is>
      </c>
      <c r="F34" s="1770">
        <f>INDEX('REVIEW - Complete Role Mapping'!$AA:$AA,500)</f>
        <v>231689.25</v>
      </c>
      <c r="G34" s="1770">
        <f>$F34*IFERROR(INDEX(Lists!$AD:$AD,MATCH($E34,Lists!$AC:$AC,0)),1)</f>
        <v>231689.25</v>
      </c>
    </row>
    <row r="35">
      <c r="B35" s="1530" t="inlineStr">
        <is>
          <t>SAP ERP</t>
        </is>
      </c>
      <c r="C35" s="1530" t="str">
        <f>COUNTA($B$36:$B$45)&amp;IF(COUNTA($B$36:$B$45)=1," role"," roles")</f>
        <v>10 roles</v>
      </c>
      <c r="D35" s="1530" t="n"/>
      <c r="E35" s="1530" t="n"/>
      <c r="F35" s="1786">
        <f>SUM(F36:F45)</f>
        <v>2374185.57</v>
      </c>
      <c r="G35" s="1786">
        <f>SUM(G36:G45)</f>
        <v>2374185.57</v>
      </c>
    </row>
    <row r="36">
      <c r="B36" s="1531" t="str">
        <f>INDEX('REVIEW - Complete Role Mapping'!$B:$B,453)</f>
        <v>Julma Bhagwani</v>
      </c>
      <c r="C36" s="1531" t="str">
        <f>INDEX('REVIEW - Complete Role Mapping'!$C:$C,453)</f>
        <v>SAP ERP Application Lead</v>
      </c>
      <c r="D36" s="1531" t="str">
        <f>INDEX('REVIEW - Complete Role Mapping'!$AK:$AK,453)</f>
        <v>Filled</v>
      </c>
      <c r="E36" s="1548" t="inlineStr">
        <is>
          <t>Filled</t>
        </is>
      </c>
      <c r="F36" s="1770">
        <f>INDEX('REVIEW - Complete Role Mapping'!$AA:$AA,453)</f>
        <v>239899.5</v>
      </c>
      <c r="G36" s="1770">
        <f>$F36*IFERROR(INDEX(Lists!$AD:$AD,MATCH($E36,Lists!$AC:$AC,0)),1)</f>
        <v>239899.5</v>
      </c>
    </row>
    <row r="37">
      <c r="B37" s="1531" t="str">
        <f>INDEX('REVIEW - Complete Role Mapping'!$B:$B,454)</f>
        <v>Maudud Chaudhury</v>
      </c>
      <c r="C37" s="1531" t="str">
        <f>INDEX('REVIEW - Complete Role Mapping'!$C:$C,454)</f>
        <v>SAP ERP Application Lead</v>
      </c>
      <c r="D37" s="1531" t="str">
        <f>INDEX('REVIEW - Complete Role Mapping'!$AK:$AK,454)</f>
        <v>Filled</v>
      </c>
      <c r="E37" s="1548" t="inlineStr">
        <is>
          <t>Filled</t>
        </is>
      </c>
      <c r="F37" s="1770">
        <f>INDEX('REVIEW - Complete Role Mapping'!$AA:$AA,454)</f>
        <v>214093.95</v>
      </c>
      <c r="G37" s="1770">
        <f>$F37*IFERROR(INDEX(Lists!$AD:$AD,MATCH($E37,Lists!$AC:$AC,0)),1)</f>
        <v>214093.95</v>
      </c>
    </row>
    <row r="38">
      <c r="B38" s="1531" t="str">
        <f>INDEX('REVIEW - Complete Role Mapping'!$B:$B,495)</f>
        <v>Vacant</v>
      </c>
      <c r="C38" s="1531" t="str">
        <f>INDEX('REVIEW - Complete Role Mapping'!$C:$C,495)</f>
        <v>SAP Functional Specialist</v>
      </c>
      <c r="D38" s="1531" t="str">
        <f>INDEX('REVIEW - Complete Role Mapping'!$AK:$AK,495)</f>
        <v>Vacant</v>
      </c>
      <c r="E38" s="1548" t="inlineStr">
        <is>
          <t>Hire</t>
        </is>
      </c>
      <c r="F38" s="1770">
        <f>INDEX('REVIEW - Complete Role Mapping'!$AA:$AA,495)</f>
        <v>231689.25</v>
      </c>
      <c r="G38" s="1770">
        <f>$F38*IFERROR(INDEX(Lists!$AD:$AD,MATCH($E38,Lists!$AC:$AC,0)),1)</f>
        <v>231689.25</v>
      </c>
    </row>
    <row r="39">
      <c r="B39" s="1531" t="str">
        <f>INDEX('REVIEW - Complete Role Mapping'!$B:$B,496)</f>
        <v>Vacant</v>
      </c>
      <c r="C39" s="1531" t="str">
        <f>INDEX('REVIEW - Complete Role Mapping'!$C:$C,496)</f>
        <v>SAP Functional Specialist</v>
      </c>
      <c r="D39" s="1531" t="str">
        <f>INDEX('REVIEW - Complete Role Mapping'!$AK:$AK,496)</f>
        <v>Vacant</v>
      </c>
      <c r="E39" s="1548" t="inlineStr">
        <is>
          <t>Hire</t>
        </is>
      </c>
      <c r="F39" s="1770">
        <f>INDEX('REVIEW - Complete Role Mapping'!$AA:$AA,496)</f>
        <v>231689.25</v>
      </c>
      <c r="G39" s="1770">
        <f>$F39*IFERROR(INDEX(Lists!$AD:$AD,MATCH($E39,Lists!$AC:$AC,0)),1)</f>
        <v>231689.25</v>
      </c>
    </row>
    <row r="40">
      <c r="B40" s="1531" t="str">
        <f>INDEX('REVIEW - Complete Role Mapping'!$B:$B,497)</f>
        <v>Vacant</v>
      </c>
      <c r="C40" s="1531" t="str">
        <f>INDEX('REVIEW - Complete Role Mapping'!$C:$C,497)</f>
        <v>SAP Functional Specialist</v>
      </c>
      <c r="D40" s="1531" t="str">
        <f>INDEX('REVIEW - Complete Role Mapping'!$AK:$AK,497)</f>
        <v>Vacant</v>
      </c>
      <c r="E40" s="1548" t="inlineStr">
        <is>
          <t>Hire</t>
        </is>
      </c>
      <c r="F40" s="1770">
        <f>INDEX('REVIEW - Complete Role Mapping'!$AA:$AA,497)</f>
        <v>231689.25</v>
      </c>
      <c r="G40" s="1770">
        <f>$F40*IFERROR(INDEX(Lists!$AD:$AD,MATCH($E40,Lists!$AC:$AC,0)),1)</f>
        <v>231689.25</v>
      </c>
    </row>
    <row r="41">
      <c r="B41" s="1531" t="str">
        <f>INDEX('REVIEW - Complete Role Mapping'!$B:$B,498)</f>
        <v>Vacant</v>
      </c>
      <c r="C41" s="1531" t="str">
        <f>INDEX('REVIEW - Complete Role Mapping'!$C:$C,498)</f>
        <v>SAP Functional Specialist</v>
      </c>
      <c r="D41" s="1531" t="str">
        <f>INDEX('REVIEW - Complete Role Mapping'!$AK:$AK,498)</f>
        <v>Vacant</v>
      </c>
      <c r="E41" s="1548" t="inlineStr">
        <is>
          <t>Hire</t>
        </is>
      </c>
      <c r="F41" s="1770">
        <f>INDEX('REVIEW - Complete Role Mapping'!$AA:$AA,498)</f>
        <v>231689.25</v>
      </c>
      <c r="G41" s="1770">
        <f>$F41*IFERROR(INDEX(Lists!$AD:$AD,MATCH($E41,Lists!$AC:$AC,0)),1)</f>
        <v>231689.25</v>
      </c>
    </row>
    <row r="42">
      <c r="B42" s="1531" t="str">
        <f>INDEX('REVIEW - Complete Role Mapping'!$B:$B,499)</f>
        <v>Vacant</v>
      </c>
      <c r="C42" s="1531" t="str">
        <f>INDEX('REVIEW - Complete Role Mapping'!$C:$C,499)</f>
        <v>Solution Architect - Finance</v>
      </c>
      <c r="D42" s="1531" t="str">
        <f>INDEX('REVIEW - Complete Role Mapping'!$AK:$AK,499)</f>
        <v>Vacant</v>
      </c>
      <c r="E42" s="1548" t="inlineStr">
        <is>
          <t>Hire</t>
        </is>
      </c>
      <c r="F42" s="1770">
        <f>INDEX('REVIEW - Complete Role Mapping'!$AA:$AA,499)</f>
        <v>231689.25</v>
      </c>
      <c r="G42" s="1770">
        <f>$F42*IFERROR(INDEX(Lists!$AD:$AD,MATCH($E42,Lists!$AC:$AC,0)),1)</f>
        <v>231689.25</v>
      </c>
    </row>
    <row r="43">
      <c r="B43" s="1531" t="str">
        <f>INDEX('REVIEW - Complete Role Mapping'!$B:$B,501)</f>
        <v>Vacant</v>
      </c>
      <c r="C43" s="1531" t="str">
        <f>INDEX('REVIEW - Complete Role Mapping'!$C:$C,501)</f>
        <v>Delivery Lead (SAP)</v>
      </c>
      <c r="D43" s="1531" t="str">
        <f>INDEX('REVIEW - Complete Role Mapping'!$AK:$AK,501)</f>
        <v>Vacant</v>
      </c>
      <c r="E43" s="1548" t="inlineStr">
        <is>
          <t>Hire</t>
        </is>
      </c>
      <c r="F43" s="1770">
        <f>INDEX('REVIEW - Complete Role Mapping'!$AA:$AA,501)</f>
        <v>231689.25</v>
      </c>
      <c r="G43" s="1770">
        <f>$F43*IFERROR(INDEX(Lists!$AD:$AD,MATCH($E43,Lists!$AC:$AC,0)),1)</f>
        <v>231689.25</v>
      </c>
    </row>
    <row r="44">
      <c r="B44" s="1531" t="str">
        <f>INDEX('REVIEW - Complete Role Mapping'!$B:$B,526)</f>
        <v>Vacant</v>
      </c>
      <c r="C44" s="1531" t="str">
        <f>INDEX('REVIEW - Complete Role Mapping'!$C:$C,526)</f>
        <v>Integration Specialist (ASAPIO CTRM)</v>
      </c>
      <c r="D44" s="1531" t="str">
        <f>INDEX('REVIEW - Complete Role Mapping'!$AK:$AK,526)</f>
        <v>Vacant</v>
      </c>
      <c r="E44" s="1548" t="inlineStr">
        <is>
          <t>Hire</t>
        </is>
      </c>
      <c r="F44" s="1770">
        <f>INDEX('REVIEW - Complete Role Mapping'!$AA:$AA,526)</f>
        <v>174856.62</v>
      </c>
      <c r="G44" s="1770">
        <f>$F44*IFERROR(INDEX(Lists!$AD:$AD,MATCH($E44,Lists!$AC:$AC,0)),1)</f>
        <v>174856.62</v>
      </c>
    </row>
    <row r="45">
      <c r="B45" s="1531" t="str">
        <f>INDEX('REVIEW - Complete Role Mapping'!$B:$B,528)</f>
        <v>Jens Tom</v>
      </c>
      <c r="C45" s="1531" t="str">
        <f>INDEX('REVIEW - Complete Role Mapping'!$C:$C,528)</f>
        <v>SAP Solution Architect</v>
      </c>
      <c r="D45" s="1531" t="str">
        <f>INDEX('REVIEW - Complete Role Mapping'!$AK:$AK,528)</f>
        <v>Filled</v>
      </c>
      <c r="E45" s="1548" t="inlineStr">
        <is>
          <t>Filled</t>
        </is>
      </c>
      <c r="F45" s="1770">
        <f>INDEX('REVIEW - Complete Role Mapping'!$AA:$AA,528)</f>
        <v>355200</v>
      </c>
      <c r="G45" s="1770">
        <f>$F45*IFERROR(INDEX(Lists!$AD:$AD,MATCH($E45,Lists!$AC:$AC,0)),1)</f>
        <v>355200</v>
      </c>
    </row>
    <row r="46">
      <c r="B46" s="1530" t="inlineStr">
        <is>
          <t>Technology Manager</t>
        </is>
      </c>
      <c r="C46" s="1530" t="str">
        <f>COUNTA($B$47:$B$47)&amp;IF(COUNTA($B$47:$B$47)=1," role"," roles")</f>
        <v>1 role</v>
      </c>
      <c r="D46" s="1530" t="n"/>
      <c r="E46" s="1530" t="n"/>
      <c r="F46" s="1786">
        <f>SUM(F47:F47)</f>
        <v>323560.45</v>
      </c>
      <c r="G46" s="1786">
        <f>SUM(G47:G47)</f>
        <v>323560.45</v>
      </c>
    </row>
    <row r="47">
      <c r="B47" s="1531" t="str">
        <f>INDEX('REVIEW - Complete Role Mapping'!$B:$B,455)</f>
        <v>Shane Ker</v>
      </c>
      <c r="C47" s="1531" t="str">
        <f>INDEX('REVIEW - Complete Role Mapping'!$C:$C,455)</f>
        <v>Technology Manger - Finance Platfoms</v>
      </c>
      <c r="D47" s="1531" t="str">
        <f>INDEX('REVIEW - Complete Role Mapping'!$AK:$AK,455)</f>
        <v>Filled</v>
      </c>
      <c r="E47" s="1548" t="inlineStr">
        <is>
          <t>Filled</t>
        </is>
      </c>
      <c r="F47" s="1770">
        <f>INDEX('REVIEW - Complete Role Mapping'!$AA:$AA,455)</f>
        <v>323560.45</v>
      </c>
      <c r="G47" s="1770">
        <f>$F47*IFERROR(INDEX(Lists!$AD:$AD,MATCH($E47,Lists!$AC:$AC,0)),1)</f>
        <v>323560.45</v>
      </c>
    </row>
  </sheetData>
  <dataValidations count="1">
    <dataValidation sqref="E28 E30 E31 E32 E33 E34 E36 E37 E38 E39 E40 E41 E42 E43 E44 E45 E47"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9.xml><?xml version="1.0" encoding="utf-8"?>
<worksheet xmlns="http://schemas.openxmlformats.org/spreadsheetml/2006/main">
  <sheetPr filterMode="0">
    <tabColor rgb="FFBF8F00"/>
    <outlinePr summaryBelow="1" summaryRight="1"/>
    <pageSetUpPr fitToPage="1"/>
  </sheetPr>
  <dimension ref="B2:Q7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election pane="topRight" activeCell="C1" activeCellId="0" sqref="C1"/>
      <selection pane="bottomLeft" activeCell="A7" activeCellId="0" sqref="A7"/>
      <selection pane="bottomRight" activeCell="A13" activeCellId="0" sqref="A13"/>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Infrastructure - working copy</t>
        </is>
      </c>
    </row>
    <row r="3">
      <c r="B3" s="1525" t="inlineStr">
        <is>
          <t>Portfolio</t>
        </is>
      </c>
      <c r="C3" s="1526" t="inlineStr">
        <is>
          <t>Infrastructure</t>
        </is>
      </c>
    </row>
    <row r="4" ht="19" customHeight="1" s="866">
      <c r="B4" s="1527" t="inlineStr">
        <is>
          <t>Infrastructure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Data &amp; Insights</t>
        </is>
      </c>
      <c r="C8" s="1531" t="str">
        <f>IFERROR(INDEX('1.7 Infrastructure'!$C$24:$C$41,MATCH($B8,'1.7 Infrastructure'!$B$24:$B$41,0)),"Not on the 1.x tab")</f>
        <v>Configuration / Integration</v>
      </c>
      <c r="D8" s="1531" t="str">
        <f>IFERROR(IF(INDEX('1.7 Infrastructure'!$D$24:$D$41,MATCH($B8,'1.7 Infrastructure'!$B$24:$B$41,0))="","-",INDEX('1.7 Infrastructure'!$D$24:$D$41,MATCH($B8,'1.7 Infrastructure'!$B$24:$B$41,0))),"-")</f>
        <v>S</v>
      </c>
      <c r="E8" s="1783">
        <f>IFERROR(INDEX('0.3 Squad Archetypes'!$F$5:$F$23,MATCH($C8&amp;"|"&amp;$D8,'0.3 Squad Archetypes'!$A$5:$A$23,0)),"-")</f>
        <v>6</v>
      </c>
      <c r="F8" s="1770">
        <f>COUNTA($B$32:$B$38)</f>
        <v>7</v>
      </c>
      <c r="G8" s="1770">
        <f>COUNTIFS($D$32:$D$38,"Filled")</f>
        <v>2</v>
      </c>
      <c r="H8" s="1770">
        <f>COUNTIFS($D$32:$D$38,"Vacant")</f>
        <v>5</v>
      </c>
      <c r="I8" s="1770">
        <f>COUNTIFS($D$32:$D$38,"Vacant",$E$32:$E$38,"Hire")</f>
        <v>5</v>
      </c>
      <c r="J8" s="1770">
        <f>COUNTIFS($E$32:$E$38,"Offshore")</f>
        <v>0</v>
      </c>
      <c r="K8" s="1770">
        <f>COUNTIFS($E$32:$E$38,"Hold")</f>
        <v>0</v>
      </c>
      <c r="L8" s="1770">
        <f>$F8-$K8</f>
        <v>7</v>
      </c>
      <c r="M8" s="1769">
        <f>IFERROR(IF(INDEX('1.7 Infrastructure'!$E$24:$E$41,MATCH($B8,'1.7 Infrastructure'!$B$24:$B$41,0))="Offshore",INDEX('0.3 Squad Archetypes'!$H$5:$H$23,MATCH($C8&amp;"|"&amp;$D8,'0.3 Squad Archetypes'!$A$5:$A$23,0)),INDEX('0.3 Squad Archetypes'!$G$5:$G$23,MATCH($C8&amp;"|"&amp;$D8,'0.3 Squad Archetypes'!$A$5:$A$23,0))),"-")</f>
        <v>1.4</v>
      </c>
      <c r="N8" s="1769">
        <f>SUMIFS('REVIEW - Complete Role Mapping'!$AA$2:$AA$528,'REVIEW - Complete Role Mapping'!$AJ$2:$AJ$528,$C$3,'REVIEW - Complete Role Mapping'!$AT$2:$AT$528,$B8)/1000000</f>
        <v>1.51725675</v>
      </c>
      <c r="O8" s="1769">
        <f>IFERROR(ROUND($N8-$M8,6),"-")</f>
        <v>0.117257</v>
      </c>
      <c r="P8" s="1769">
        <f>SUM($G$32:$G$38)/1000000</f>
        <v>1.51725675</v>
      </c>
      <c r="Q8" s="1769">
        <f>IFERROR(ROUND($P8-$M8,6),"-")</f>
        <v>0.117257</v>
      </c>
    </row>
    <row r="9">
      <c r="B9" s="1531" t="inlineStr">
        <is>
          <t>Distribution, Sales &amp; Services</t>
        </is>
      </c>
      <c r="C9" s="1531" t="str">
        <f>IFERROR(INDEX('1.7 Infrastructure'!$C$24:$C$41,MATCH($B9,'1.7 Infrastructure'!$B$24:$B$41,0)),"Not on the 1.x tab")</f>
        <v>Configuration / Integration</v>
      </c>
      <c r="D9" s="1531" t="str">
        <f>IFERROR(IF(INDEX('1.7 Infrastructure'!$D$24:$D$41,MATCH($B9,'1.7 Infrastructure'!$B$24:$B$41,0))="","-",INDEX('1.7 Infrastructure'!$D$24:$D$41,MATCH($B9,'1.7 Infrastructure'!$B$24:$B$41,0))),"-")</f>
        <v>M</v>
      </c>
      <c r="E9" s="1783">
        <f>IFERROR(INDEX('0.3 Squad Archetypes'!$F$5:$F$23,MATCH($C9&amp;"|"&amp;$D9,'0.3 Squad Archetypes'!$A$5:$A$23,0)),"-")</f>
        <v>9</v>
      </c>
      <c r="F9" s="1770">
        <f>COUNTA($B$40:$B$49)</f>
        <v>10</v>
      </c>
      <c r="G9" s="1770">
        <f>COUNTIFS($D$40:$D$49,"Filled")</f>
        <v>8</v>
      </c>
      <c r="H9" s="1770">
        <f>COUNTIFS($D$40:$D$49,"Vacant")</f>
        <v>2</v>
      </c>
      <c r="I9" s="1770">
        <f>COUNTIFS($D$40:$D$49,"Vacant",$E$40:$E$49,"Hire")</f>
        <v>2</v>
      </c>
      <c r="J9" s="1770">
        <f>COUNTIFS($E$40:$E$49,"Offshore")</f>
        <v>0</v>
      </c>
      <c r="K9" s="1770">
        <f>COUNTIFS($E$40:$E$49,"Hold")</f>
        <v>0</v>
      </c>
      <c r="L9" s="1770">
        <f>$F9-$K9</f>
        <v>10</v>
      </c>
      <c r="M9" s="1769">
        <f>IFERROR(IF(INDEX('1.7 Infrastructure'!$E$24:$E$41,MATCH($B9,'1.7 Infrastructure'!$B$24:$B$41,0))="Offshore",INDEX('0.3 Squad Archetypes'!$H$5:$H$23,MATCH($C9&amp;"|"&amp;$D9,'0.3 Squad Archetypes'!$A$5:$A$23,0)),INDEX('0.3 Squad Archetypes'!$G$5:$G$23,MATCH($C9&amp;"|"&amp;$D9,'0.3 Squad Archetypes'!$A$5:$A$23,0))),"-")</f>
        <v>2.1</v>
      </c>
      <c r="N9" s="1769">
        <f>SUMIFS('REVIEW - Complete Role Mapping'!$AA$2:$AA$528,'REVIEW - Complete Role Mapping'!$AJ$2:$AJ$528,$C$3,'REVIEW - Complete Role Mapping'!$AT$2:$AT$528,$B9)/1000000</f>
        <v>2.12727365</v>
      </c>
      <c r="O9" s="1769">
        <f>IFERROR(ROUND($N9-$M9,6),"-")</f>
        <v>0.027274</v>
      </c>
      <c r="P9" s="1769">
        <f>SUM($G$40:$G$49)/1000000</f>
        <v>2.12727365</v>
      </c>
      <c r="Q9" s="1769">
        <f>IFERROR(ROUND($P9-$M9,6),"-")</f>
        <v>0.027274</v>
      </c>
    </row>
    <row r="10">
      <c r="B10" s="1531" t="inlineStr">
        <is>
          <t>Manufacturing Group Projects</t>
        </is>
      </c>
      <c r="C10" s="1531" t="str">
        <f>IFERROR(INDEX('1.7 Infrastructure'!$C$24:$C$41,MATCH($B10,'1.7 Infrastructure'!$B$24:$B$41,0)),"Not on the 1.x tab")</f>
        <v>Configuration / Integration</v>
      </c>
      <c r="D10" s="1531" t="str">
        <f>IFERROR(IF(INDEX('1.7 Infrastructure'!$D$24:$D$41,MATCH($B10,'1.7 Infrastructure'!$B$24:$B$41,0))="","-",INDEX('1.7 Infrastructure'!$D$24:$D$41,MATCH($B10,'1.7 Infrastructure'!$B$24:$B$41,0))),"-")</f>
        <v>M</v>
      </c>
      <c r="E10" s="1783">
        <f>IFERROR(INDEX('0.3 Squad Archetypes'!$F$5:$F$23,MATCH($C10&amp;"|"&amp;$D10,'0.3 Squad Archetypes'!$A$5:$A$23,0)),"-")</f>
        <v>9</v>
      </c>
      <c r="F10" s="1770">
        <f>COUNTA($B$53:$B$61)</f>
        <v>9</v>
      </c>
      <c r="G10" s="1770">
        <f>COUNTIFS($D$53:$D$61,"Filled")</f>
        <v>7</v>
      </c>
      <c r="H10" s="1770">
        <f>COUNTIFS($D$53:$D$61,"Vacant")</f>
        <v>2</v>
      </c>
      <c r="I10" s="1770">
        <f>COUNTIFS($D$53:$D$61,"Vacant",$E$53:$E$61,"Hire")</f>
        <v>2</v>
      </c>
      <c r="J10" s="1770">
        <f>COUNTIFS($E$53:$E$61,"Offshore")</f>
        <v>0</v>
      </c>
      <c r="K10" s="1770">
        <f>COUNTIFS($E$53:$E$61,"Hold")</f>
        <v>0</v>
      </c>
      <c r="L10" s="1770">
        <f>$F10-$K10</f>
        <v>9</v>
      </c>
      <c r="M10" s="1769">
        <f>IFERROR(IF(INDEX('1.7 Infrastructure'!$E$24:$E$41,MATCH($B10,'1.7 Infrastructure'!$B$24:$B$41,0))="Offshore",INDEX('0.3 Squad Archetypes'!$H$5:$H$23,MATCH($C10&amp;"|"&amp;$D10,'0.3 Squad Archetypes'!$A$5:$A$23,0)),INDEX('0.3 Squad Archetypes'!$G$5:$G$23,MATCH($C10&amp;"|"&amp;$D10,'0.3 Squad Archetypes'!$A$5:$A$23,0))),"-")</f>
        <v>2.1</v>
      </c>
      <c r="N10" s="1769">
        <f>SUMIFS('REVIEW - Complete Role Mapping'!$AA$2:$AA$528,'REVIEW - Complete Role Mapping'!$AJ$2:$AJ$528,$C$3,'REVIEW - Complete Role Mapping'!$AT$2:$AT$528,$B10)/1000000</f>
        <v>1.9147733</v>
      </c>
      <c r="O10" s="1769">
        <f>IFERROR(ROUND($N10-$M10,6),"-")</f>
        <v>-0.185227</v>
      </c>
      <c r="P10" s="1769">
        <f>SUM($G$53:$G$61)/1000000</f>
        <v>1.9147733</v>
      </c>
      <c r="Q10" s="1769">
        <f>IFERROR(ROUND($P10-$M10,6),"-")</f>
        <v>-0.185227</v>
      </c>
    </row>
    <row r="11">
      <c r="B11" s="1531" t="inlineStr">
        <is>
          <t>Technology Support</t>
        </is>
      </c>
      <c r="C11" s="1531" t="str">
        <f>IFERROR(INDEX('1.7 Infrastructure'!$C$24:$C$41,MATCH($B11,'1.7 Infrastructure'!$B$24:$B$41,0)),"Not on the 1.x tab")</f>
        <v>Operations</v>
      </c>
      <c r="D11" s="1531" t="str">
        <f>IFERROR(IF(INDEX('1.7 Infrastructure'!$D$24:$D$41,MATCH($B11,'1.7 Infrastructure'!$B$24:$B$41,0))="","-",INDEX('1.7 Infrastructure'!$D$24:$D$41,MATCH($B11,'1.7 Infrastructure'!$B$24:$B$41,0))),"-")</f>
        <v>S</v>
      </c>
      <c r="E11" s="1783">
        <f>IFERROR(INDEX('0.3 Squad Archetypes'!$F$5:$F$23,MATCH($C11&amp;"|"&amp;$D11,'0.3 Squad Archetypes'!$A$5:$A$23,0)),"-")</f>
        <v>4</v>
      </c>
      <c r="F11" s="1770">
        <f>COUNTA($B$63:$B$67)</f>
        <v>5</v>
      </c>
      <c r="G11" s="1770">
        <f>COUNTIFS($D$63:$D$67,"Filled")</f>
        <v>5</v>
      </c>
      <c r="H11" s="1770">
        <f>COUNTIFS($D$63:$D$67,"Vacant")</f>
        <v>0</v>
      </c>
      <c r="I11" s="1770">
        <f>COUNTIFS($D$63:$D$67,"Vacant",$E$63:$E$67,"Hire")</f>
        <v>0</v>
      </c>
      <c r="J11" s="1770">
        <f>COUNTIFS($E$63:$E$67,"Offshore")</f>
        <v>0</v>
      </c>
      <c r="K11" s="1770">
        <f>COUNTIFS($E$63:$E$67,"Hold")</f>
        <v>0</v>
      </c>
      <c r="L11" s="1770">
        <f>$F11-$K11</f>
        <v>5</v>
      </c>
      <c r="M11" s="1769">
        <f>IFERROR(IF(INDEX('1.7 Infrastructure'!$E$24:$E$41,MATCH($B11,'1.7 Infrastructure'!$B$24:$B$41,0))="Offshore",INDEX('0.3 Squad Archetypes'!$H$5:$H$23,MATCH($C11&amp;"|"&amp;$D11,'0.3 Squad Archetypes'!$A$5:$A$23,0)),INDEX('0.3 Squad Archetypes'!$G$5:$G$23,MATCH($C11&amp;"|"&amp;$D11,'0.3 Squad Archetypes'!$A$5:$A$23,0))),"-")</f>
        <v>0.8</v>
      </c>
      <c r="N11" s="1769">
        <f>SUMIFS('REVIEW - Complete Role Mapping'!$AA$2:$AA$528,'REVIEW - Complete Role Mapping'!$AJ$2:$AJ$528,$C$3,'REVIEW - Complete Role Mapping'!$AT$2:$AT$528,$B11)/1000000</f>
        <v>0.74133529</v>
      </c>
      <c r="O11" s="1769">
        <f>IFERROR(ROUND($N11-$M11,6),"-")</f>
        <v>-0.058665</v>
      </c>
      <c r="P11" s="1769">
        <f>SUM($G$63:$G$67)/1000000</f>
        <v>0.74133529</v>
      </c>
      <c r="Q11" s="1769">
        <f>IFERROR(ROUND($P11-$M11,6),"-")</f>
        <v>-0.058665</v>
      </c>
    </row>
    <row r="12">
      <c r="B12" s="1535" t="inlineStr">
        <is>
          <t>Squads priced by an archetype total</t>
        </is>
      </c>
      <c r="C12" s="1535" t="n"/>
      <c r="D12" s="1535" t="n"/>
      <c r="E12" s="1784">
        <f>SUM(E8:E11)</f>
        <v>28</v>
      </c>
      <c r="F12" s="1772">
        <f>SUM(F8:F11)</f>
        <v>31</v>
      </c>
      <c r="G12" s="1772">
        <f>SUM(G8:G11)</f>
        <v>22</v>
      </c>
      <c r="H12" s="1772">
        <f>SUM(H8:H11)</f>
        <v>9</v>
      </c>
      <c r="I12" s="1772">
        <f>SUM(I8:I11)</f>
        <v>9</v>
      </c>
      <c r="J12" s="1772">
        <f>SUM(J8:J11)</f>
        <v>0</v>
      </c>
      <c r="K12" s="1772">
        <f>SUM(K8:K11)</f>
        <v>0</v>
      </c>
      <c r="L12" s="1772">
        <f>SUM(L8:L11)</f>
        <v>31</v>
      </c>
      <c r="M12" s="1771">
        <f>IF(COUNT(M8:M11)=4,SUM(M8:M11),"-")</f>
        <v>6.4</v>
      </c>
      <c r="N12" s="1771">
        <f>SUM(N8:N11)</f>
        <v>6.30063899</v>
      </c>
      <c r="O12" s="1771">
        <f>IF(ISNUMBER($M12),ROUND($N12-$M12,6),"-")</f>
        <v>-0.099361</v>
      </c>
      <c r="P12" s="1771">
        <f>SUM(P8:P11)</f>
        <v>6.30063899</v>
      </c>
      <c r="Q12" s="1771">
        <f>IF(ISNUMBER($M12),ROUND($P12-$M12,6),"-")</f>
        <v>-0.099361</v>
      </c>
    </row>
    <row r="13">
      <c r="B13" s="1530" t="inlineStr">
        <is>
          <t>Directly funded programmes and platforms</t>
        </is>
      </c>
      <c r="C13" s="1530" t="n"/>
      <c r="D13" s="1530" t="n"/>
      <c r="E13" s="1530" t="n"/>
      <c r="F13" s="1530" t="n"/>
      <c r="G13" s="1530" t="n"/>
      <c r="H13" s="1530" t="n"/>
      <c r="I13" s="1530" t="n"/>
      <c r="J13" s="1530" t="n"/>
      <c r="K13" s="1530" t="n"/>
      <c r="L13" s="1530" t="n"/>
      <c r="M13" s="1530" t="n"/>
      <c r="N13" s="1530" t="n"/>
      <c r="O13" s="1530" t="n"/>
      <c r="P13" s="1530" t="n"/>
      <c r="Q13" s="1530" t="n"/>
    </row>
    <row r="14">
      <c r="B14" s="1531" t="inlineStr">
        <is>
          <t>None</t>
        </is>
      </c>
      <c r="C14" s="1531" t="inlineStr">
        <is>
          <t>None - no directly funded programme here</t>
        </is>
      </c>
      <c r="D14" s="1539" t="str">
        <f>"-"</f>
        <v>-</v>
      </c>
      <c r="E14" s="1539" t="str">
        <f>"-"</f>
        <v>-</v>
      </c>
      <c r="F14" s="1539" t="str">
        <f>"-"</f>
        <v>-</v>
      </c>
      <c r="G14" s="1539" t="str">
        <f>"-"</f>
        <v>-</v>
      </c>
      <c r="H14" s="1539" t="str">
        <f>"-"</f>
        <v>-</v>
      </c>
      <c r="I14" s="1539" t="str">
        <f>"-"</f>
        <v>-</v>
      </c>
      <c r="J14" s="1539" t="str">
        <f>"-"</f>
        <v>-</v>
      </c>
      <c r="K14" s="1539" t="str">
        <f>"-"</f>
        <v>-</v>
      </c>
      <c r="L14" s="1539" t="str">
        <f>"-"</f>
        <v>-</v>
      </c>
      <c r="M14" s="1539" t="str">
        <f>"-"</f>
        <v>-</v>
      </c>
      <c r="N14" s="1539" t="str">
        <f>"-"</f>
        <v>-</v>
      </c>
      <c r="O14" s="1539" t="str">
        <f>"-"</f>
        <v>-</v>
      </c>
      <c r="P14" s="1539" t="str">
        <f>"-"</f>
        <v>-</v>
      </c>
      <c r="Q14" s="1539" t="str">
        <f>"-"</f>
        <v>-</v>
      </c>
    </row>
    <row r="15">
      <c r="B15" s="1535" t="inlineStr">
        <is>
          <t>Directly funded programmes and platforms total</t>
        </is>
      </c>
      <c r="C15" s="1535" t="n"/>
      <c r="D15" s="1535" t="n"/>
      <c r="E15" s="1784">
        <f>SUM(E14:E14)</f>
        <v>0</v>
      </c>
      <c r="F15" s="1772">
        <f>SUM(F14:F14)</f>
        <v>0</v>
      </c>
      <c r="G15" s="1772">
        <f>SUM(G14:G14)</f>
        <v>0</v>
      </c>
      <c r="H15" s="1772">
        <f>SUM(H14:H14)</f>
        <v>0</v>
      </c>
      <c r="I15" s="1772">
        <f>SUM(I14:I14)</f>
        <v>0</v>
      </c>
      <c r="J15" s="1772">
        <f>SUM(J14:J14)</f>
        <v>0</v>
      </c>
      <c r="K15" s="1772">
        <f>SUM(K14:K14)</f>
        <v>0</v>
      </c>
      <c r="L15" s="1772">
        <f>SUM(L14:L14)</f>
        <v>0</v>
      </c>
      <c r="M15" s="1771" t="str">
        <f>IF(COUNT(M14:M14)=1,SUM(M14:M14),"-")</f>
        <v>-</v>
      </c>
      <c r="N15" s="1771">
        <f>SUM(N14:N14)</f>
        <v>0</v>
      </c>
      <c r="O15" s="1771" t="str">
        <f>IF(ISNUMBER($M15),ROUND($N15-$M15,6),"-")</f>
        <v>-</v>
      </c>
      <c r="P15" s="1771">
        <f>SUM(P14:P14)</f>
        <v>0</v>
      </c>
      <c r="Q15" s="1771" t="str">
        <f>IF(ISNUMBER($M15),ROUND($P15-$M15,6),"-")</f>
        <v>-</v>
      </c>
    </row>
    <row r="16">
      <c r="B16" s="1530" t="inlineStr">
        <is>
          <t>Groups with no archetype and no funded figure</t>
        </is>
      </c>
      <c r="C16" s="1530" t="n"/>
      <c r="D16" s="1530" t="n"/>
      <c r="E16" s="1530" t="n"/>
      <c r="F16" s="1530" t="n"/>
      <c r="G16" s="1530" t="n"/>
      <c r="H16" s="1530" t="n"/>
      <c r="I16" s="1530" t="n"/>
      <c r="J16" s="1530" t="n"/>
      <c r="K16" s="1530" t="n"/>
      <c r="L16" s="1530" t="n"/>
      <c r="M16" s="1530" t="n"/>
      <c r="N16" s="1530" t="n"/>
      <c r="O16" s="1530" t="n"/>
      <c r="P16" s="1530" t="n"/>
      <c r="Q16" s="1530" t="n"/>
    </row>
    <row r="17">
      <c r="B17" s="1531" t="inlineStr">
        <is>
          <t>Leadership</t>
        </is>
      </c>
      <c r="C17" s="1531" t="str">
        <f>IFERROR(INDEX('1.7 Infrastructure'!$C$24:$C$41,MATCH($B17,'1.7 Infrastructure'!$B$24:$B$41,0)),"Not on the 1.x tab")</f>
        <v>Not on the 1.x tab</v>
      </c>
      <c r="D17" s="1531" t="str">
        <f>IFERROR(IF(INDEX('1.7 Infrastructure'!$D$24:$D$41,MATCH($B17,'1.7 Infrastructure'!$B$24:$B$41,0))="","-",INDEX('1.7 Infrastructure'!$D$24:$D$41,MATCH($B17,'1.7 Infrastructure'!$B$24:$B$41,0))),"-")</f>
        <v>-</v>
      </c>
      <c r="E17" s="1783" t="str">
        <f>"-"</f>
        <v>-</v>
      </c>
      <c r="F17" s="1770">
        <f>COUNTA($B$51:$B$51)</f>
        <v>1</v>
      </c>
      <c r="G17" s="1770">
        <f>COUNTIFS($D$51:$D$51,"Filled")</f>
        <v>1</v>
      </c>
      <c r="H17" s="1770">
        <f>COUNTIFS($D$51:$D$51,"Vacant")</f>
        <v>0</v>
      </c>
      <c r="I17" s="1770">
        <f>COUNTIFS($D$51:$D$51,"Vacant",$E$51:$E$51,"Hire")</f>
        <v>0</v>
      </c>
      <c r="J17" s="1770">
        <f>COUNTIFS($E$51:$E$51,"Offshore")</f>
        <v>0</v>
      </c>
      <c r="K17" s="1770">
        <f>COUNTIFS($E$51:$E$51,"Hold")</f>
        <v>0</v>
      </c>
      <c r="L17" s="1770">
        <f>$F17-$K17</f>
        <v>1</v>
      </c>
      <c r="M17" s="1769" t="str">
        <f>IFERROR(IF(N(INDEX('1.7 Infrastructure'!$H$24:$H$41,MATCH($B17,'1.7 Infrastructure'!$B$24:$B$41,0)))=0,"-",INDEX('1.7 Infrastructure'!$H$24:$H$41,MATCH($B17,'1.7 Infrastructure'!$B$24:$B$41,0))),"-")</f>
        <v>-</v>
      </c>
      <c r="N17" s="1769">
        <f>SUMIFS('REVIEW - Complete Role Mapping'!$AA$2:$AA$528,'REVIEW - Complete Role Mapping'!$AJ$2:$AJ$528,$C$3,'REVIEW - Complete Role Mapping'!$AT$2:$AT$528,$B17)/1000000</f>
        <v>0.2566671</v>
      </c>
      <c r="O17" s="1769" t="str">
        <f>IFERROR(ROUND($N17-$M17,6),"-")</f>
        <v>-</v>
      </c>
      <c r="P17" s="1769">
        <f>SUM($G$51:$G$51)/1000000</f>
        <v>0.2566671</v>
      </c>
      <c r="Q17" s="1769" t="str">
        <f>IFERROR(ROUND($P17-$M17,6),"-")</f>
        <v>-</v>
      </c>
    </row>
    <row r="18">
      <c r="B18" s="1535" t="inlineStr">
        <is>
          <t>Groups with no archetype and no funded figure total</t>
        </is>
      </c>
      <c r="C18" s="1535" t="n"/>
      <c r="D18" s="1535" t="n"/>
      <c r="E18" s="1784">
        <f>SUM(E17:E17)</f>
        <v>0</v>
      </c>
      <c r="F18" s="1772">
        <f>SUM(F17:F17)</f>
        <v>1</v>
      </c>
      <c r="G18" s="1772">
        <f>SUM(G17:G17)</f>
        <v>1</v>
      </c>
      <c r="H18" s="1772">
        <f>SUM(H17:H17)</f>
        <v>0</v>
      </c>
      <c r="I18" s="1772">
        <f>SUM(I17:I17)</f>
        <v>0</v>
      </c>
      <c r="J18" s="1772">
        <f>SUM(J17:J17)</f>
        <v>0</v>
      </c>
      <c r="K18" s="1772">
        <f>SUM(K17:K17)</f>
        <v>0</v>
      </c>
      <c r="L18" s="1772">
        <f>SUM(L17:L17)</f>
        <v>1</v>
      </c>
      <c r="M18" s="1771" t="str">
        <f>IF(COUNT(M17:M17)=1,SUM(M17:M17),"-")</f>
        <v>-</v>
      </c>
      <c r="N18" s="1771">
        <f>SUM(N17:N17)</f>
        <v>0.2566671</v>
      </c>
      <c r="O18" s="1771" t="str">
        <f>IF(ISNUMBER($M18),ROUND($N18-$M18,6),"-")</f>
        <v>-</v>
      </c>
      <c r="P18" s="1771">
        <f>SUM(P17:P17)</f>
        <v>0.2566671</v>
      </c>
      <c r="Q18" s="1771" t="str">
        <f>IF(ISNUMBER($M18),ROUND($P18-$M18,6),"-")</f>
        <v>-</v>
      </c>
    </row>
    <row r="19">
      <c r="B19" s="1530" t="inlineStr">
        <is>
          <t>Overhead roles</t>
        </is>
      </c>
      <c r="C19" s="1530" t="n"/>
      <c r="D19" s="1530" t="n"/>
      <c r="E19" s="1530" t="n"/>
      <c r="F19" s="1530" t="n"/>
      <c r="G19" s="1530" t="n"/>
      <c r="H19" s="1530" t="n"/>
      <c r="I19" s="1530" t="n"/>
      <c r="J19" s="1530" t="n"/>
      <c r="K19" s="1530" t="n"/>
      <c r="L19" s="1530" t="n"/>
      <c r="M19" s="1530" t="n"/>
      <c r="N19" s="1530" t="n"/>
      <c r="O19" s="1530" t="n"/>
      <c r="P19" s="1530" t="n"/>
      <c r="Q19" s="1530" t="n"/>
    </row>
    <row r="20">
      <c r="B20" s="1531" t="inlineStr">
        <is>
          <t>Head of Technology</t>
        </is>
      </c>
      <c r="C20" s="1531" t="str">
        <f>"-"</f>
        <v>-</v>
      </c>
      <c r="D20" s="1531" t="str">
        <f>"-"</f>
        <v>-</v>
      </c>
      <c r="E20" s="1540" t="str">
        <f>"-"</f>
        <v>-</v>
      </c>
      <c r="F20" s="1770">
        <f>COUNTA($B$69:$B$69)</f>
        <v>1</v>
      </c>
      <c r="G20" s="1770">
        <f>COUNTIFS($D$69:$D$69,"Filled")</f>
        <v>1</v>
      </c>
      <c r="H20" s="1770">
        <f>COUNTIFS($D$69:$D$69,"Vacant")</f>
        <v>0</v>
      </c>
      <c r="I20" s="1770">
        <f>COUNTIFS($D$69:$D$69,"Vacant",$E$69:$E$69,"Hire")</f>
        <v>0</v>
      </c>
      <c r="J20" s="1770">
        <f>COUNTIFS($E$69:$E$69,"Offshore")</f>
        <v>0</v>
      </c>
      <c r="K20" s="1770">
        <f>COUNTIFS($E$69:$E$69,"Hold")</f>
        <v>0</v>
      </c>
      <c r="L20" s="1770">
        <f>$F20-$K20</f>
        <v>1</v>
      </c>
      <c r="M20" s="1540" t="str">
        <f>"-"</f>
        <v>-</v>
      </c>
      <c r="N20" s="1769">
        <f>SUMIFS('REVIEW - Complete Role Mapping'!$AA$2:$AA$528,'REVIEW - Complete Role Mapping'!$AJ$2:$AJ$528,$C$3,'REVIEW - Complete Role Mapping'!$AT$2:$AT$528,$B20)/1000000</f>
        <v>0.3636267</v>
      </c>
      <c r="O20" s="1540" t="str">
        <f>"-"</f>
        <v>-</v>
      </c>
      <c r="P20" s="1769">
        <f>SUM($G$69:$G$69)/1000000</f>
        <v>0.3636267</v>
      </c>
      <c r="Q20" s="1540" t="str">
        <f>"-"</f>
        <v>-</v>
      </c>
    </row>
    <row r="21">
      <c r="B21" s="1531" t="inlineStr">
        <is>
          <t>Delivery Manager</t>
        </is>
      </c>
      <c r="C21" s="1531" t="str">
        <f>"-"</f>
        <v>-</v>
      </c>
      <c r="D21" s="1531" t="str">
        <f>"-"</f>
        <v>-</v>
      </c>
      <c r="E21" s="1540" t="str">
        <f>"-"</f>
        <v>-</v>
      </c>
      <c r="F21" s="1770">
        <f>COUNTA($B$71:$B$71)</f>
        <v>1</v>
      </c>
      <c r="G21" s="1770">
        <f>COUNTIFS($D$71:$D$71,"Filled")</f>
        <v>0</v>
      </c>
      <c r="H21" s="1770">
        <f>COUNTIFS($D$71:$D$71,"Vacant")</f>
        <v>1</v>
      </c>
      <c r="I21" s="1770">
        <f>COUNTIFS($D$71:$D$71,"Vacant",$E$71:$E$71,"Hire")</f>
        <v>1</v>
      </c>
      <c r="J21" s="1770">
        <f>COUNTIFS($E$71:$E$71,"Offshore")</f>
        <v>0</v>
      </c>
      <c r="K21" s="1770">
        <f>COUNTIFS($E$71:$E$71,"Hold")</f>
        <v>0</v>
      </c>
      <c r="L21" s="1770">
        <f>$F21-$K21</f>
        <v>1</v>
      </c>
      <c r="M21" s="1540" t="str">
        <f>"-"</f>
        <v>-</v>
      </c>
      <c r="N21" s="1769">
        <f>SUMIFS('REVIEW - Complete Role Mapping'!$AA$2:$AA$528,'REVIEW - Complete Role Mapping'!$AJ$2:$AJ$528,$C$3,'REVIEW - Complete Role Mapping'!$AT$2:$AT$528,$B21)/1000000</f>
        <v>0.27581025</v>
      </c>
      <c r="O21" s="1540" t="str">
        <f>"-"</f>
        <v>-</v>
      </c>
      <c r="P21" s="1769">
        <f>SUM($G$71:$G$71)/1000000</f>
        <v>0.27581025</v>
      </c>
      <c r="Q21" s="1540" t="str">
        <f>"-"</f>
        <v>-</v>
      </c>
    </row>
    <row r="22">
      <c r="B22" s="1531" t="inlineStr">
        <is>
          <t>Technology Manager</t>
        </is>
      </c>
      <c r="C22" s="1531" t="str">
        <f>"-"</f>
        <v>-</v>
      </c>
      <c r="D22" s="1531" t="str">
        <f>"-"</f>
        <v>-</v>
      </c>
      <c r="E22" s="1540" t="str">
        <f>"-"</f>
        <v>-</v>
      </c>
      <c r="F22" s="1770">
        <f>COUNTA($B$73:$B$74)</f>
        <v>2</v>
      </c>
      <c r="G22" s="1770">
        <f>COUNTIFS($D$73:$D$74,"Filled")</f>
        <v>0</v>
      </c>
      <c r="H22" s="1770">
        <f>COUNTIFS($D$73:$D$74,"Vacant")</f>
        <v>2</v>
      </c>
      <c r="I22" s="1770">
        <f>COUNTIFS($D$73:$D$74,"Vacant",$E$73:$E$74,"Hire")</f>
        <v>2</v>
      </c>
      <c r="J22" s="1770">
        <f>COUNTIFS($E$73:$E$74,"Offshore")</f>
        <v>0</v>
      </c>
      <c r="K22" s="1770">
        <f>COUNTIFS($E$73:$E$74,"Hold")</f>
        <v>0</v>
      </c>
      <c r="L22" s="1770">
        <f>$F22-$K22</f>
        <v>2</v>
      </c>
      <c r="M22" s="1540" t="str">
        <f>"-"</f>
        <v>-</v>
      </c>
      <c r="N22" s="1769">
        <f>SUMIFS('REVIEW - Complete Role Mapping'!$AA$2:$AA$528,'REVIEW - Complete Role Mapping'!$AJ$2:$AJ$528,$C$3,'REVIEW - Complete Role Mapping'!$AT$2:$AT$528,$B22)/1000000</f>
        <v>0.5516205</v>
      </c>
      <c r="O22" s="1540" t="str">
        <f>"-"</f>
        <v>-</v>
      </c>
      <c r="P22" s="1769">
        <f>SUM($G$73:$G$74)/1000000</f>
        <v>0.5516205</v>
      </c>
      <c r="Q22" s="1540" t="str">
        <f>"-"</f>
        <v>-</v>
      </c>
    </row>
    <row r="23">
      <c r="B23" s="1535" t="inlineStr">
        <is>
          <t>Overhead roles total</t>
        </is>
      </c>
      <c r="C23" s="1535" t="n"/>
      <c r="D23" s="1535" t="n"/>
      <c r="E23" s="1784">
        <f>SUM(E20:E22)</f>
        <v>0</v>
      </c>
      <c r="F23" s="1772">
        <f>SUM(F20:F22)</f>
        <v>4</v>
      </c>
      <c r="G23" s="1772">
        <f>SUM(G20:G22)</f>
        <v>1</v>
      </c>
      <c r="H23" s="1772">
        <f>SUM(H20:H22)</f>
        <v>3</v>
      </c>
      <c r="I23" s="1772">
        <f>SUM(I20:I22)</f>
        <v>3</v>
      </c>
      <c r="J23" s="1772">
        <f>SUM(J20:J22)</f>
        <v>0</v>
      </c>
      <c r="K23" s="1772">
        <f>SUM(K20:K22)</f>
        <v>0</v>
      </c>
      <c r="L23" s="1772">
        <f>SUM(L20:L22)</f>
        <v>4</v>
      </c>
      <c r="M23" s="1771" t="str">
        <f>IF(COUNT(M20:M22)=3,SUM(M20:M22),"-")</f>
        <v>-</v>
      </c>
      <c r="N23" s="1771">
        <f>SUM(N20:N22)</f>
        <v>1.19105745</v>
      </c>
      <c r="O23" s="1771" t="str">
        <f>IF(ISNUMBER($M23),ROUND($N23-$M23,6),"-")</f>
        <v>-</v>
      </c>
      <c r="P23" s="1771">
        <f>SUM(P20:P22)</f>
        <v>1.19105745</v>
      </c>
      <c r="Q23" s="1771" t="str">
        <f>IF(ISNUMBER($M23),ROUND($P23-$M23,6),"-")</f>
        <v>-</v>
      </c>
    </row>
    <row r="24">
      <c r="B24" s="1541" t="inlineStr">
        <is>
          <t>Total portfolio</t>
        </is>
      </c>
      <c r="C24" s="1541" t="n"/>
      <c r="D24" s="1541" t="n"/>
      <c r="E24" s="1785">
        <f>N(E12)+N(E15)+N(E18)+N(E23)</f>
        <v>28</v>
      </c>
      <c r="F24" s="1774">
        <f>N(F12)+N(F15)+N(F18)+N(F23)</f>
        <v>36</v>
      </c>
      <c r="G24" s="1774">
        <f>N(G12)+N(G15)+N(G18)+N(G23)</f>
        <v>24</v>
      </c>
      <c r="H24" s="1774">
        <f>N(H12)+N(H15)+N(H18)+N(H23)</f>
        <v>12</v>
      </c>
      <c r="I24" s="1774">
        <f>N(I12)+N(I15)+N(I18)+N(I23)</f>
        <v>12</v>
      </c>
      <c r="J24" s="1774">
        <f>N(J12)+N(J15)+N(J18)+N(J23)</f>
        <v>0</v>
      </c>
      <c r="K24" s="1774">
        <f>N(K12)+N(K15)+N(K18)+N(K23)</f>
        <v>0</v>
      </c>
      <c r="L24" s="1774">
        <f>N(L12)+N(L15)+N(L18)+N(L23)</f>
        <v>36</v>
      </c>
      <c r="M24" s="1773" t="str">
        <f>"-"</f>
        <v>-</v>
      </c>
      <c r="N24" s="1773">
        <f>N(N12)+N(N15)+N(N18)+N(N23)</f>
        <v>7.74836354</v>
      </c>
      <c r="O24" s="1773" t="str">
        <f>"-"</f>
        <v>-</v>
      </c>
      <c r="P24" s="1773">
        <f>N(P12)+N(P15)+N(P18)+N(P23)</f>
        <v>7.74836354</v>
      </c>
      <c r="Q24" s="1773" t="str">
        <f>"-"</f>
        <v>-</v>
      </c>
    </row>
    <row r="26">
      <c r="B26" s="1526" t="inlineStr">
        <is>
          <t>Control - roles against the ledger, must be 0</t>
        </is>
      </c>
      <c r="F26" s="1778">
        <f>$F$24-COUNTIFS('REVIEW - Complete Role Mapping'!$AJ$2:$AJ$528,$C$3)</f>
        <v>0</v>
      </c>
    </row>
    <row r="27">
      <c r="B27" s="1526" t="inlineStr">
        <is>
          <t>Control - cost against the ledger ($m), must be 0</t>
        </is>
      </c>
      <c r="N27" s="1779">
        <f>ROUND($N$24-SUMIFS('REVIEW - Complete Role Mapping'!$AA$2:$AA$528,'REVIEW - Complete Role Mapping'!$AJ$2:$AJ$528,$C$3)/1000000,6)</f>
        <v>0</v>
      </c>
    </row>
    <row r="29" ht="19" customHeight="1" s="866">
      <c r="B29" s="1527" t="inlineStr">
        <is>
          <t>Infrastructure FTE</t>
        </is>
      </c>
      <c r="C29" s="1528" t="n"/>
      <c r="D29" s="1528" t="n"/>
      <c r="E29" s="1528" t="n"/>
      <c r="F29" s="1528" t="n"/>
      <c r="G29" s="1528" t="n"/>
    </row>
    <row r="30" ht="34" customHeight="1" s="866">
      <c r="B30" s="1529" t="inlineStr">
        <is>
          <t>Name</t>
        </is>
      </c>
      <c r="C30" s="1529" t="inlineStr">
        <is>
          <t>Role</t>
        </is>
      </c>
      <c r="D30" s="1529" t="inlineStr">
        <is>
          <t>Status</t>
        </is>
      </c>
      <c r="E30" s="1529" t="inlineStr">
        <is>
          <t>Vacancy lever</t>
        </is>
      </c>
      <c r="F30" s="1529" t="inlineStr">
        <is>
          <t>Role cost ($)</t>
        </is>
      </c>
      <c r="G30" s="1529" t="inlineStr">
        <is>
          <t>Cost after decision ($)</t>
        </is>
      </c>
    </row>
    <row r="31">
      <c r="B31" s="1530" t="inlineStr">
        <is>
          <t>Data &amp; Insights</t>
        </is>
      </c>
      <c r="C31" s="1530" t="str">
        <f>COUNTA($B$32:$B$38)&amp;IF(COUNTA($B$32:$B$38)=1," role"," roles")</f>
        <v>7 roles</v>
      </c>
      <c r="D31" s="1530" t="n"/>
      <c r="E31" s="1530" t="n"/>
      <c r="F31" s="1786">
        <f>SUM(F32:F38)</f>
        <v>1517256.75</v>
      </c>
      <c r="G31" s="1786">
        <f>SUM(G32:G38)</f>
        <v>1517256.75</v>
      </c>
    </row>
    <row r="32">
      <c r="B32" s="1531" t="str">
        <f>INDEX('REVIEW - Complete Role Mapping'!$B:$B,403)</f>
        <v>Simrat Singh</v>
      </c>
      <c r="C32" s="1531" t="str">
        <f>INDEX('REVIEW - Complete Role Mapping'!$C:$C,403)</f>
        <v>Reporting Analyst</v>
      </c>
      <c r="D32" s="1531" t="str">
        <f>INDEX('REVIEW - Complete Role Mapping'!$AK:$AK,403)</f>
        <v>Filled</v>
      </c>
      <c r="E32" s="1548" t="inlineStr">
        <is>
          <t>Filled</t>
        </is>
      </c>
      <c r="F32" s="1770">
        <f>INDEX('REVIEW - Complete Role Mapping'!$AA:$AA,403)</f>
        <v>197580</v>
      </c>
      <c r="G32" s="1770">
        <f>$F32*IFERROR(INDEX(Lists!$AD:$AD,MATCH($E32,Lists!$AC:$AC,0)),1)</f>
        <v>197580</v>
      </c>
    </row>
    <row r="33">
      <c r="B33" s="1531" t="str">
        <f>INDEX('REVIEW - Complete Role Mapping'!$B:$B,407)</f>
        <v>Stevani Kho</v>
      </c>
      <c r="C33" s="1531" t="str">
        <f>INDEX('REVIEW - Complete Role Mapping'!$C:$C,407)</f>
        <v>Delivery Lead</v>
      </c>
      <c r="D33" s="1531" t="str">
        <f>INDEX('REVIEW - Complete Role Mapping'!$AK:$AK,407)</f>
        <v>Filled</v>
      </c>
      <c r="E33" s="1548" t="inlineStr">
        <is>
          <t>Filled</t>
        </is>
      </c>
      <c r="F33" s="1770">
        <f>INDEX('REVIEW - Complete Role Mapping'!$AA:$AA,407)</f>
        <v>277842.75</v>
      </c>
      <c r="G33" s="1770">
        <f>$F33*IFERROR(INDEX(Lists!$AD:$AD,MATCH($E33,Lists!$AC:$AC,0)),1)</f>
        <v>277842.75</v>
      </c>
    </row>
    <row r="34">
      <c r="B34" s="1531" t="str">
        <f>INDEX('REVIEW - Complete Role Mapping'!$B:$B,433)</f>
        <v>Vacant</v>
      </c>
      <c r="C34" s="1531" t="str">
        <f>INDEX('REVIEW - Complete Role Mapping'!$C:$C,433)</f>
        <v>Data Analyst</v>
      </c>
      <c r="D34" s="1531" t="str">
        <f>INDEX('REVIEW - Complete Role Mapping'!$AK:$AK,433)</f>
        <v>Vacant</v>
      </c>
      <c r="E34" s="1548" t="inlineStr">
        <is>
          <t>Hire</t>
        </is>
      </c>
      <c r="F34" s="1770">
        <f>INDEX('REVIEW - Complete Role Mapping'!$AA:$AA,433)</f>
        <v>201585</v>
      </c>
      <c r="G34" s="1770">
        <f>$F34*IFERROR(INDEX(Lists!$AD:$AD,MATCH($E34,Lists!$AC:$AC,0)),1)</f>
        <v>201585</v>
      </c>
    </row>
    <row r="35">
      <c r="B35" s="1531" t="str">
        <f>INDEX('REVIEW - Complete Role Mapping'!$B:$B,434)</f>
        <v>Vacant</v>
      </c>
      <c r="C35" s="1531" t="str">
        <f>INDEX('REVIEW - Complete Role Mapping'!$C:$C,434)</f>
        <v>Engineer Data</v>
      </c>
      <c r="D35" s="1531" t="str">
        <f>INDEX('REVIEW - Complete Role Mapping'!$AK:$AK,434)</f>
        <v>Vacant</v>
      </c>
      <c r="E35" s="1548" t="inlineStr">
        <is>
          <t>Hire</t>
        </is>
      </c>
      <c r="F35" s="1770">
        <f>INDEX('REVIEW - Complete Role Mapping'!$AA:$AA,434)</f>
        <v>202853.25</v>
      </c>
      <c r="G35" s="1770">
        <f>$F35*IFERROR(INDEX(Lists!$AD:$AD,MATCH($E35,Lists!$AC:$AC,0)),1)</f>
        <v>202853.25</v>
      </c>
    </row>
    <row r="36">
      <c r="B36" s="1531" t="str">
        <f>INDEX('REVIEW - Complete Role Mapping'!$B:$B,435)</f>
        <v>Vacant</v>
      </c>
      <c r="C36" s="1531" t="str">
        <f>INDEX('REVIEW - Complete Role Mapping'!$C:$C,435)</f>
        <v>Lead Data Analyst</v>
      </c>
      <c r="D36" s="1531" t="str">
        <f>INDEX('REVIEW - Complete Role Mapping'!$AK:$AK,435)</f>
        <v>Vacant</v>
      </c>
      <c r="E36" s="1548" t="inlineStr">
        <is>
          <t>Hire</t>
        </is>
      </c>
      <c r="F36" s="1770">
        <f>INDEX('REVIEW - Complete Role Mapping'!$AA:$AA,435)</f>
        <v>231689.25</v>
      </c>
      <c r="G36" s="1770">
        <f>$F36*IFERROR(INDEX(Lists!$AD:$AD,MATCH($E36,Lists!$AC:$AC,0)),1)</f>
        <v>231689.25</v>
      </c>
    </row>
    <row r="37">
      <c r="B37" s="1531" t="str">
        <f>INDEX('REVIEW - Complete Role Mapping'!$B:$B,436)</f>
        <v>Vacant</v>
      </c>
      <c r="C37" s="1531" t="str">
        <f>INDEX('REVIEW - Complete Role Mapping'!$C:$C,436)</f>
        <v>Reporting Analyst</v>
      </c>
      <c r="D37" s="1531" t="str">
        <f>INDEX('REVIEW - Complete Role Mapping'!$AK:$AK,436)</f>
        <v>Vacant</v>
      </c>
      <c r="E37" s="1548" t="inlineStr">
        <is>
          <t>Hire</t>
        </is>
      </c>
      <c r="F37" s="1770">
        <f>INDEX('REVIEW - Complete Role Mapping'!$AA:$AA,436)</f>
        <v>202853.25</v>
      </c>
      <c r="G37" s="1770">
        <f>$F37*IFERROR(INDEX(Lists!$AD:$AD,MATCH($E37,Lists!$AC:$AC,0)),1)</f>
        <v>202853.25</v>
      </c>
    </row>
    <row r="38">
      <c r="B38" s="1531" t="str">
        <f>INDEX('REVIEW - Complete Role Mapping'!$B:$B,437)</f>
        <v>Vacant</v>
      </c>
      <c r="C38" s="1531" t="str">
        <f>INDEX('REVIEW - Complete Role Mapping'!$C:$C,437)</f>
        <v>Senior Engineer Data</v>
      </c>
      <c r="D38" s="1531" t="str">
        <f>INDEX('REVIEW - Complete Role Mapping'!$AK:$AK,437)</f>
        <v>Vacant</v>
      </c>
      <c r="E38" s="1548" t="inlineStr">
        <is>
          <t>Hire</t>
        </is>
      </c>
      <c r="F38" s="1770">
        <f>INDEX('REVIEW - Complete Role Mapping'!$AA:$AA,437)</f>
        <v>202853.25</v>
      </c>
      <c r="G38" s="1770">
        <f>$F38*IFERROR(INDEX(Lists!$AD:$AD,MATCH($E38,Lists!$AC:$AC,0)),1)</f>
        <v>202853.25</v>
      </c>
    </row>
    <row r="39">
      <c r="B39" s="1530" t="inlineStr">
        <is>
          <t>Distribution, Sales &amp; Services</t>
        </is>
      </c>
      <c r="C39" s="1530" t="str">
        <f>COUNTA($B$40:$B$49)&amp;IF(COUNTA($B$40:$B$49)=1," role"," roles")</f>
        <v>10 roles</v>
      </c>
      <c r="D39" s="1530" t="n"/>
      <c r="E39" s="1530" t="n"/>
      <c r="F39" s="1786">
        <f>SUM(F40:F49)</f>
        <v>2127273.65</v>
      </c>
      <c r="G39" s="1786">
        <f>SUM(G40:G49)</f>
        <v>2127273.65</v>
      </c>
    </row>
    <row r="40">
      <c r="B40" s="1531" t="str">
        <f>INDEX('REVIEW - Complete Role Mapping'!$B:$B,341)</f>
        <v>Angus Gibson</v>
      </c>
      <c r="C40" s="1531" t="str">
        <f>INDEX('REVIEW - Complete Role Mapping'!$C:$C,341)</f>
        <v>Senior Systems Analyst</v>
      </c>
      <c r="D40" s="1531" t="str">
        <f>INDEX('REVIEW - Complete Role Mapping'!$AK:$AK,341)</f>
        <v>Filled</v>
      </c>
      <c r="E40" s="1548" t="inlineStr">
        <is>
          <t>Filled</t>
        </is>
      </c>
      <c r="F40" s="1770">
        <f>INDEX('REVIEW - Complete Role Mapping'!$AA:$AA,341)</f>
        <v>235494</v>
      </c>
      <c r="G40" s="1770">
        <f>$F40*IFERROR(INDEX(Lists!$AD:$AD,MATCH($E40,Lists!$AC:$AC,0)),1)</f>
        <v>235494</v>
      </c>
    </row>
    <row r="41">
      <c r="B41" s="1531" t="str">
        <f>INDEX('REVIEW - Complete Role Mapping'!$B:$B,345)</f>
        <v>Anvitha Kurra</v>
      </c>
      <c r="C41" s="1531" t="str">
        <f>INDEX('REVIEW - Complete Role Mapping'!$C:$C,345)</f>
        <v>Senior Systems Analyst</v>
      </c>
      <c r="D41" s="1531" t="str">
        <f>INDEX('REVIEW - Complete Role Mapping'!$AK:$AK,345)</f>
        <v>Filled</v>
      </c>
      <c r="E41" s="1548" t="inlineStr">
        <is>
          <t>Filled</t>
        </is>
      </c>
      <c r="F41" s="1770">
        <f>INDEX('REVIEW - Complete Role Mapping'!$AA:$AA,345)</f>
        <v>215388.9</v>
      </c>
      <c r="G41" s="1770">
        <f>$F41*IFERROR(INDEX(Lists!$AD:$AD,MATCH($E41,Lists!$AC:$AC,0)),1)</f>
        <v>215388.9</v>
      </c>
    </row>
    <row r="42">
      <c r="B42" s="1531" t="str">
        <f>INDEX('REVIEW - Complete Role Mapping'!$B:$B,349)</f>
        <v>Breanna Hua</v>
      </c>
      <c r="C42" s="1531" t="str">
        <f>INDEX('REVIEW - Complete Role Mapping'!$C:$C,349)</f>
        <v>Systems Analyst</v>
      </c>
      <c r="D42" s="1531" t="str">
        <f>INDEX('REVIEW - Complete Role Mapping'!$AK:$AK,349)</f>
        <v>Filled</v>
      </c>
      <c r="E42" s="1548" t="inlineStr">
        <is>
          <t>Filled</t>
        </is>
      </c>
      <c r="F42" s="1770">
        <f>INDEX('REVIEW - Complete Role Mapping'!$AA:$AA,349)</f>
        <v>167149.65</v>
      </c>
      <c r="G42" s="1770">
        <f>$F42*IFERROR(INDEX(Lists!$AD:$AD,MATCH($E42,Lists!$AC:$AC,0)),1)</f>
        <v>167149.65</v>
      </c>
    </row>
    <row r="43">
      <c r="B43" s="1531" t="str">
        <f>INDEX('REVIEW - Complete Role Mapping'!$B:$B,375)</f>
        <v>Jodi Higgins</v>
      </c>
      <c r="C43" s="1531" t="str">
        <f>INDEX('REVIEW - Complete Role Mapping'!$C:$C,375)</f>
        <v>Delivery Lead</v>
      </c>
      <c r="D43" s="1531" t="str">
        <f>INDEX('REVIEW - Complete Role Mapping'!$AK:$AK,375)</f>
        <v>Filled</v>
      </c>
      <c r="E43" s="1548" t="inlineStr">
        <is>
          <t>Filled</t>
        </is>
      </c>
      <c r="F43" s="1770">
        <f>INDEX('REVIEW - Complete Role Mapping'!$AA:$AA,375)</f>
        <v>257481.45</v>
      </c>
      <c r="G43" s="1770">
        <f>$F43*IFERROR(INDEX(Lists!$AD:$AD,MATCH($E43,Lists!$AC:$AC,0)),1)</f>
        <v>257481.45</v>
      </c>
    </row>
    <row r="44">
      <c r="B44" s="1531" t="str">
        <f>INDEX('REVIEW - Complete Role Mapping'!$B:$B,397)</f>
        <v>Rebecca Estepa</v>
      </c>
      <c r="C44" s="1531" t="str">
        <f>INDEX('REVIEW - Complete Role Mapping'!$C:$C,397)</f>
        <v>Snr Business Analyst</v>
      </c>
      <c r="D44" s="1531" t="str">
        <f>INDEX('REVIEW - Complete Role Mapping'!$AK:$AK,397)</f>
        <v>Filled</v>
      </c>
      <c r="E44" s="1548" t="inlineStr">
        <is>
          <t>Filled</t>
        </is>
      </c>
      <c r="F44" s="1770">
        <f>INDEX('REVIEW - Complete Role Mapping'!$AA:$AA,397)</f>
        <v>233331.3</v>
      </c>
      <c r="G44" s="1770">
        <f>$F44*IFERROR(INDEX(Lists!$AD:$AD,MATCH($E44,Lists!$AC:$AC,0)),1)</f>
        <v>233331.3</v>
      </c>
    </row>
    <row r="45">
      <c r="B45" s="1531" t="str">
        <f>INDEX('REVIEW - Complete Role Mapping'!$B:$B,400)</f>
        <v>Rohan Patel</v>
      </c>
      <c r="C45" s="1531" t="str">
        <f>INDEX('REVIEW - Complete Role Mapping'!$C:$C,400)</f>
        <v>Senior Systems Analyst</v>
      </c>
      <c r="D45" s="1531" t="str">
        <f>INDEX('REVIEW - Complete Role Mapping'!$AK:$AK,400)</f>
        <v>Filled</v>
      </c>
      <c r="E45" s="1548" t="inlineStr">
        <is>
          <t>Filled</t>
        </is>
      </c>
      <c r="F45" s="1770">
        <f>INDEX('REVIEW - Complete Role Mapping'!$AA:$AA,400)</f>
        <v>209394.75</v>
      </c>
      <c r="G45" s="1770">
        <f>$F45*IFERROR(INDEX(Lists!$AD:$AD,MATCH($E45,Lists!$AC:$AC,0)),1)</f>
        <v>209394.75</v>
      </c>
    </row>
    <row r="46">
      <c r="B46" s="1531" t="str">
        <f>INDEX('REVIEW - Complete Role Mapping'!$B:$B,404)</f>
        <v>Siva Chimmani</v>
      </c>
      <c r="C46" s="1531" t="str">
        <f>INDEX('REVIEW - Complete Role Mapping'!$C:$C,404)</f>
        <v>Senior Engineer</v>
      </c>
      <c r="D46" s="1531" t="str">
        <f>INDEX('REVIEW - Complete Role Mapping'!$AK:$AK,404)</f>
        <v>Filled</v>
      </c>
      <c r="E46" s="1548" t="inlineStr">
        <is>
          <t>Filled</t>
        </is>
      </c>
      <c r="F46" s="1770">
        <f>INDEX('REVIEW - Complete Role Mapping'!$AA:$AA,404)</f>
        <v>213600</v>
      </c>
      <c r="G46" s="1770">
        <f>$F46*IFERROR(INDEX(Lists!$AD:$AD,MATCH($E46,Lists!$AC:$AC,0)),1)</f>
        <v>213600</v>
      </c>
    </row>
    <row r="47">
      <c r="B47" s="1531" t="str">
        <f>INDEX('REVIEW - Complete Role Mapping'!$B:$B,406)</f>
        <v>Sriramani Deyyala</v>
      </c>
      <c r="C47" s="1531" t="str">
        <f>INDEX('REVIEW - Complete Role Mapping'!$C:$C,406)</f>
        <v>Systems Analyst</v>
      </c>
      <c r="D47" s="1531" t="str">
        <f>INDEX('REVIEW - Complete Role Mapping'!$AK:$AK,406)</f>
        <v>Filled</v>
      </c>
      <c r="E47" s="1548" t="inlineStr">
        <is>
          <t>Filled</t>
        </is>
      </c>
      <c r="F47" s="1770">
        <f>INDEX('REVIEW - Complete Role Mapping'!$AA:$AA,406)</f>
        <v>222090.6</v>
      </c>
      <c r="G47" s="1770">
        <f>$F47*IFERROR(INDEX(Lists!$AD:$AD,MATCH($E47,Lists!$AC:$AC,0)),1)</f>
        <v>222090.6</v>
      </c>
    </row>
    <row r="48">
      <c r="B48" s="1531" t="str">
        <f>INDEX('REVIEW - Complete Role Mapping'!$B:$B,431)</f>
        <v>Vacant</v>
      </c>
      <c r="C48" s="1531" t="str">
        <f>INDEX('REVIEW - Complete Role Mapping'!$C:$C,431)</f>
        <v>Quality Assurance</v>
      </c>
      <c r="D48" s="1531" t="str">
        <f>INDEX('REVIEW - Complete Role Mapping'!$AK:$AK,431)</f>
        <v>Vacant</v>
      </c>
      <c r="E48" s="1548" t="inlineStr">
        <is>
          <t>Hire</t>
        </is>
      </c>
      <c r="F48" s="1770">
        <f>INDEX('REVIEW - Complete Role Mapping'!$AA:$AA,431)</f>
        <v>170489.75</v>
      </c>
      <c r="G48" s="1770">
        <f>$F48*IFERROR(INDEX(Lists!$AD:$AD,MATCH($E48,Lists!$AC:$AC,0)),1)</f>
        <v>170489.75</v>
      </c>
    </row>
    <row r="49">
      <c r="B49" s="1531" t="str">
        <f>INDEX('REVIEW - Complete Role Mapping'!$B:$B,432)</f>
        <v>Vacant</v>
      </c>
      <c r="C49" s="1531" t="str">
        <f>INDEX('REVIEW - Complete Role Mapping'!$C:$C,432)</f>
        <v>Business Analyst</v>
      </c>
      <c r="D49" s="1531" t="str">
        <f>INDEX('REVIEW - Complete Role Mapping'!$AK:$AK,432)</f>
        <v>Vacant</v>
      </c>
      <c r="E49" s="1548" t="inlineStr">
        <is>
          <t>Hire</t>
        </is>
      </c>
      <c r="F49" s="1770">
        <f>INDEX('REVIEW - Complete Role Mapping'!$AA:$AA,432)</f>
        <v>202853.25</v>
      </c>
      <c r="G49" s="1770">
        <f>$F49*IFERROR(INDEX(Lists!$AD:$AD,MATCH($E49,Lists!$AC:$AC,0)),1)</f>
        <v>202853.25</v>
      </c>
    </row>
    <row r="50">
      <c r="B50" s="1530" t="inlineStr">
        <is>
          <t>Leadership</t>
        </is>
      </c>
      <c r="C50" s="1530" t="str">
        <f>COUNTA($B$51:$B$51)&amp;IF(COUNTA($B$51:$B$51)=1," role"," roles")</f>
        <v>1 role</v>
      </c>
      <c r="D50" s="1530" t="n"/>
      <c r="E50" s="1530" t="n"/>
      <c r="F50" s="1786">
        <f>SUM(F51:F51)</f>
        <v>256667.1</v>
      </c>
      <c r="G50" s="1786">
        <f>SUM(G51:G51)</f>
        <v>256667.1</v>
      </c>
    </row>
    <row r="51">
      <c r="B51" s="1531" t="str">
        <f>INDEX('REVIEW - Complete Role Mapping'!$B:$B,364)</f>
        <v>George Moun</v>
      </c>
      <c r="C51" s="1531" t="str">
        <f>INDEX('REVIEW - Complete Role Mapping'!$C:$C,364)</f>
        <v>Solution Architect</v>
      </c>
      <c r="D51" s="1531" t="str">
        <f>INDEX('REVIEW - Complete Role Mapping'!$AK:$AK,364)</f>
        <v>Filled</v>
      </c>
      <c r="E51" s="1548" t="inlineStr">
        <is>
          <t>Filled</t>
        </is>
      </c>
      <c r="F51" s="1770">
        <f>INDEX('REVIEW - Complete Role Mapping'!$AA:$AA,364)</f>
        <v>256667.1</v>
      </c>
      <c r="G51" s="1770">
        <f>$F51*IFERROR(INDEX(Lists!$AD:$AD,MATCH($E51,Lists!$AC:$AC,0)),1)</f>
        <v>256667.1</v>
      </c>
    </row>
    <row r="52">
      <c r="B52" s="1530" t="inlineStr">
        <is>
          <t>Manufacturing Group Projects</t>
        </is>
      </c>
      <c r="C52" s="1530" t="str">
        <f>COUNTA($B$53:$B$61)&amp;IF(COUNTA($B$53:$B$61)=1," role"," roles")</f>
        <v>9 roles</v>
      </c>
      <c r="D52" s="1530" t="n"/>
      <c r="E52" s="1530" t="n"/>
      <c r="F52" s="1786">
        <f>SUM(F53:F61)</f>
        <v>1914773.3</v>
      </c>
      <c r="G52" s="1786">
        <f>SUM(G53:G61)</f>
        <v>1914773.3</v>
      </c>
    </row>
    <row r="53">
      <c r="B53" s="1531" t="str">
        <f>INDEX('REVIEW - Complete Role Mapping'!$B:$B,333)</f>
        <v>Akhil Sriram</v>
      </c>
      <c r="C53" s="1531" t="str">
        <f>INDEX('REVIEW - Complete Role Mapping'!$C:$C,333)</f>
        <v>Snr Business Analyst</v>
      </c>
      <c r="D53" s="1531" t="str">
        <f>INDEX('REVIEW - Complete Role Mapping'!$AK:$AK,333)</f>
        <v>Filled</v>
      </c>
      <c r="E53" s="1548" t="inlineStr">
        <is>
          <t>Filled</t>
        </is>
      </c>
      <c r="F53" s="1770">
        <f>INDEX('REVIEW - Complete Role Mapping'!$AA:$AA,333)</f>
        <v>221796.9</v>
      </c>
      <c r="G53" s="1770">
        <f>$F53*IFERROR(INDEX(Lists!$AD:$AD,MATCH($E53,Lists!$AC:$AC,0)),1)</f>
        <v>221796.9</v>
      </c>
    </row>
    <row r="54">
      <c r="B54" s="1531" t="str">
        <f>INDEX('REVIEW - Complete Role Mapping'!$B:$B,356)</f>
        <v>Chris Camacho</v>
      </c>
      <c r="C54" s="1531" t="str">
        <f>INDEX('REVIEW - Complete Role Mapping'!$C:$C,356)</f>
        <v>Senior Systems Analyst</v>
      </c>
      <c r="D54" s="1531" t="str">
        <f>INDEX('REVIEW - Complete Role Mapping'!$AK:$AK,356)</f>
        <v>Filled</v>
      </c>
      <c r="E54" s="1548" t="inlineStr">
        <is>
          <t>Filled</t>
        </is>
      </c>
      <c r="F54" s="1770">
        <f>INDEX('REVIEW - Complete Role Mapping'!$AA:$AA,356)</f>
        <v>225051.95</v>
      </c>
      <c r="G54" s="1770">
        <f>$F54*IFERROR(INDEX(Lists!$AD:$AD,MATCH($E54,Lists!$AC:$AC,0)),1)</f>
        <v>225051.95</v>
      </c>
    </row>
    <row r="55">
      <c r="B55" s="1531" t="str">
        <f>INDEX('REVIEW - Complete Role Mapping'!$B:$B,361)</f>
        <v>Fabian Moreno Cortes</v>
      </c>
      <c r="C55" s="1531" t="str">
        <f>INDEX('REVIEW - Complete Role Mapping'!$C:$C,361)</f>
        <v>Engineer - Software</v>
      </c>
      <c r="D55" s="1531" t="str">
        <f>INDEX('REVIEW - Complete Role Mapping'!$AK:$AK,361)</f>
        <v>Filled</v>
      </c>
      <c r="E55" s="1548" t="inlineStr">
        <is>
          <t>Filled</t>
        </is>
      </c>
      <c r="F55" s="1770">
        <f>INDEX('REVIEW - Complete Role Mapping'!$AA:$AA,361)</f>
        <v>193575</v>
      </c>
      <c r="G55" s="1770">
        <f>$F55*IFERROR(INDEX(Lists!$AD:$AD,MATCH($E55,Lists!$AC:$AC,0)),1)</f>
        <v>193575</v>
      </c>
    </row>
    <row r="56">
      <c r="B56" s="1531" t="str">
        <f>INDEX('REVIEW - Complete Role Mapping'!$B:$B,372)</f>
        <v>Jaya Ganasan</v>
      </c>
      <c r="C56" s="1531" t="str">
        <f>INDEX('REVIEW - Complete Role Mapping'!$C:$C,372)</f>
        <v>B2B &amp; Energy+B452:I452</v>
      </c>
      <c r="D56" s="1531" t="str">
        <f>INDEX('REVIEW - Complete Role Mapping'!$AK:$AK,372)</f>
        <v>Filled</v>
      </c>
      <c r="E56" s="1548" t="inlineStr">
        <is>
          <t>Filled</t>
        </is>
      </c>
      <c r="F56" s="1770">
        <f>INDEX('REVIEW - Complete Role Mapping'!$AA:$AA,372)</f>
        <v>257693.9</v>
      </c>
      <c r="G56" s="1770">
        <f>$F56*IFERROR(INDEX(Lists!$AD:$AD,MATCH($E56,Lists!$AC:$AC,0)),1)</f>
        <v>257693.9</v>
      </c>
    </row>
    <row r="57">
      <c r="B57" s="1531" t="str">
        <f>INDEX('REVIEW - Complete Role Mapping'!$B:$B,387)</f>
        <v>Louis Ballington</v>
      </c>
      <c r="C57" s="1531" t="str">
        <f>INDEX('REVIEW - Complete Role Mapping'!$C:$C,387)</f>
        <v>Delivery Lead</v>
      </c>
      <c r="D57" s="1531" t="str">
        <f>INDEX('REVIEW - Complete Role Mapping'!$AK:$AK,387)</f>
        <v>Filled</v>
      </c>
      <c r="E57" s="1548" t="inlineStr">
        <is>
          <t>Filled</t>
        </is>
      </c>
      <c r="F57" s="1770">
        <f>INDEX('REVIEW - Complete Role Mapping'!$AA:$AA,387)</f>
        <v>256466.85</v>
      </c>
      <c r="G57" s="1770">
        <f>$F57*IFERROR(INDEX(Lists!$AD:$AD,MATCH($E57,Lists!$AC:$AC,0)),1)</f>
        <v>256466.85</v>
      </c>
    </row>
    <row r="58">
      <c r="B58" s="1531" t="str">
        <f>INDEX('REVIEW - Complete Role Mapping'!$B:$B,411)</f>
        <v>Tyler Meggs</v>
      </c>
      <c r="C58" s="1531" t="str">
        <f>INDEX('REVIEW - Complete Role Mapping'!$C:$C,411)</f>
        <v>System Analyst</v>
      </c>
      <c r="D58" s="1531" t="str">
        <f>INDEX('REVIEW - Complete Role Mapping'!$AK:$AK,411)</f>
        <v>Filled</v>
      </c>
      <c r="E58" s="1548" t="inlineStr">
        <is>
          <t>Filled</t>
        </is>
      </c>
      <c r="F58" s="1770">
        <f>INDEX('REVIEW - Complete Role Mapping'!$AA:$AA,411)</f>
        <v>144650</v>
      </c>
      <c r="G58" s="1770">
        <f>$F58*IFERROR(INDEX(Lists!$AD:$AD,MATCH($E58,Lists!$AC:$AC,0)),1)</f>
        <v>144650</v>
      </c>
    </row>
    <row r="59">
      <c r="B59" s="1531" t="str">
        <f>INDEX('REVIEW - Complete Role Mapping'!$B:$B,429)</f>
        <v>Vacant</v>
      </c>
      <c r="C59" s="1531" t="str">
        <f>INDEX('REVIEW - Complete Role Mapping'!$C:$C,429)</f>
        <v>Quality Assurance</v>
      </c>
      <c r="D59" s="1531" t="str">
        <f>INDEX('REVIEW - Complete Role Mapping'!$AK:$AK,429)</f>
        <v>Vacant</v>
      </c>
      <c r="E59" s="1548" t="inlineStr">
        <is>
          <t>Hire</t>
        </is>
      </c>
      <c r="F59" s="1770">
        <f>INDEX('REVIEW - Complete Role Mapping'!$AA:$AA,429)</f>
        <v>170489.75</v>
      </c>
      <c r="G59" s="1770">
        <f>$F59*IFERROR(INDEX(Lists!$AD:$AD,MATCH($E59,Lists!$AC:$AC,0)),1)</f>
        <v>170489.75</v>
      </c>
    </row>
    <row r="60">
      <c r="B60" s="1531" t="str">
        <f>INDEX('REVIEW - Complete Role Mapping'!$B:$B,430)</f>
        <v>Vacant</v>
      </c>
      <c r="C60" s="1531" t="str">
        <f>INDEX('REVIEW - Complete Role Mapping'!$C:$C,430)</f>
        <v>Solution Architect</v>
      </c>
      <c r="D60" s="1531" t="str">
        <f>INDEX('REVIEW - Complete Role Mapping'!$AK:$AK,430)</f>
        <v>Vacant</v>
      </c>
      <c r="E60" s="1548" t="inlineStr">
        <is>
          <t>Hire</t>
        </is>
      </c>
      <c r="F60" s="1770">
        <f>INDEX('REVIEW - Complete Role Mapping'!$AA:$AA,430)</f>
        <v>231689.25</v>
      </c>
      <c r="G60" s="1770">
        <f>$F60*IFERROR(INDEX(Lists!$AD:$AD,MATCH($E60,Lists!$AC:$AC,0)),1)</f>
        <v>231689.25</v>
      </c>
    </row>
    <row r="61">
      <c r="B61" s="1531" t="str">
        <f>INDEX('REVIEW - Complete Role Mapping'!$B:$B,443)</f>
        <v>Victor Olasanoye</v>
      </c>
      <c r="C61" s="1531" t="str">
        <f>INDEX('REVIEW - Complete Role Mapping'!$C:$C,443)</f>
        <v>Senior Systems Analyst</v>
      </c>
      <c r="D61" s="1531" t="str">
        <f>INDEX('REVIEW - Complete Role Mapping'!$AK:$AK,443)</f>
        <v>Filled</v>
      </c>
      <c r="E61" s="1548" t="inlineStr">
        <is>
          <t>Filled</t>
        </is>
      </c>
      <c r="F61" s="1770">
        <f>INDEX('REVIEW - Complete Role Mapping'!$AA:$AA,443)</f>
        <v>213359.7</v>
      </c>
      <c r="G61" s="1770">
        <f>$F61*IFERROR(INDEX(Lists!$AD:$AD,MATCH($E61,Lists!$AC:$AC,0)),1)</f>
        <v>213359.7</v>
      </c>
    </row>
    <row r="62">
      <c r="B62" s="1530" t="inlineStr">
        <is>
          <t>Technology Support</t>
        </is>
      </c>
      <c r="C62" s="1530" t="str">
        <f>COUNTA($B$63:$B$67)&amp;IF(COUNTA($B$63:$B$67)=1," role"," roles")</f>
        <v>5 roles</v>
      </c>
      <c r="D62" s="1530" t="n"/>
      <c r="E62" s="1530" t="n"/>
      <c r="F62" s="1786">
        <f>SUM(F63:F67)</f>
        <v>741335.29</v>
      </c>
      <c r="G62" s="1786">
        <f>SUM(G63:G67)</f>
        <v>741335.29</v>
      </c>
    </row>
    <row r="63">
      <c r="B63" s="1531" t="str">
        <f>INDEX('REVIEW - Complete Role Mapping'!$B:$B,335)</f>
        <v>Alison Rosier</v>
      </c>
      <c r="C63" s="1531" t="str">
        <f>INDEX('REVIEW - Complete Role Mapping'!$C:$C,335)</f>
        <v>Technology Support Engineer - Infrastructure</v>
      </c>
      <c r="D63" s="1531" t="str">
        <f>INDEX('REVIEW - Complete Role Mapping'!$AK:$AK,335)</f>
        <v>Filled</v>
      </c>
      <c r="E63" s="1548" t="inlineStr">
        <is>
          <t>Filled</t>
        </is>
      </c>
      <c r="F63" s="1770">
        <f>INDEX('REVIEW - Complete Role Mapping'!$AA:$AA,335)</f>
        <v>162936.39</v>
      </c>
      <c r="G63" s="1770">
        <f>$F63*IFERROR(INDEX(Lists!$AD:$AD,MATCH($E63,Lists!$AC:$AC,0)),1)</f>
        <v>162936.39</v>
      </c>
    </row>
    <row r="64">
      <c r="B64" s="1531" t="str">
        <f>INDEX('REVIEW - Complete Role Mapping'!$B:$B,365)</f>
        <v>Glenn Earl</v>
      </c>
      <c r="C64" s="1531" t="str">
        <f>INDEX('REVIEW - Complete Role Mapping'!$C:$C,365)</f>
        <v>Lead Technology Support - Infrastructure</v>
      </c>
      <c r="D64" s="1531" t="str">
        <f>INDEX('REVIEW - Complete Role Mapping'!$AK:$AK,365)</f>
        <v>Filled</v>
      </c>
      <c r="E64" s="1548" t="inlineStr">
        <is>
          <t>Filled</t>
        </is>
      </c>
      <c r="F64" s="1770">
        <f>INDEX('REVIEW - Complete Role Mapping'!$AA:$AA,365)</f>
        <v>171291.9</v>
      </c>
      <c r="G64" s="1770">
        <f>$F64*IFERROR(INDEX(Lists!$AD:$AD,MATCH($E64,Lists!$AC:$AC,0)),1)</f>
        <v>171291.9</v>
      </c>
    </row>
    <row r="65">
      <c r="B65" s="1531" t="str">
        <f>INDEX('REVIEW - Complete Role Mapping'!$B:$B,396)</f>
        <v>Radek Rybar</v>
      </c>
      <c r="C65" s="1531" t="str">
        <f>INDEX('REVIEW - Complete Role Mapping'!$C:$C,396)</f>
        <v>Technology Support Engineer - Infrastructure</v>
      </c>
      <c r="D65" s="1531" t="str">
        <f>INDEX('REVIEW - Complete Role Mapping'!$AK:$AK,396)</f>
        <v>Filled</v>
      </c>
      <c r="E65" s="1548" t="inlineStr">
        <is>
          <t>Filled</t>
        </is>
      </c>
      <c r="F65" s="1770">
        <f>INDEX('REVIEW - Complete Role Mapping'!$AA:$AA,396)</f>
        <v>153697.2</v>
      </c>
      <c r="G65" s="1770">
        <f>$F65*IFERROR(INDEX(Lists!$AD:$AD,MATCH($E65,Lists!$AC:$AC,0)),1)</f>
        <v>153697.2</v>
      </c>
    </row>
    <row r="66">
      <c r="B66" s="1531" t="str">
        <f>INDEX('REVIEW - Complete Role Mapping'!$B:$B,401)</f>
        <v>Scott Hasson</v>
      </c>
      <c r="C66" s="1531" t="str">
        <f>INDEX('REVIEW - Complete Role Mapping'!$C:$C,401)</f>
        <v>Technology Support Engineer - Infrastructure</v>
      </c>
      <c r="D66" s="1531" t="str">
        <f>INDEX('REVIEW - Complete Role Mapping'!$AK:$AK,401)</f>
        <v>Filled</v>
      </c>
      <c r="E66" s="1548" t="inlineStr">
        <is>
          <t>Filled</t>
        </is>
      </c>
      <c r="F66" s="1770">
        <f>INDEX('REVIEW - Complete Role Mapping'!$AA:$AA,401)</f>
        <v>146727.7</v>
      </c>
      <c r="G66" s="1770">
        <f>$F66*IFERROR(INDEX(Lists!$AD:$AD,MATCH($E66,Lists!$AC:$AC,0)),1)</f>
        <v>146727.7</v>
      </c>
    </row>
    <row r="67">
      <c r="B67" s="1531" t="str">
        <f>INDEX('REVIEW - Complete Role Mapping'!$B:$B,409)</f>
        <v>Tom Moore</v>
      </c>
      <c r="C67" s="1531" t="str">
        <f>INDEX('REVIEW - Complete Role Mapping'!$C:$C,409)</f>
        <v>Technology Support Engineer - Infrastructure</v>
      </c>
      <c r="D67" s="1531" t="str">
        <f>INDEX('REVIEW - Complete Role Mapping'!$AK:$AK,409)</f>
        <v>Filled</v>
      </c>
      <c r="E67" s="1548" t="inlineStr">
        <is>
          <t>Filled</t>
        </is>
      </c>
      <c r="F67" s="1770">
        <f>INDEX('REVIEW - Complete Role Mapping'!$AA:$AA,409)</f>
        <v>106682.1</v>
      </c>
      <c r="G67" s="1770">
        <f>$F67*IFERROR(INDEX(Lists!$AD:$AD,MATCH($E67,Lists!$AC:$AC,0)),1)</f>
        <v>106682.1</v>
      </c>
    </row>
    <row r="68">
      <c r="B68" s="1530" t="inlineStr">
        <is>
          <t>Head of Technology</t>
        </is>
      </c>
      <c r="C68" s="1530" t="str">
        <f>COUNTA($B$69:$B$69)&amp;IF(COUNTA($B$69:$B$69)=1," role"," roles")</f>
        <v>1 role</v>
      </c>
      <c r="D68" s="1530" t="n"/>
      <c r="E68" s="1530" t="n"/>
      <c r="F68" s="1786">
        <f>SUM(F69:F69)</f>
        <v>363626.7</v>
      </c>
      <c r="G68" s="1786">
        <f>SUM(G69:G69)</f>
        <v>363626.7</v>
      </c>
    </row>
    <row r="69">
      <c r="B69" s="1531" t="str">
        <f>INDEX('REVIEW - Complete Role Mapping'!$B:$B,339)</f>
        <v>Amish Pandit</v>
      </c>
      <c r="C69" s="1531" t="str">
        <f>INDEX('REVIEW - Complete Role Mapping'!$C:$C,339)</f>
        <v>Head of Technology, Fuel Infrastructure</v>
      </c>
      <c r="D69" s="1531" t="str">
        <f>INDEX('REVIEW - Complete Role Mapping'!$AK:$AK,339)</f>
        <v>Filled</v>
      </c>
      <c r="E69" s="1548" t="inlineStr">
        <is>
          <t>Filled</t>
        </is>
      </c>
      <c r="F69" s="1770">
        <f>INDEX('REVIEW - Complete Role Mapping'!$AA:$AA,339)</f>
        <v>363626.7</v>
      </c>
      <c r="G69" s="1770">
        <f>$F69*IFERROR(INDEX(Lists!$AD:$AD,MATCH($E69,Lists!$AC:$AC,0)),1)</f>
        <v>363626.7</v>
      </c>
    </row>
    <row r="70">
      <c r="B70" s="1530" t="inlineStr">
        <is>
          <t>Delivery Manager</t>
        </is>
      </c>
      <c r="C70" s="1530" t="str">
        <f>COUNTA($B$71:$B$71)&amp;IF(COUNTA($B$71:$B$71)=1," role"," roles")</f>
        <v>1 role</v>
      </c>
      <c r="D70" s="1530" t="n"/>
      <c r="E70" s="1530" t="n"/>
      <c r="F70" s="1786">
        <f>SUM(F71:F71)</f>
        <v>275810.25</v>
      </c>
      <c r="G70" s="1786">
        <f>SUM(G71:G71)</f>
        <v>275810.25</v>
      </c>
    </row>
    <row r="71">
      <c r="B71" s="1531" t="str">
        <f>INDEX('REVIEW - Complete Role Mapping'!$B:$B,426)</f>
        <v>Vacant</v>
      </c>
      <c r="C71" s="1531" t="str">
        <f>INDEX('REVIEW - Complete Role Mapping'!$C:$C,426)</f>
        <v>Delivery manager</v>
      </c>
      <c r="D71" s="1531" t="str">
        <f>INDEX('REVIEW - Complete Role Mapping'!$AK:$AK,426)</f>
        <v>Vacant</v>
      </c>
      <c r="E71" s="1548" t="inlineStr">
        <is>
          <t>Hire</t>
        </is>
      </c>
      <c r="F71" s="1770">
        <f>INDEX('REVIEW - Complete Role Mapping'!$AA:$AA,426)</f>
        <v>275810.25</v>
      </c>
      <c r="G71" s="1770">
        <f>$F71*IFERROR(INDEX(Lists!$AD:$AD,MATCH($E71,Lists!$AC:$AC,0)),1)</f>
        <v>275810.25</v>
      </c>
    </row>
    <row r="72">
      <c r="B72" s="1530" t="inlineStr">
        <is>
          <t>Technology Manager</t>
        </is>
      </c>
      <c r="C72" s="1530" t="str">
        <f>COUNTA($B$73:$B$74)&amp;IF(COUNTA($B$73:$B$74)=1," role"," roles")</f>
        <v>2 roles</v>
      </c>
      <c r="D72" s="1530" t="n"/>
      <c r="E72" s="1530" t="n"/>
      <c r="F72" s="1786">
        <f>SUM(F73:F74)</f>
        <v>551620.5</v>
      </c>
      <c r="G72" s="1786">
        <f>SUM(G73:G74)</f>
        <v>551620.5</v>
      </c>
    </row>
    <row r="73">
      <c r="B73" s="1531" t="str">
        <f>INDEX('REVIEW - Complete Role Mapping'!$B:$B,427)</f>
        <v>Vacant</v>
      </c>
      <c r="C73" s="1531" t="str">
        <f>INDEX('REVIEW - Complete Role Mapping'!$C:$C,427)</f>
        <v>Technology Manager Data</v>
      </c>
      <c r="D73" s="1531" t="str">
        <f>INDEX('REVIEW - Complete Role Mapping'!$AK:$AK,427)</f>
        <v>Vacant</v>
      </c>
      <c r="E73" s="1548" t="inlineStr">
        <is>
          <t>Hire</t>
        </is>
      </c>
      <c r="F73" s="1770">
        <f>INDEX('REVIEW - Complete Role Mapping'!$AA:$AA,427)</f>
        <v>275810.25</v>
      </c>
      <c r="G73" s="1770">
        <f>$F73*IFERROR(INDEX(Lists!$AD:$AD,MATCH($E73,Lists!$AC:$AC,0)),1)</f>
        <v>275810.25</v>
      </c>
    </row>
    <row r="74">
      <c r="B74" s="1531" t="str">
        <f>INDEX('REVIEW - Complete Role Mapping'!$B:$B,428)</f>
        <v>Vacant</v>
      </c>
      <c r="C74" s="1531" t="str">
        <f>INDEX('REVIEW - Complete Role Mapping'!$C:$C,428)</f>
        <v>Technology Manager, Future Infrastructure </v>
      </c>
      <c r="D74" s="1531" t="str">
        <f>INDEX('REVIEW - Complete Role Mapping'!$AK:$AK,428)</f>
        <v>Vacant</v>
      </c>
      <c r="E74" s="1548" t="inlineStr">
        <is>
          <t>Hire</t>
        </is>
      </c>
      <c r="F74" s="1770">
        <f>INDEX('REVIEW - Complete Role Mapping'!$AA:$AA,428)</f>
        <v>275810.25</v>
      </c>
      <c r="G74" s="1770">
        <f>$F74*IFERROR(INDEX(Lists!$AD:$AD,MATCH($E74,Lists!$AC:$AC,0)),1)</f>
        <v>275810.25</v>
      </c>
    </row>
  </sheetData>
  <dataValidations count="1">
    <dataValidation sqref="E32 E33 E34 E35 E36 E37 E38 E40 E41 E42 E43 E44 E45 E46 E47 E48 E49 E51 E53 E54 E55 E56 E57 E58 E59 E60 E61 E63 E64 E65 E66 E67 E69 E71 E73 E74"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30.xml><?xml version="1.0" encoding="utf-8"?>
<worksheet xmlns="http://schemas.openxmlformats.org/spreadsheetml/2006/main">
  <sheetPr filterMode="0">
    <tabColor rgb="FFBF8F00"/>
    <outlinePr summaryBelow="1" summaryRight="1"/>
    <pageSetUpPr fitToPage="1"/>
  </sheetPr>
  <dimension ref="B2:Q6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election pane="topRight" activeCell="C1" activeCellId="0" sqref="C1"/>
      <selection pane="bottomLeft" activeCell="A7" activeCellId="0" sqref="A7"/>
      <selection pane="bottomRight" activeCell="A13" activeCellId="0" sqref="A13"/>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Energy Solutions &amp; B2B - working copy</t>
        </is>
      </c>
    </row>
    <row r="3">
      <c r="B3" s="1525" t="inlineStr">
        <is>
          <t>Portfolio</t>
        </is>
      </c>
      <c r="C3" s="1526" t="inlineStr">
        <is>
          <t>Energy Solutions &amp; B2B</t>
        </is>
      </c>
    </row>
    <row r="4" ht="19" customHeight="1" s="866">
      <c r="B4" s="1527" t="inlineStr">
        <is>
          <t>Energy Solutions &amp; B2B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B2B</t>
        </is>
      </c>
      <c r="C8" s="1531" t="str">
        <f>IFERROR(INDEX('1.8 Energy Solutions &amp; B2B'!$C$26:$C$37,MATCH($B8,'1.8 Energy Solutions &amp; B2B'!$B$26:$B$37,0)),"Not on the 1.x tab")</f>
        <v>Configuration / Integration</v>
      </c>
      <c r="D8" s="1531" t="str">
        <f>IFERROR(IF(INDEX('1.8 Energy Solutions &amp; B2B'!$D$26:$D$37,MATCH($B8,'1.8 Energy Solutions &amp; B2B'!$B$26:$B$37,0))="","-",INDEX('1.8 Energy Solutions &amp; B2B'!$D$26:$D$37,MATCH($B8,'1.8 Energy Solutions &amp; B2B'!$B$26:$B$37,0))),"-")</f>
        <v>L</v>
      </c>
      <c r="E8" s="1783">
        <f>IFERROR(INDEX('0.3 Squad Archetypes'!$F$5:$F$23,MATCH($C8&amp;"|"&amp;$D8,'0.3 Squad Archetypes'!$A$5:$A$23,0)),"-")</f>
        <v>14</v>
      </c>
      <c r="F8" s="1770">
        <f>COUNTA($B$31:$B$44)</f>
        <v>14</v>
      </c>
      <c r="G8" s="1770">
        <f>COUNTIFS($D$31:$D$44,"Filled")</f>
        <v>11</v>
      </c>
      <c r="H8" s="1770">
        <f>COUNTIFS($D$31:$D$44,"Vacant")</f>
        <v>3</v>
      </c>
      <c r="I8" s="1770">
        <f>COUNTIFS($D$31:$D$44,"Vacant",$E$31:$E$44,"Hire")</f>
        <v>3</v>
      </c>
      <c r="J8" s="1770">
        <f>COUNTIFS($E$31:$E$44,"Offshore")</f>
        <v>0</v>
      </c>
      <c r="K8" s="1770">
        <f>COUNTIFS($E$31:$E$44,"Hold")</f>
        <v>0</v>
      </c>
      <c r="L8" s="1770">
        <f>$F8-$K8</f>
        <v>14</v>
      </c>
      <c r="M8" s="1769">
        <f>IFERROR(IF(INDEX('1.8 Energy Solutions &amp; B2B'!$E$26:$E$37,MATCH($B8,'1.8 Energy Solutions &amp; B2B'!$B$26:$B$37,0))="Offshore",INDEX('0.3 Squad Archetypes'!$H$5:$H$23,MATCH($C8&amp;"|"&amp;$D8,'0.3 Squad Archetypes'!$A$5:$A$23,0)),INDEX('0.3 Squad Archetypes'!$G$5:$G$23,MATCH($C8&amp;"|"&amp;$D8,'0.3 Squad Archetypes'!$A$5:$A$23,0))),"-")</f>
        <v>3.2</v>
      </c>
      <c r="N8" s="1769">
        <f>SUMIFS('REVIEW - Complete Role Mapping'!$AA$2:$AA$528,'REVIEW - Complete Role Mapping'!$AJ$2:$AJ$528,$C$3,'REVIEW - Complete Role Mapping'!$AT$2:$AT$528,$B8)/1000000</f>
        <v>2.59351107</v>
      </c>
      <c r="O8" s="1769">
        <f>IFERROR(ROUND($N8-$M8,6),"-")</f>
        <v>-0.606489</v>
      </c>
      <c r="P8" s="1769">
        <f>SUM($G$31:$G$44)/1000000</f>
        <v>2.59351107</v>
      </c>
      <c r="Q8" s="1769">
        <f>IFERROR(ROUND($P8-$M8,6),"-")</f>
        <v>-0.606489</v>
      </c>
    </row>
    <row r="9">
      <c r="B9" s="1531" t="inlineStr">
        <is>
          <t>EVCI</t>
        </is>
      </c>
      <c r="C9" s="1531" t="str">
        <f>IFERROR(INDEX('1.8 Energy Solutions &amp; B2B'!$C$26:$C$37,MATCH($B9,'1.8 Energy Solutions &amp; B2B'!$B$26:$B$37,0)),"Not on the 1.x tab")</f>
        <v>Engineering</v>
      </c>
      <c r="D9" s="1531" t="str">
        <f>IFERROR(IF(INDEX('1.8 Energy Solutions &amp; B2B'!$D$26:$D$37,MATCH($B9,'1.8 Energy Solutions &amp; B2B'!$B$26:$B$37,0))="","-",INDEX('1.8 Energy Solutions &amp; B2B'!$D$26:$D$37,MATCH($B9,'1.8 Energy Solutions &amp; B2B'!$B$26:$B$37,0))),"-")</f>
        <v>M</v>
      </c>
      <c r="E9" s="1783">
        <f>IFERROR(INDEX('0.3 Squad Archetypes'!$F$5:$F$23,MATCH($C9&amp;"|"&amp;$D9,'0.3 Squad Archetypes'!$A$5:$A$23,0)),"-")</f>
        <v>9</v>
      </c>
      <c r="F9" s="1770">
        <f>COUNTA($B$46:$B$51)</f>
        <v>6</v>
      </c>
      <c r="G9" s="1770">
        <f>COUNTIFS($D$46:$D$51,"Filled")</f>
        <v>6</v>
      </c>
      <c r="H9" s="1770">
        <f>COUNTIFS($D$46:$D$51,"Vacant")</f>
        <v>0</v>
      </c>
      <c r="I9" s="1770">
        <f>COUNTIFS($D$46:$D$51,"Vacant",$E$46:$E$51,"Hire")</f>
        <v>0</v>
      </c>
      <c r="J9" s="1770">
        <f>COUNTIFS($E$46:$E$51,"Offshore")</f>
        <v>0</v>
      </c>
      <c r="K9" s="1770">
        <f>COUNTIFS($E$46:$E$51,"Hold")</f>
        <v>0</v>
      </c>
      <c r="L9" s="1770">
        <f>$F9-$K9</f>
        <v>6</v>
      </c>
      <c r="M9" s="1769">
        <f>IFERROR(IF(INDEX('1.8 Energy Solutions &amp; B2B'!$E$26:$E$37,MATCH($B9,'1.8 Energy Solutions &amp; B2B'!$B$26:$B$37,0))="Offshore",INDEX('0.3 Squad Archetypes'!$H$5:$H$23,MATCH($C9&amp;"|"&amp;$D9,'0.3 Squad Archetypes'!$A$5:$A$23,0)),INDEX('0.3 Squad Archetypes'!$G$5:$G$23,MATCH($C9&amp;"|"&amp;$D9,'0.3 Squad Archetypes'!$A$5:$A$23,0))),"-")</f>
        <v>2</v>
      </c>
      <c r="N9" s="1769">
        <f>SUMIFS('REVIEW - Complete Role Mapping'!$AA$2:$AA$528,'REVIEW - Complete Role Mapping'!$AJ$2:$AJ$528,$C$3,'REVIEW - Complete Role Mapping'!$AT$2:$AT$528,$B9)/1000000</f>
        <v>0.930799292</v>
      </c>
      <c r="O9" s="1769">
        <f>IFERROR(ROUND($N9-$M9,6),"-")</f>
        <v>-1.069201</v>
      </c>
      <c r="P9" s="1769">
        <f>SUM($G$46:$G$51)/1000000</f>
        <v>0.930799292</v>
      </c>
      <c r="Q9" s="1769">
        <f>IFERROR(ROUND($P9-$M9,6),"-")</f>
        <v>-1.069201</v>
      </c>
    </row>
    <row r="10">
      <c r="B10" s="1531" t="inlineStr">
        <is>
          <t>Energy</t>
        </is>
      </c>
      <c r="C10" s="1531" t="str">
        <f>IFERROR(INDEX('1.8 Energy Solutions &amp; B2B'!$C$26:$C$37,MATCH($B10,'1.8 Energy Solutions &amp; B2B'!$B$26:$B$37,0)),"Not on the 1.x tab")</f>
        <v>Engineering</v>
      </c>
      <c r="D10" s="1531" t="str">
        <f>IFERROR(IF(INDEX('1.8 Energy Solutions &amp; B2B'!$D$26:$D$37,MATCH($B10,'1.8 Energy Solutions &amp; B2B'!$B$26:$B$37,0))="","-",INDEX('1.8 Energy Solutions &amp; B2B'!$D$26:$D$37,MATCH($B10,'1.8 Energy Solutions &amp; B2B'!$B$26:$B$37,0))),"-")</f>
        <v>L</v>
      </c>
      <c r="E10" s="1783">
        <f>IFERROR(INDEX('0.3 Squad Archetypes'!$F$5:$F$23,MATCH($C10&amp;"|"&amp;$D10,'0.3 Squad Archetypes'!$A$5:$A$23,0)),"-")</f>
        <v>12</v>
      </c>
      <c r="F10" s="1770">
        <f>COUNTA($B$53:$B$61)</f>
        <v>9</v>
      </c>
      <c r="G10" s="1770">
        <f>COUNTIFS($D$53:$D$61,"Filled")</f>
        <v>5</v>
      </c>
      <c r="H10" s="1770">
        <f>COUNTIFS($D$53:$D$61,"Vacant")</f>
        <v>4</v>
      </c>
      <c r="I10" s="1770">
        <f>COUNTIFS($D$53:$D$61,"Vacant",$E$53:$E$61,"Hire")</f>
        <v>4</v>
      </c>
      <c r="J10" s="1770">
        <f>COUNTIFS($E$53:$E$61,"Offshore")</f>
        <v>0</v>
      </c>
      <c r="K10" s="1770">
        <f>COUNTIFS($E$53:$E$61,"Hold")</f>
        <v>0</v>
      </c>
      <c r="L10" s="1770">
        <f>$F10-$K10</f>
        <v>9</v>
      </c>
      <c r="M10" s="1769">
        <f>IFERROR(IF(INDEX('1.8 Energy Solutions &amp; B2B'!$E$26:$E$37,MATCH($B10,'1.8 Energy Solutions &amp; B2B'!$B$26:$B$37,0))="Offshore",INDEX('0.3 Squad Archetypes'!$H$5:$H$23,MATCH($C10&amp;"|"&amp;$D10,'0.3 Squad Archetypes'!$A$5:$A$23,0)),INDEX('0.3 Squad Archetypes'!$G$5:$G$23,MATCH($C10&amp;"|"&amp;$D10,'0.3 Squad Archetypes'!$A$5:$A$23,0))),"-")</f>
        <v>2.7</v>
      </c>
      <c r="N10" s="1769">
        <f>SUMIFS('REVIEW - Complete Role Mapping'!$AA$2:$AA$528,'REVIEW - Complete Role Mapping'!$AJ$2:$AJ$528,$C$3,'REVIEW - Complete Role Mapping'!$AT$2:$AT$528,$B10)/1000000</f>
        <v>1.803563966</v>
      </c>
      <c r="O10" s="1769">
        <f>IFERROR(ROUND($N10-$M10,6),"-")</f>
        <v>-0.896436</v>
      </c>
      <c r="P10" s="1769">
        <f>SUM($G$53:$G$61)/1000000</f>
        <v>1.803563966</v>
      </c>
      <c r="Q10" s="1769">
        <f>IFERROR(ROUND($P10-$M10,6),"-")</f>
        <v>-0.896436</v>
      </c>
    </row>
    <row r="11">
      <c r="B11" s="1535" t="inlineStr">
        <is>
          <t>Squads priced by an archetype total</t>
        </is>
      </c>
      <c r="C11" s="1535" t="n"/>
      <c r="D11" s="1535" t="n"/>
      <c r="E11" s="1784">
        <f>SUM(E8:E10)</f>
        <v>35</v>
      </c>
      <c r="F11" s="1772">
        <f>SUM(F8:F10)</f>
        <v>29</v>
      </c>
      <c r="G11" s="1772">
        <f>SUM(G8:G10)</f>
        <v>22</v>
      </c>
      <c r="H11" s="1772">
        <f>SUM(H8:H10)</f>
        <v>7</v>
      </c>
      <c r="I11" s="1772">
        <f>SUM(I8:I10)</f>
        <v>7</v>
      </c>
      <c r="J11" s="1772">
        <f>SUM(J8:J10)</f>
        <v>0</v>
      </c>
      <c r="K11" s="1772">
        <f>SUM(K8:K10)</f>
        <v>0</v>
      </c>
      <c r="L11" s="1772">
        <f>SUM(L8:L10)</f>
        <v>29</v>
      </c>
      <c r="M11" s="1771">
        <f>IF(COUNT(M8:M10)=3,SUM(M8:M10),"-")</f>
        <v>7.9</v>
      </c>
      <c r="N11" s="1771">
        <f>SUM(N8:N10)</f>
        <v>5.327874328</v>
      </c>
      <c r="O11" s="1771">
        <f>IF(ISNUMBER($M11),ROUND($N11-$M11,6),"-")</f>
        <v>-2.572126</v>
      </c>
      <c r="P11" s="1771">
        <f>SUM(P8:P10)</f>
        <v>5.327874328</v>
      </c>
      <c r="Q11" s="1771">
        <f>IF(ISNUMBER($M11),ROUND($P11-$M11,6),"-")</f>
        <v>-2.572126</v>
      </c>
    </row>
    <row r="12">
      <c r="B12" s="1530" t="inlineStr">
        <is>
          <t>Directly funded programmes and platforms</t>
        </is>
      </c>
      <c r="C12" s="1530" t="n"/>
      <c r="D12" s="1530" t="n"/>
      <c r="E12" s="1530" t="n"/>
      <c r="F12" s="1530" t="n"/>
      <c r="G12" s="1530" t="n"/>
      <c r="H12" s="1530" t="n"/>
      <c r="I12" s="1530" t="n"/>
      <c r="J12" s="1530" t="n"/>
      <c r="K12" s="1530" t="n"/>
      <c r="L12" s="1530" t="n"/>
      <c r="M12" s="1530" t="n"/>
      <c r="N12" s="1530" t="n"/>
      <c r="O12" s="1530" t="n"/>
      <c r="P12" s="1530" t="n"/>
      <c r="Q12" s="1530" t="n"/>
    </row>
    <row r="13">
      <c r="B13" s="1531" t="inlineStr">
        <is>
          <t>None</t>
        </is>
      </c>
      <c r="C13" s="1531" t="inlineStr">
        <is>
          <t>None - no directly funded programme here</t>
        </is>
      </c>
      <c r="D13" s="1539" t="str">
        <f>"-"</f>
        <v>-</v>
      </c>
      <c r="E13" s="1539" t="str">
        <f>"-"</f>
        <v>-</v>
      </c>
      <c r="F13" s="1539" t="str">
        <f>"-"</f>
        <v>-</v>
      </c>
      <c r="G13" s="1539" t="str">
        <f>"-"</f>
        <v>-</v>
      </c>
      <c r="H13" s="1539" t="str">
        <f>"-"</f>
        <v>-</v>
      </c>
      <c r="I13" s="1539" t="str">
        <f>"-"</f>
        <v>-</v>
      </c>
      <c r="J13" s="1539" t="str">
        <f>"-"</f>
        <v>-</v>
      </c>
      <c r="K13" s="1539" t="str">
        <f>"-"</f>
        <v>-</v>
      </c>
      <c r="L13" s="1539" t="str">
        <f>"-"</f>
        <v>-</v>
      </c>
      <c r="M13" s="1539" t="str">
        <f>"-"</f>
        <v>-</v>
      </c>
      <c r="N13" s="1539" t="str">
        <f>"-"</f>
        <v>-</v>
      </c>
      <c r="O13" s="1539" t="str">
        <f>"-"</f>
        <v>-</v>
      </c>
      <c r="P13" s="1539" t="str">
        <f>"-"</f>
        <v>-</v>
      </c>
      <c r="Q13" s="1539" t="str">
        <f>"-"</f>
        <v>-</v>
      </c>
    </row>
    <row r="14">
      <c r="B14" s="1535" t="inlineStr">
        <is>
          <t>Directly funded programmes and platforms total</t>
        </is>
      </c>
      <c r="C14" s="1535" t="n"/>
      <c r="D14" s="1535" t="n"/>
      <c r="E14" s="1784">
        <f>SUM(E13:E13)</f>
        <v>0</v>
      </c>
      <c r="F14" s="1772">
        <f>SUM(F13:F13)</f>
        <v>0</v>
      </c>
      <c r="G14" s="1772">
        <f>SUM(G13:G13)</f>
        <v>0</v>
      </c>
      <c r="H14" s="1772">
        <f>SUM(H13:H13)</f>
        <v>0</v>
      </c>
      <c r="I14" s="1772">
        <f>SUM(I13:I13)</f>
        <v>0</v>
      </c>
      <c r="J14" s="1772">
        <f>SUM(J13:J13)</f>
        <v>0</v>
      </c>
      <c r="K14" s="1772">
        <f>SUM(K13:K13)</f>
        <v>0</v>
      </c>
      <c r="L14" s="1772">
        <f>SUM(L13:L13)</f>
        <v>0</v>
      </c>
      <c r="M14" s="1771" t="str">
        <f>IF(COUNT(M13:M13)=1,SUM(M13:M13),"-")</f>
        <v>-</v>
      </c>
      <c r="N14" s="1771">
        <f>SUM(N13:N13)</f>
        <v>0</v>
      </c>
      <c r="O14" s="1771" t="str">
        <f>IF(ISNUMBER($M14),ROUND($N14-$M14,6),"-")</f>
        <v>-</v>
      </c>
      <c r="P14" s="1771">
        <f>SUM(P13:P13)</f>
        <v>0</v>
      </c>
      <c r="Q14" s="1771" t="str">
        <f>IF(ISNUMBER($M14),ROUND($P14-$M14,6),"-")</f>
        <v>-</v>
      </c>
    </row>
    <row r="15">
      <c r="B15" s="1530" t="inlineStr">
        <is>
          <t>Groups with no archetype and no funded figure</t>
        </is>
      </c>
      <c r="C15" s="1530" t="n"/>
      <c r="D15" s="1530" t="n"/>
      <c r="E15" s="1530" t="n"/>
      <c r="F15" s="1530" t="n"/>
      <c r="G15" s="1530" t="n"/>
      <c r="H15" s="1530" t="n"/>
      <c r="I15" s="1530" t="n"/>
      <c r="J15" s="1530" t="n"/>
      <c r="K15" s="1530" t="n"/>
      <c r="L15" s="1530" t="n"/>
      <c r="M15" s="1530" t="n"/>
      <c r="N15" s="1530" t="n"/>
      <c r="O15" s="1530" t="n"/>
      <c r="P15" s="1530" t="n"/>
      <c r="Q15" s="1530" t="n"/>
    </row>
    <row r="16">
      <c r="B16" s="1531" t="inlineStr">
        <is>
          <t>None</t>
        </is>
      </c>
      <c r="C16" s="1531" t="inlineStr">
        <is>
          <t>None - every group here has a figure to compare</t>
        </is>
      </c>
      <c r="D16" s="1539" t="str">
        <f>"-"</f>
        <v>-</v>
      </c>
      <c r="E16" s="1539" t="str">
        <f>"-"</f>
        <v>-</v>
      </c>
      <c r="F16" s="1539" t="str">
        <f>"-"</f>
        <v>-</v>
      </c>
      <c r="G16" s="1539" t="str">
        <f>"-"</f>
        <v>-</v>
      </c>
      <c r="H16" s="1539" t="str">
        <f>"-"</f>
        <v>-</v>
      </c>
      <c r="I16" s="1539" t="str">
        <f>"-"</f>
        <v>-</v>
      </c>
      <c r="J16" s="1539" t="str">
        <f>"-"</f>
        <v>-</v>
      </c>
      <c r="K16" s="1539" t="str">
        <f>"-"</f>
        <v>-</v>
      </c>
      <c r="L16" s="1539" t="str">
        <f>"-"</f>
        <v>-</v>
      </c>
      <c r="M16" s="1539" t="str">
        <f>"-"</f>
        <v>-</v>
      </c>
      <c r="N16" s="1539" t="str">
        <f>"-"</f>
        <v>-</v>
      </c>
      <c r="O16" s="1539" t="str">
        <f>"-"</f>
        <v>-</v>
      </c>
      <c r="P16" s="1539" t="str">
        <f>"-"</f>
        <v>-</v>
      </c>
      <c r="Q16" s="1539" t="str">
        <f>"-"</f>
        <v>-</v>
      </c>
    </row>
    <row r="17">
      <c r="B17" s="1535" t="inlineStr">
        <is>
          <t>Groups with no archetype and no funded figure total</t>
        </is>
      </c>
      <c r="C17" s="1535" t="n"/>
      <c r="D17" s="1535" t="n"/>
      <c r="E17" s="1784">
        <f>SUM(E16:E16)</f>
        <v>0</v>
      </c>
      <c r="F17" s="1772">
        <f>SUM(F16:F16)</f>
        <v>0</v>
      </c>
      <c r="G17" s="1772">
        <f>SUM(G16:G16)</f>
        <v>0</v>
      </c>
      <c r="H17" s="1772">
        <f>SUM(H16:H16)</f>
        <v>0</v>
      </c>
      <c r="I17" s="1772">
        <f>SUM(I16:I16)</f>
        <v>0</v>
      </c>
      <c r="J17" s="1772">
        <f>SUM(J16:J16)</f>
        <v>0</v>
      </c>
      <c r="K17" s="1772">
        <f>SUM(K16:K16)</f>
        <v>0</v>
      </c>
      <c r="L17" s="1772">
        <f>SUM(L16:L16)</f>
        <v>0</v>
      </c>
      <c r="M17" s="1771" t="str">
        <f>IF(COUNT(M16:M16)=1,SUM(M16:M16),"-")</f>
        <v>-</v>
      </c>
      <c r="N17" s="1771">
        <f>SUM(N16:N16)</f>
        <v>0</v>
      </c>
      <c r="O17" s="1771" t="str">
        <f>IF(ISNUMBER($M17),ROUND($N17-$M17,6),"-")</f>
        <v>-</v>
      </c>
      <c r="P17" s="1771">
        <f>SUM(P16:P16)</f>
        <v>0</v>
      </c>
      <c r="Q17" s="1771" t="str">
        <f>IF(ISNUMBER($M17),ROUND($P17-$M17,6),"-")</f>
        <v>-</v>
      </c>
    </row>
    <row r="18">
      <c r="B18" s="1530" t="inlineStr">
        <is>
          <t>Overhead roles</t>
        </is>
      </c>
      <c r="C18" s="1530" t="n"/>
      <c r="D18" s="1530" t="n"/>
      <c r="E18" s="1530" t="n"/>
      <c r="F18" s="1530" t="n"/>
      <c r="G18" s="1530" t="n"/>
      <c r="H18" s="1530" t="n"/>
      <c r="I18" s="1530" t="n"/>
      <c r="J18" s="1530" t="n"/>
      <c r="K18" s="1530" t="n"/>
      <c r="L18" s="1530" t="n"/>
      <c r="M18" s="1530" t="n"/>
      <c r="N18" s="1530" t="n"/>
      <c r="O18" s="1530" t="n"/>
      <c r="P18" s="1530" t="n"/>
      <c r="Q18" s="1530" t="n"/>
    </row>
    <row r="19">
      <c r="B19" s="1531" t="inlineStr">
        <is>
          <t>Head of Technology</t>
        </is>
      </c>
      <c r="C19" s="1531" t="str">
        <f>"-"</f>
        <v>-</v>
      </c>
      <c r="D19" s="1531" t="str">
        <f>"-"</f>
        <v>-</v>
      </c>
      <c r="E19" s="1540" t="str">
        <f>"-"</f>
        <v>-</v>
      </c>
      <c r="F19" s="1770">
        <f>COUNTA($B$63:$B$63)</f>
        <v>1</v>
      </c>
      <c r="G19" s="1770">
        <f>COUNTIFS($D$63:$D$63,"Filled")</f>
        <v>1</v>
      </c>
      <c r="H19" s="1770">
        <f>COUNTIFS($D$63:$D$63,"Vacant")</f>
        <v>0</v>
      </c>
      <c r="I19" s="1770">
        <f>COUNTIFS($D$63:$D$63,"Vacant",$E$63:$E$63,"Hire")</f>
        <v>0</v>
      </c>
      <c r="J19" s="1770">
        <f>COUNTIFS($E$63:$E$63,"Offshore")</f>
        <v>0</v>
      </c>
      <c r="K19" s="1770">
        <f>COUNTIFS($E$63:$E$63,"Hold")</f>
        <v>0</v>
      </c>
      <c r="L19" s="1770">
        <f>$F19-$K19</f>
        <v>1</v>
      </c>
      <c r="M19" s="1540" t="str">
        <f>"-"</f>
        <v>-</v>
      </c>
      <c r="N19" s="1769">
        <f>SUMIFS('REVIEW - Complete Role Mapping'!$AA$2:$AA$528,'REVIEW - Complete Role Mapping'!$AJ$2:$AJ$528,$C$3,'REVIEW - Complete Role Mapping'!$AT$2:$AT$528,$B19)/1000000</f>
        <v>0.273758</v>
      </c>
      <c r="O19" s="1540" t="str">
        <f>"-"</f>
        <v>-</v>
      </c>
      <c r="P19" s="1769">
        <f>SUM($G$63:$G$63)/1000000</f>
        <v>0.273758</v>
      </c>
      <c r="Q19" s="1540" t="str">
        <f>"-"</f>
        <v>-</v>
      </c>
    </row>
    <row r="20">
      <c r="B20" s="1531" t="inlineStr">
        <is>
          <t>Delivery Manager</t>
        </is>
      </c>
      <c r="C20" s="1531" t="str">
        <f>"-"</f>
        <v>-</v>
      </c>
      <c r="D20" s="1531" t="str">
        <f>"-"</f>
        <v>-</v>
      </c>
      <c r="E20" s="1540" t="str">
        <f>"-"</f>
        <v>-</v>
      </c>
      <c r="F20" s="1770">
        <f>COUNTA($B$65:$B$65)</f>
        <v>1</v>
      </c>
      <c r="G20" s="1770">
        <f>COUNTIFS($D$65:$D$65,"Filled")</f>
        <v>0</v>
      </c>
      <c r="H20" s="1770">
        <f>COUNTIFS($D$65:$D$65,"Vacant")</f>
        <v>1</v>
      </c>
      <c r="I20" s="1770">
        <f>COUNTIFS($D$65:$D$65,"Vacant",$E$65:$E$65,"Hire")</f>
        <v>1</v>
      </c>
      <c r="J20" s="1770">
        <f>COUNTIFS($E$65:$E$65,"Offshore")</f>
        <v>0</v>
      </c>
      <c r="K20" s="1770">
        <f>COUNTIFS($E$65:$E$65,"Hold")</f>
        <v>0</v>
      </c>
      <c r="L20" s="1770">
        <f>$F20-$K20</f>
        <v>1</v>
      </c>
      <c r="M20" s="1540" t="str">
        <f>"-"</f>
        <v>-</v>
      </c>
      <c r="N20" s="1769">
        <f>SUMIFS('REVIEW - Complete Role Mapping'!$AA$2:$AA$528,'REVIEW - Complete Role Mapping'!$AJ$2:$AJ$528,$C$3,'REVIEW - Complete Role Mapping'!$AT$2:$AT$528,$B20)/1000000</f>
        <v>0.27581025</v>
      </c>
      <c r="O20" s="1540" t="str">
        <f>"-"</f>
        <v>-</v>
      </c>
      <c r="P20" s="1769">
        <f>SUM($G$65:$G$65)/1000000</f>
        <v>0.27581025</v>
      </c>
      <c r="Q20" s="1540" t="str">
        <f>"-"</f>
        <v>-</v>
      </c>
    </row>
    <row r="21">
      <c r="B21" s="1531" t="inlineStr">
        <is>
          <t>Technology Manager</t>
        </is>
      </c>
      <c r="C21" s="1531" t="str">
        <f>"-"</f>
        <v>-</v>
      </c>
      <c r="D21" s="1531" t="str">
        <f>"-"</f>
        <v>-</v>
      </c>
      <c r="E21" s="1540" t="str">
        <f>"-"</f>
        <v>-</v>
      </c>
      <c r="F21" s="1770">
        <f>COUNTA($B$67:$B$68)</f>
        <v>2</v>
      </c>
      <c r="G21" s="1770">
        <f>COUNTIFS($D$67:$D$68,"Filled")</f>
        <v>1</v>
      </c>
      <c r="H21" s="1770">
        <f>COUNTIFS($D$67:$D$68,"Vacant")</f>
        <v>1</v>
      </c>
      <c r="I21" s="1770">
        <f>COUNTIFS($D$67:$D$68,"Vacant",$E$67:$E$68,"Hire")</f>
        <v>1</v>
      </c>
      <c r="J21" s="1770">
        <f>COUNTIFS($E$67:$E$68,"Offshore")</f>
        <v>0</v>
      </c>
      <c r="K21" s="1770">
        <f>COUNTIFS($E$67:$E$68,"Hold")</f>
        <v>0</v>
      </c>
      <c r="L21" s="1770">
        <f>$F21-$K21</f>
        <v>2</v>
      </c>
      <c r="M21" s="1540" t="str">
        <f>"-"</f>
        <v>-</v>
      </c>
      <c r="N21" s="1769">
        <f>SUMIFS('REVIEW - Complete Role Mapping'!$AA$2:$AA$528,'REVIEW - Complete Role Mapping'!$AJ$2:$AJ$528,$C$3,'REVIEW - Complete Role Mapping'!$AT$2:$AT$528,$B21)/1000000</f>
        <v>0.5703737</v>
      </c>
      <c r="O21" s="1540" t="str">
        <f>"-"</f>
        <v>-</v>
      </c>
      <c r="P21" s="1769">
        <f>SUM($G$67:$G$68)/1000000</f>
        <v>0.5703737</v>
      </c>
      <c r="Q21" s="1540" t="str">
        <f>"-"</f>
        <v>-</v>
      </c>
    </row>
    <row r="22">
      <c r="B22" s="1535" t="inlineStr">
        <is>
          <t>Overhead roles total</t>
        </is>
      </c>
      <c r="C22" s="1535" t="n"/>
      <c r="D22" s="1535" t="n"/>
      <c r="E22" s="1784">
        <f>SUM(E19:E21)</f>
        <v>0</v>
      </c>
      <c r="F22" s="1772">
        <f>SUM(F19:F21)</f>
        <v>4</v>
      </c>
      <c r="G22" s="1772">
        <f>SUM(G19:G21)</f>
        <v>2</v>
      </c>
      <c r="H22" s="1772">
        <f>SUM(H19:H21)</f>
        <v>2</v>
      </c>
      <c r="I22" s="1772">
        <f>SUM(I19:I21)</f>
        <v>2</v>
      </c>
      <c r="J22" s="1772">
        <f>SUM(J19:J21)</f>
        <v>0</v>
      </c>
      <c r="K22" s="1772">
        <f>SUM(K19:K21)</f>
        <v>0</v>
      </c>
      <c r="L22" s="1772">
        <f>SUM(L19:L21)</f>
        <v>4</v>
      </c>
      <c r="M22" s="1771" t="str">
        <f>IF(COUNT(M19:M21)=3,SUM(M19:M21),"-")</f>
        <v>-</v>
      </c>
      <c r="N22" s="1771">
        <f>SUM(N19:N21)</f>
        <v>1.11994195</v>
      </c>
      <c r="O22" s="1771" t="str">
        <f>IF(ISNUMBER($M22),ROUND($N22-$M22,6),"-")</f>
        <v>-</v>
      </c>
      <c r="P22" s="1771">
        <f>SUM(P19:P21)</f>
        <v>1.11994195</v>
      </c>
      <c r="Q22" s="1771" t="str">
        <f>IF(ISNUMBER($M22),ROUND($P22-$M22,6),"-")</f>
        <v>-</v>
      </c>
    </row>
    <row r="23">
      <c r="B23" s="1541" t="inlineStr">
        <is>
          <t>Total portfolio</t>
        </is>
      </c>
      <c r="C23" s="1541" t="n"/>
      <c r="D23" s="1541" t="n"/>
      <c r="E23" s="1785">
        <f>N(E11)+N(E14)+N(E17)+N(E22)</f>
        <v>35</v>
      </c>
      <c r="F23" s="1774">
        <f>N(F11)+N(F14)+N(F17)+N(F22)</f>
        <v>33</v>
      </c>
      <c r="G23" s="1774">
        <f>N(G11)+N(G14)+N(G17)+N(G22)</f>
        <v>24</v>
      </c>
      <c r="H23" s="1774">
        <f>N(H11)+N(H14)+N(H17)+N(H22)</f>
        <v>9</v>
      </c>
      <c r="I23" s="1774">
        <f>N(I11)+N(I14)+N(I17)+N(I22)</f>
        <v>9</v>
      </c>
      <c r="J23" s="1774">
        <f>N(J11)+N(J14)+N(J17)+N(J22)</f>
        <v>0</v>
      </c>
      <c r="K23" s="1774">
        <f>N(K11)+N(K14)+N(K17)+N(K22)</f>
        <v>0</v>
      </c>
      <c r="L23" s="1774">
        <f>N(L11)+N(L14)+N(L17)+N(L22)</f>
        <v>33</v>
      </c>
      <c r="M23" s="1773" t="str">
        <f>"-"</f>
        <v>-</v>
      </c>
      <c r="N23" s="1773">
        <f>N(N11)+N(N14)+N(N17)+N(N22)</f>
        <v>6.447816278</v>
      </c>
      <c r="O23" s="1773" t="str">
        <f>"-"</f>
        <v>-</v>
      </c>
      <c r="P23" s="1773">
        <f>N(P11)+N(P14)+N(P17)+N(P22)</f>
        <v>6.447816278</v>
      </c>
      <c r="Q23" s="1773" t="str">
        <f>"-"</f>
        <v>-</v>
      </c>
    </row>
    <row r="25">
      <c r="B25" s="1526" t="inlineStr">
        <is>
          <t>Control - roles against the ledger, must be 0</t>
        </is>
      </c>
      <c r="F25" s="1778">
        <f>$F$23-COUNTIFS('REVIEW - Complete Role Mapping'!$AJ$2:$AJ$528,$C$3)</f>
        <v>0</v>
      </c>
    </row>
    <row r="26">
      <c r="B26" s="1526" t="inlineStr">
        <is>
          <t>Control - cost against the ledger ($m), must be 0</t>
        </is>
      </c>
      <c r="N26" s="1779">
        <f>ROUND($N$23-SUMIFS('REVIEW - Complete Role Mapping'!$AA$2:$AA$528,'REVIEW - Complete Role Mapping'!$AJ$2:$AJ$528,$C$3)/1000000,6)</f>
        <v>0</v>
      </c>
    </row>
    <row r="28" ht="19" customHeight="1" s="866">
      <c r="B28" s="1527" t="inlineStr">
        <is>
          <t>Energy Solutions &amp; B2B FTE</t>
        </is>
      </c>
      <c r="C28" s="1528" t="n"/>
      <c r="D28" s="1528" t="n"/>
      <c r="E28" s="1528" t="n"/>
      <c r="F28" s="1528" t="n"/>
      <c r="G28" s="1528" t="n"/>
    </row>
    <row r="29" ht="34" customHeight="1" s="866">
      <c r="B29" s="1529" t="inlineStr">
        <is>
          <t>Name</t>
        </is>
      </c>
      <c r="C29" s="1529" t="inlineStr">
        <is>
          <t>Role</t>
        </is>
      </c>
      <c r="D29" s="1529" t="inlineStr">
        <is>
          <t>Status</t>
        </is>
      </c>
      <c r="E29" s="1529" t="inlineStr">
        <is>
          <t>Vacancy lever</t>
        </is>
      </c>
      <c r="F29" s="1529" t="inlineStr">
        <is>
          <t>Role cost ($)</t>
        </is>
      </c>
      <c r="G29" s="1529" t="inlineStr">
        <is>
          <t>Cost after decision ($)</t>
        </is>
      </c>
    </row>
    <row r="30">
      <c r="B30" s="1530" t="inlineStr">
        <is>
          <t>B2B</t>
        </is>
      </c>
      <c r="C30" s="1530" t="str">
        <f>COUNTA($B$31:$B$44)&amp;IF(COUNTA($B$31:$B$44)=1," role"," roles")</f>
        <v>14 roles</v>
      </c>
      <c r="D30" s="1530" t="n"/>
      <c r="E30" s="1530" t="n"/>
      <c r="F30" s="1786">
        <f>SUM(F31:F44)</f>
        <v>2593511.07</v>
      </c>
      <c r="G30" s="1786">
        <f>SUM(G31:G44)</f>
        <v>2593511.07</v>
      </c>
    </row>
    <row r="31">
      <c r="B31" s="1531" t="str">
        <f>INDEX('REVIEW - Complete Role Mapping'!$B:$B,334)</f>
        <v>Alex Abelita</v>
      </c>
      <c r="C31" s="1531" t="str">
        <f>INDEX('REVIEW - Complete Role Mapping'!$C:$C,334)</f>
        <v>Associate Engineer - Automation Testing</v>
      </c>
      <c r="D31" s="1531" t="str">
        <f>INDEX('REVIEW - Complete Role Mapping'!$AK:$AK,334)</f>
        <v>Filled</v>
      </c>
      <c r="E31" s="1548" t="inlineStr">
        <is>
          <t>Filled</t>
        </is>
      </c>
      <c r="F31" s="1770">
        <f>INDEX('REVIEW - Complete Role Mapping'!$AA:$AA,334)</f>
        <v>87044</v>
      </c>
      <c r="G31" s="1770">
        <f>$F31*IFERROR(INDEX(Lists!$AD:$AD,MATCH($E31,Lists!$AC:$AC,0)),1)</f>
        <v>87044</v>
      </c>
    </row>
    <row r="32">
      <c r="B32" s="1531" t="str">
        <f>INDEX('REVIEW - Complete Role Mapping'!$B:$B,337)</f>
        <v>Allyn Puente</v>
      </c>
      <c r="C32" s="1531" t="str">
        <f>INDEX('REVIEW - Complete Role Mapping'!$C:$C,337)</f>
        <v>Graduate</v>
      </c>
      <c r="D32" s="1531" t="str">
        <f>INDEX('REVIEW - Complete Role Mapping'!$AK:$AK,337)</f>
        <v>Filled</v>
      </c>
      <c r="E32" s="1548" t="inlineStr">
        <is>
          <t>Filled</t>
        </is>
      </c>
      <c r="F32" s="1770">
        <f>INDEX('REVIEW - Complete Role Mapping'!$AA:$AA,337)</f>
        <v>110075</v>
      </c>
      <c r="G32" s="1770">
        <f>$F32*IFERROR(INDEX(Lists!$AD:$AD,MATCH($E32,Lists!$AC:$AC,0)),1)</f>
        <v>110075</v>
      </c>
    </row>
    <row r="33">
      <c r="B33" s="1531" t="str">
        <f>INDEX('REVIEW - Complete Role Mapping'!$B:$B,348)</f>
        <v>Belinda Ford</v>
      </c>
      <c r="C33" s="1531" t="str">
        <f>INDEX('REVIEW - Complete Role Mapping'!$C:$C,348)</f>
        <v>Quality Assurance</v>
      </c>
      <c r="D33" s="1531" t="str">
        <f>INDEX('REVIEW - Complete Role Mapping'!$AK:$AK,348)</f>
        <v>Filled</v>
      </c>
      <c r="E33" s="1548" t="inlineStr">
        <is>
          <t>Filled</t>
        </is>
      </c>
      <c r="F33" s="1770">
        <f>INDEX('REVIEW - Complete Role Mapping'!$AA:$AA,348)</f>
        <v>149160.45</v>
      </c>
      <c r="G33" s="1770">
        <f>$F33*IFERROR(INDEX(Lists!$AD:$AD,MATCH($E33,Lists!$AC:$AC,0)),1)</f>
        <v>149160.45</v>
      </c>
    </row>
    <row r="34">
      <c r="B34" s="1531" t="str">
        <f>INDEX('REVIEW - Complete Role Mapping'!$B:$B,357)</f>
        <v>Debbie Gor</v>
      </c>
      <c r="C34" s="1531" t="str">
        <f>INDEX('REVIEW - Complete Role Mapping'!$C:$C,357)</f>
        <v>Delivery Lead</v>
      </c>
      <c r="D34" s="1531" t="str">
        <f>INDEX('REVIEW - Complete Role Mapping'!$AK:$AK,357)</f>
        <v>Filled</v>
      </c>
      <c r="E34" s="1548" t="inlineStr">
        <is>
          <t>Filled</t>
        </is>
      </c>
      <c r="F34" s="1770">
        <f>INDEX('REVIEW - Complete Role Mapping'!$AA:$AA,357)</f>
        <v>266612.85</v>
      </c>
      <c r="G34" s="1770">
        <f>$F34*IFERROR(INDEX(Lists!$AD:$AD,MATCH($E34,Lists!$AC:$AC,0)),1)</f>
        <v>266612.85</v>
      </c>
    </row>
    <row r="35">
      <c r="B35" s="1531" t="str">
        <f>INDEX('REVIEW - Complete Role Mapping'!$B:$B,362)</f>
        <v>Frank Liang</v>
      </c>
      <c r="C35" s="1531" t="str">
        <f>INDEX('REVIEW - Complete Role Mapping'!$C:$C,362)</f>
        <v>Senior Systems Analyst</v>
      </c>
      <c r="D35" s="1531" t="str">
        <f>INDEX('REVIEW - Complete Role Mapping'!$AK:$AK,362)</f>
        <v>Filled</v>
      </c>
      <c r="E35" s="1548" t="inlineStr">
        <is>
          <t>Filled</t>
        </is>
      </c>
      <c r="F35" s="1770">
        <f>INDEX('REVIEW - Complete Role Mapping'!$AA:$AA,362)</f>
        <v>223625.85</v>
      </c>
      <c r="G35" s="1770">
        <f>$F35*IFERROR(INDEX(Lists!$AD:$AD,MATCH($E35,Lists!$AC:$AC,0)),1)</f>
        <v>223625.85</v>
      </c>
    </row>
    <row r="36">
      <c r="B36" s="1531" t="str">
        <f>INDEX('REVIEW - Complete Role Mapping'!$B:$B,374)</f>
        <v>Jessica Calla</v>
      </c>
      <c r="C36" s="1531" t="str">
        <f>INDEX('REVIEW - Complete Role Mapping'!$C:$C,374)</f>
        <v>System Analyst Card</v>
      </c>
      <c r="D36" s="1531" t="str">
        <f>INDEX('REVIEW - Complete Role Mapping'!$AK:$AK,374)</f>
        <v>Filled</v>
      </c>
      <c r="E36" s="1548" t="inlineStr">
        <is>
          <t>Filled</t>
        </is>
      </c>
      <c r="F36" s="1770">
        <f>INDEX('REVIEW - Complete Role Mapping'!$AA:$AA,374)</f>
        <v>137509.55</v>
      </c>
      <c r="G36" s="1770">
        <f>$F36*IFERROR(INDEX(Lists!$AD:$AD,MATCH($E36,Lists!$AC:$AC,0)),1)</f>
        <v>137509.55</v>
      </c>
    </row>
    <row r="37">
      <c r="B37" s="1531" t="str">
        <f>INDEX('REVIEW - Complete Role Mapping'!$B:$B,386)</f>
        <v>Lindsay Baipas</v>
      </c>
      <c r="C37" s="1531" t="str">
        <f>INDEX('REVIEW - Complete Role Mapping'!$C:$C,386)</f>
        <v>System Analyst Card</v>
      </c>
      <c r="D37" s="1531" t="str">
        <f>INDEX('REVIEW - Complete Role Mapping'!$AK:$AK,386)</f>
        <v>Filled</v>
      </c>
      <c r="E37" s="1548" t="inlineStr">
        <is>
          <t>Filled</t>
        </is>
      </c>
      <c r="F37" s="1770">
        <f>INDEX('REVIEW - Complete Role Mapping'!$AA:$AA,386)</f>
        <v>190306.8</v>
      </c>
      <c r="G37" s="1770">
        <f>$F37*IFERROR(INDEX(Lists!$AD:$AD,MATCH($E37,Lists!$AC:$AC,0)),1)</f>
        <v>190306.8</v>
      </c>
    </row>
    <row r="38">
      <c r="B38" s="1531" t="str">
        <f>INDEX('REVIEW - Complete Role Mapping'!$B:$B,389)</f>
        <v>Mick DaSilva</v>
      </c>
      <c r="C38" s="1531" t="str">
        <f>INDEX('REVIEW - Complete Role Mapping'!$C:$C,389)</f>
        <v>Senior Business Analyst</v>
      </c>
      <c r="D38" s="1531" t="str">
        <f>INDEX('REVIEW - Complete Role Mapping'!$AK:$AK,389)</f>
        <v>Filled</v>
      </c>
      <c r="E38" s="1548" t="inlineStr">
        <is>
          <t>Filled</t>
        </is>
      </c>
      <c r="F38" s="1770">
        <f>INDEX('REVIEW - Complete Role Mapping'!$AA:$AA,389)</f>
        <v>219447.3</v>
      </c>
      <c r="G38" s="1770">
        <f>$F38*IFERROR(INDEX(Lists!$AD:$AD,MATCH($E38,Lists!$AC:$AC,0)),1)</f>
        <v>219447.3</v>
      </c>
    </row>
    <row r="39">
      <c r="B39" s="1531" t="str">
        <f>INDEX('REVIEW - Complete Role Mapping'!$B:$B,390)</f>
        <v>Mikey Tran</v>
      </c>
      <c r="C39" s="1531" t="str">
        <f>INDEX('REVIEW - Complete Role Mapping'!$C:$C,390)</f>
        <v>Senior Systems Analyst - Card</v>
      </c>
      <c r="D39" s="1531" t="str">
        <f>INDEX('REVIEW - Complete Role Mapping'!$AK:$AK,390)</f>
        <v>Filled</v>
      </c>
      <c r="E39" s="1548" t="inlineStr">
        <is>
          <t>Filled</t>
        </is>
      </c>
      <c r="F39" s="1770">
        <f>INDEX('REVIEW - Complete Role Mapping'!$AA:$AA,390)</f>
        <v>186900</v>
      </c>
      <c r="G39" s="1770">
        <f>$F39*IFERROR(INDEX(Lists!$AD:$AD,MATCH($E39,Lists!$AC:$AC,0)),1)</f>
        <v>186900</v>
      </c>
    </row>
    <row r="40">
      <c r="B40" s="1531" t="str">
        <f>INDEX('REVIEW - Complete Role Mapping'!$B:$B,391)</f>
        <v>Ming Shao</v>
      </c>
      <c r="C40" s="1531" t="str">
        <f>INDEX('REVIEW - Complete Role Mapping'!$C:$C,391)</f>
        <v>Senior Systems Analyst Card</v>
      </c>
      <c r="D40" s="1531" t="str">
        <f>INDEX('REVIEW - Complete Role Mapping'!$AK:$AK,391)</f>
        <v>Filled</v>
      </c>
      <c r="E40" s="1548" t="inlineStr">
        <is>
          <t>Filled</t>
        </is>
      </c>
      <c r="F40" s="1770">
        <f>INDEX('REVIEW - Complete Role Mapping'!$AA:$AA,391)</f>
        <v>221610</v>
      </c>
      <c r="G40" s="1770">
        <f>$F40*IFERROR(INDEX(Lists!$AD:$AD,MATCH($E40,Lists!$AC:$AC,0)),1)</f>
        <v>221610</v>
      </c>
    </row>
    <row r="41">
      <c r="B41" s="1531" t="str">
        <f>INDEX('REVIEW - Complete Role Mapping'!$B:$B,399)</f>
        <v>Rod Santillan</v>
      </c>
      <c r="C41" s="1531" t="str">
        <f>INDEX('REVIEW - Complete Role Mapping'!$C:$C,399)</f>
        <v>Snr Engineer Software</v>
      </c>
      <c r="D41" s="1531" t="str">
        <f>INDEX('REVIEW - Complete Role Mapping'!$AK:$AK,399)</f>
        <v>Filled</v>
      </c>
      <c r="E41" s="1548" t="inlineStr">
        <is>
          <t>Filled</t>
        </is>
      </c>
      <c r="F41" s="1770">
        <f>INDEX('REVIEW - Complete Role Mapping'!$AA:$AA,399)</f>
        <v>163823.52</v>
      </c>
      <c r="G41" s="1770">
        <f>$F41*IFERROR(INDEX(Lists!$AD:$AD,MATCH($E41,Lists!$AC:$AC,0)),1)</f>
        <v>163823.52</v>
      </c>
    </row>
    <row r="42">
      <c r="B42" s="1531" t="str">
        <f>INDEX('REVIEW - Complete Role Mapping'!$B:$B,412)</f>
        <v>Vacant</v>
      </c>
      <c r="C42" s="1531" t="str">
        <f>INDEX('REVIEW - Complete Role Mapping'!$C:$C,412)</f>
        <v>Engineer Software</v>
      </c>
      <c r="D42" s="1531" t="str">
        <f>INDEX('REVIEW - Complete Role Mapping'!$AK:$AK,412)</f>
        <v>Vacant</v>
      </c>
      <c r="E42" s="1548" t="inlineStr">
        <is>
          <t>Hire</t>
        </is>
      </c>
      <c r="F42" s="1770">
        <f>INDEX('REVIEW - Complete Role Mapping'!$AA:$AA,412)</f>
        <v>202853.25</v>
      </c>
      <c r="G42" s="1770">
        <f>$F42*IFERROR(INDEX(Lists!$AD:$AD,MATCH($E42,Lists!$AC:$AC,0)),1)</f>
        <v>202853.25</v>
      </c>
    </row>
    <row r="43">
      <c r="B43" s="1531" t="str">
        <f>INDEX('REVIEW - Complete Role Mapping'!$B:$B,413)</f>
        <v>Vacant</v>
      </c>
      <c r="C43" s="1531" t="str">
        <f>INDEX('REVIEW - Complete Role Mapping'!$C:$C,413)</f>
        <v>Solution Architect</v>
      </c>
      <c r="D43" s="1531" t="str">
        <f>INDEX('REVIEW - Complete Role Mapping'!$AK:$AK,413)</f>
        <v>Vacant</v>
      </c>
      <c r="E43" s="1548" t="inlineStr">
        <is>
          <t>Hire</t>
        </is>
      </c>
      <c r="F43" s="1770">
        <f>INDEX('REVIEW - Complete Role Mapping'!$AA:$AA,413)</f>
        <v>231689.25</v>
      </c>
      <c r="G43" s="1770">
        <f>$F43*IFERROR(INDEX(Lists!$AD:$AD,MATCH($E43,Lists!$AC:$AC,0)),1)</f>
        <v>231689.25</v>
      </c>
    </row>
    <row r="44">
      <c r="B44" s="1531" t="str">
        <f>INDEX('REVIEW - Complete Role Mapping'!$B:$B,438)</f>
        <v>Vacant</v>
      </c>
      <c r="C44" s="1531" t="str">
        <f>INDEX('REVIEW - Complete Role Mapping'!$C:$C,438)</f>
        <v>Business Analyst</v>
      </c>
      <c r="D44" s="1531" t="str">
        <f>INDEX('REVIEW - Complete Role Mapping'!$AK:$AK,438)</f>
        <v>Vacant</v>
      </c>
      <c r="E44" s="1548" t="inlineStr">
        <is>
          <t>Hire</t>
        </is>
      </c>
      <c r="F44" s="1770">
        <f>INDEX('REVIEW - Complete Role Mapping'!$AA:$AA,438)</f>
        <v>202853.25</v>
      </c>
      <c r="G44" s="1770">
        <f>$F44*IFERROR(INDEX(Lists!$AD:$AD,MATCH($E44,Lists!$AC:$AC,0)),1)</f>
        <v>202853.25</v>
      </c>
    </row>
    <row r="45">
      <c r="B45" s="1530" t="inlineStr">
        <is>
          <t>EVCI</t>
        </is>
      </c>
      <c r="C45" s="1530" t="str">
        <f>COUNTA($B$46:$B$51)&amp;IF(COUNTA($B$46:$B$51)=1," role"," roles")</f>
        <v>6 roles</v>
      </c>
      <c r="D45" s="1530" t="n"/>
      <c r="E45" s="1530" t="n"/>
      <c r="F45" s="1786">
        <f>SUM(F46:F51)</f>
        <v>930799.292</v>
      </c>
      <c r="G45" s="1786">
        <f>SUM(G46:G51)</f>
        <v>930799.292</v>
      </c>
    </row>
    <row r="46">
      <c r="B46" s="1531" t="str">
        <f>INDEX('REVIEW - Complete Role Mapping'!$B:$B,340)</f>
        <v>Angela Ross</v>
      </c>
      <c r="C46" s="1531" t="str">
        <f>INDEX('REVIEW - Complete Role Mapping'!$C:$C,340)</f>
        <v>Delivery Lead</v>
      </c>
      <c r="D46" s="1531" t="str">
        <f>INDEX('REVIEW - Complete Role Mapping'!$AK:$AK,340)</f>
        <v>Filled</v>
      </c>
      <c r="E46" s="1548" t="inlineStr">
        <is>
          <t>Filled</t>
        </is>
      </c>
      <c r="F46" s="1770">
        <f>INDEX('REVIEW - Complete Role Mapping'!$AA:$AA,340)</f>
        <v>188300.028</v>
      </c>
      <c r="G46" s="1770">
        <f>$F46*IFERROR(INDEX(Lists!$AD:$AD,MATCH($E46,Lists!$AC:$AC,0)),1)</f>
        <v>188300.028</v>
      </c>
    </row>
    <row r="47">
      <c r="B47" s="1531" t="str">
        <f>INDEX('REVIEW - Complete Role Mapping'!$B:$B,342)</f>
        <v>Anie Camerino</v>
      </c>
      <c r="C47" s="1531" t="str">
        <f>INDEX('REVIEW - Complete Role Mapping'!$C:$C,342)</f>
        <v>Snr Quality Assurance</v>
      </c>
      <c r="D47" s="1531" t="str">
        <f>INDEX('REVIEW - Complete Role Mapping'!$AK:$AK,342)</f>
        <v>Filled</v>
      </c>
      <c r="E47" s="1548" t="inlineStr">
        <is>
          <t>Filled</t>
        </is>
      </c>
      <c r="F47" s="1770">
        <f>INDEX('REVIEW - Complete Role Mapping'!$AA:$AA,342)</f>
        <v>153503.328</v>
      </c>
      <c r="G47" s="1770">
        <f>$F47*IFERROR(INDEX(Lists!$AD:$AD,MATCH($E47,Lists!$AC:$AC,0)),1)</f>
        <v>153503.328</v>
      </c>
    </row>
    <row r="48">
      <c r="B48" s="1531" t="str">
        <f>INDEX('REVIEW - Complete Role Mapping'!$B:$B,351)</f>
        <v>Caitlin Dyas</v>
      </c>
      <c r="C48" s="1531" t="str">
        <f>INDEX('REVIEW - Complete Role Mapping'!$C:$C,351)</f>
        <v>Snr Engineer Software</v>
      </c>
      <c r="D48" s="1531" t="str">
        <f>INDEX('REVIEW - Complete Role Mapping'!$AK:$AK,351)</f>
        <v>Filled</v>
      </c>
      <c r="E48" s="1548" t="inlineStr">
        <is>
          <t>Filled</t>
        </is>
      </c>
      <c r="F48" s="1770">
        <f>INDEX('REVIEW - Complete Role Mapping'!$AA:$AA,351)</f>
        <v>144360</v>
      </c>
      <c r="G48" s="1770">
        <f>$F48*IFERROR(INDEX(Lists!$AD:$AD,MATCH($E48,Lists!$AC:$AC,0)),1)</f>
        <v>144360</v>
      </c>
    </row>
    <row r="49">
      <c r="B49" s="1531" t="str">
        <f>INDEX('REVIEW - Complete Role Mapping'!$B:$B,366)</f>
        <v>Gokila Mylsamy</v>
      </c>
      <c r="C49" s="1531" t="str">
        <f>INDEX('REVIEW - Complete Role Mapping'!$C:$C,366)</f>
        <v>Lead Engineer Software</v>
      </c>
      <c r="D49" s="1531" t="str">
        <f>INDEX('REVIEW - Complete Role Mapping'!$AK:$AK,366)</f>
        <v>Filled</v>
      </c>
      <c r="E49" s="1548" t="inlineStr">
        <is>
          <t>Filled</t>
        </is>
      </c>
      <c r="F49" s="1770">
        <f>INDEX('REVIEW - Complete Role Mapping'!$AA:$AA,366)</f>
        <v>184214.952</v>
      </c>
      <c r="G49" s="1770">
        <f>$F49*IFERROR(INDEX(Lists!$AD:$AD,MATCH($E49,Lists!$AC:$AC,0)),1)</f>
        <v>184214.952</v>
      </c>
    </row>
    <row r="50">
      <c r="B50" s="1531" t="str">
        <f>INDEX('REVIEW - Complete Role Mapping'!$B:$B,377)</f>
        <v>Josh Campbell</v>
      </c>
      <c r="C50" s="1531" t="str">
        <f>INDEX('REVIEW - Complete Role Mapping'!$C:$C,377)</f>
        <v>Engineer Software</v>
      </c>
      <c r="D50" s="1531" t="str">
        <f>INDEX('REVIEW - Complete Role Mapping'!$AK:$AK,377)</f>
        <v>Filled</v>
      </c>
      <c r="E50" s="1548" t="inlineStr">
        <is>
          <t>Filled</t>
        </is>
      </c>
      <c r="F50" s="1770">
        <f>INDEX('REVIEW - Complete Role Mapping'!$AA:$AA,377)</f>
        <v>101667.032</v>
      </c>
      <c r="G50" s="1770">
        <f>$F50*IFERROR(INDEX(Lists!$AD:$AD,MATCH($E50,Lists!$AC:$AC,0)),1)</f>
        <v>101667.032</v>
      </c>
    </row>
    <row r="51">
      <c r="B51" s="1531" t="str">
        <f>INDEX('REVIEW - Complete Role Mapping'!$B:$B,382)</f>
        <v>Lana Wagner</v>
      </c>
      <c r="C51" s="1531" t="str">
        <f>INDEX('REVIEW - Complete Role Mapping'!$C:$C,382)</f>
        <v>Senior Business Analyst</v>
      </c>
      <c r="D51" s="1531" t="str">
        <f>INDEX('REVIEW - Complete Role Mapping'!$AK:$AK,382)</f>
        <v>Filled</v>
      </c>
      <c r="E51" s="1548" t="inlineStr">
        <is>
          <t>Filled</t>
        </is>
      </c>
      <c r="F51" s="1770">
        <f>INDEX('REVIEW - Complete Role Mapping'!$AA:$AA,382)</f>
        <v>158753.952</v>
      </c>
      <c r="G51" s="1770">
        <f>$F51*IFERROR(INDEX(Lists!$AD:$AD,MATCH($E51,Lists!$AC:$AC,0)),1)</f>
        <v>158753.952</v>
      </c>
    </row>
    <row r="52">
      <c r="B52" s="1530" t="inlineStr">
        <is>
          <t>Energy</t>
        </is>
      </c>
      <c r="C52" s="1530" t="str">
        <f>COUNTA($B$53:$B$61)&amp;IF(COUNTA($B$53:$B$61)=1," role"," roles")</f>
        <v>9 roles</v>
      </c>
      <c r="D52" s="1530" t="n"/>
      <c r="E52" s="1530" t="n"/>
      <c r="F52" s="1786">
        <f>SUM(F53:F61)</f>
        <v>1803563.966</v>
      </c>
      <c r="G52" s="1786">
        <f>SUM(G53:G61)</f>
        <v>1803563.966</v>
      </c>
    </row>
    <row r="53">
      <c r="B53" s="1531" t="str">
        <f>INDEX('REVIEW - Complete Role Mapping'!$B:$B,352)</f>
        <v>Caitlin Naylor</v>
      </c>
      <c r="C53" s="1531" t="str">
        <f>INDEX('REVIEW - Complete Role Mapping'!$C:$C,352)</f>
        <v>Associate Engineer- Software</v>
      </c>
      <c r="D53" s="1531" t="str">
        <f>INDEX('REVIEW - Complete Role Mapping'!$AK:$AK,352)</f>
        <v>Filled</v>
      </c>
      <c r="E53" s="1548" t="inlineStr">
        <is>
          <t>Filled</t>
        </is>
      </c>
      <c r="F53" s="1770">
        <f>INDEX('REVIEW - Complete Role Mapping'!$AA:$AA,352)</f>
        <v>87434.816</v>
      </c>
      <c r="G53" s="1770">
        <f>$F53*IFERROR(INDEX(Lists!$AD:$AD,MATCH($E53,Lists!$AC:$AC,0)),1)</f>
        <v>87434.816</v>
      </c>
    </row>
    <row r="54">
      <c r="B54" s="1531" t="str">
        <f>INDEX('REVIEW - Complete Role Mapping'!$B:$B,360)</f>
        <v>Elma Kurian</v>
      </c>
      <c r="C54" s="1531" t="str">
        <f>INDEX('REVIEW - Complete Role Mapping'!$C:$C,360)</f>
        <v>System Specialist</v>
      </c>
      <c r="D54" s="1531" t="str">
        <f>INDEX('REVIEW - Complete Role Mapping'!$AK:$AK,360)</f>
        <v>Filled</v>
      </c>
      <c r="E54" s="1548" t="inlineStr">
        <is>
          <t>Filled</t>
        </is>
      </c>
      <c r="F54" s="1770">
        <f>INDEX('REVIEW - Complete Role Mapping'!$AA:$AA,360)</f>
        <v>203253.75</v>
      </c>
      <c r="G54" s="1770">
        <f>$F54*IFERROR(INDEX(Lists!$AD:$AD,MATCH($E54,Lists!$AC:$AC,0)),1)</f>
        <v>203253.75</v>
      </c>
    </row>
    <row r="55">
      <c r="B55" s="1531" t="str">
        <f>INDEX('REVIEW - Complete Role Mapping'!$B:$B,367)</f>
        <v>Gunjan Vasudeva</v>
      </c>
      <c r="C55" s="1531" t="str">
        <f>INDEX('REVIEW - Complete Role Mapping'!$C:$C,367)</f>
        <v>Lead Quality Assurance</v>
      </c>
      <c r="D55" s="1531" t="str">
        <f>INDEX('REVIEW - Complete Role Mapping'!$AK:$AK,367)</f>
        <v>Filled</v>
      </c>
      <c r="E55" s="1548" t="inlineStr">
        <is>
          <t>Filled</t>
        </is>
      </c>
      <c r="F55" s="1770">
        <f>INDEX('REVIEW - Complete Role Mapping'!$AA:$AA,367)</f>
        <v>208473.6</v>
      </c>
      <c r="G55" s="1770">
        <f>$F55*IFERROR(INDEX(Lists!$AD:$AD,MATCH($E55,Lists!$AC:$AC,0)),1)</f>
        <v>208473.6</v>
      </c>
    </row>
    <row r="56">
      <c r="B56" s="1531" t="str">
        <f>INDEX('REVIEW - Complete Role Mapping'!$B:$B,371)</f>
        <v>James Hung</v>
      </c>
      <c r="C56" s="1531" t="str">
        <f>INDEX('REVIEW - Complete Role Mapping'!$C:$C,371)</f>
        <v>System Specialist</v>
      </c>
      <c r="D56" s="1531" t="str">
        <f>INDEX('REVIEW - Complete Role Mapping'!$AK:$AK,371)</f>
        <v>Filled</v>
      </c>
      <c r="E56" s="1548" t="inlineStr">
        <is>
          <t>Filled</t>
        </is>
      </c>
      <c r="F56" s="1770">
        <f>INDEX('REVIEW - Complete Role Mapping'!$AA:$AA,371)</f>
        <v>213533.25</v>
      </c>
      <c r="G56" s="1770">
        <f>$F56*IFERROR(INDEX(Lists!$AD:$AD,MATCH($E56,Lists!$AC:$AC,0)),1)</f>
        <v>213533.25</v>
      </c>
    </row>
    <row r="57">
      <c r="B57" s="1531" t="str">
        <f>INDEX('REVIEW - Complete Role Mapping'!$B:$B,388)</f>
        <v>Marcela Gonzalez</v>
      </c>
      <c r="C57" s="1531" t="str">
        <f>INDEX('REVIEW - Complete Role Mapping'!$C:$C,388)</f>
        <v>Energy Platforms Lead</v>
      </c>
      <c r="D57" s="1531" t="str">
        <f>INDEX('REVIEW - Complete Role Mapping'!$AK:$AK,388)</f>
        <v>Filled</v>
      </c>
      <c r="E57" s="1548" t="inlineStr">
        <is>
          <t>Filled</t>
        </is>
      </c>
      <c r="F57" s="1770">
        <f>INDEX('REVIEW - Complete Role Mapping'!$AA:$AA,388)</f>
        <v>250619.55</v>
      </c>
      <c r="G57" s="1770">
        <f>$F57*IFERROR(INDEX(Lists!$AD:$AD,MATCH($E57,Lists!$AC:$AC,0)),1)</f>
        <v>250619.55</v>
      </c>
    </row>
    <row r="58">
      <c r="B58" s="1531" t="str">
        <f>INDEX('REVIEW - Complete Role Mapping'!$B:$B,416)</f>
        <v>Vacant</v>
      </c>
      <c r="C58" s="1531" t="str">
        <f>INDEX('REVIEW - Complete Role Mapping'!$C:$C,416)</f>
        <v>Engineer Automation - Testing</v>
      </c>
      <c r="D58" s="1531" t="str">
        <f>INDEX('REVIEW - Complete Role Mapping'!$AK:$AK,416)</f>
        <v>Vacant</v>
      </c>
      <c r="E58" s="1548" t="inlineStr">
        <is>
          <t>Hire</t>
        </is>
      </c>
      <c r="F58" s="1770">
        <f>INDEX('REVIEW - Complete Role Mapping'!$AA:$AA,416)</f>
        <v>202853.25</v>
      </c>
      <c r="G58" s="1770">
        <f>$F58*IFERROR(INDEX(Lists!$AD:$AD,MATCH($E58,Lists!$AC:$AC,0)),1)</f>
        <v>202853.25</v>
      </c>
    </row>
    <row r="59">
      <c r="B59" s="1531" t="str">
        <f>INDEX('REVIEW - Complete Role Mapping'!$B:$B,417)</f>
        <v>Vacant</v>
      </c>
      <c r="C59" s="1531" t="str">
        <f>INDEX('REVIEW - Complete Role Mapping'!$C:$C,417)</f>
        <v>Snr Engineer Software</v>
      </c>
      <c r="D59" s="1531" t="str">
        <f>INDEX('REVIEW - Complete Role Mapping'!$AK:$AK,417)</f>
        <v>Vacant</v>
      </c>
      <c r="E59" s="1548" t="inlineStr">
        <is>
          <t>Hire</t>
        </is>
      </c>
      <c r="F59" s="1770">
        <f>INDEX('REVIEW - Complete Role Mapping'!$AA:$AA,417)</f>
        <v>202853.25</v>
      </c>
      <c r="G59" s="1770">
        <f>$F59*IFERROR(INDEX(Lists!$AD:$AD,MATCH($E59,Lists!$AC:$AC,0)),1)</f>
        <v>202853.25</v>
      </c>
    </row>
    <row r="60">
      <c r="B60" s="1531" t="str">
        <f>INDEX('REVIEW - Complete Role Mapping'!$B:$B,418)</f>
        <v>Vacant</v>
      </c>
      <c r="C60" s="1531" t="str">
        <f>INDEX('REVIEW - Complete Role Mapping'!$C:$C,418)</f>
        <v>Solution Architect</v>
      </c>
      <c r="D60" s="1531" t="str">
        <f>INDEX('REVIEW - Complete Role Mapping'!$AK:$AK,418)</f>
        <v>Vacant</v>
      </c>
      <c r="E60" s="1548" t="inlineStr">
        <is>
          <t>Hire</t>
        </is>
      </c>
      <c r="F60" s="1770">
        <f>INDEX('REVIEW - Complete Role Mapping'!$AA:$AA,418)</f>
        <v>231689.25</v>
      </c>
      <c r="G60" s="1770">
        <f>$F60*IFERROR(INDEX(Lists!$AD:$AD,MATCH($E60,Lists!$AC:$AC,0)),1)</f>
        <v>231689.25</v>
      </c>
    </row>
    <row r="61">
      <c r="B61" s="1531" t="str">
        <f>INDEX('REVIEW - Complete Role Mapping'!$B:$B,439)</f>
        <v>Vacant</v>
      </c>
      <c r="C61" s="1531" t="str">
        <f>INDEX('REVIEW - Complete Role Mapping'!$C:$C,439)</f>
        <v>Business Analyst</v>
      </c>
      <c r="D61" s="1531" t="str">
        <f>INDEX('REVIEW - Complete Role Mapping'!$AK:$AK,439)</f>
        <v>Vacant</v>
      </c>
      <c r="E61" s="1548" t="inlineStr">
        <is>
          <t>Hire</t>
        </is>
      </c>
      <c r="F61" s="1770">
        <f>INDEX('REVIEW - Complete Role Mapping'!$AA:$AA,439)</f>
        <v>202853.25</v>
      </c>
      <c r="G61" s="1770">
        <f>$F61*IFERROR(INDEX(Lists!$AD:$AD,MATCH($E61,Lists!$AC:$AC,0)),1)</f>
        <v>202853.25</v>
      </c>
    </row>
    <row r="62">
      <c r="B62" s="1530" t="inlineStr">
        <is>
          <t>Head of Technology</t>
        </is>
      </c>
      <c r="C62" s="1530" t="str">
        <f>COUNTA($B$63:$B$63)&amp;IF(COUNTA($B$63:$B$63)=1," role"," roles")</f>
        <v>1 role</v>
      </c>
      <c r="D62" s="1530" t="n"/>
      <c r="E62" s="1530" t="n"/>
      <c r="F62" s="1786">
        <f>SUM(F63:F63)</f>
        <v>273758</v>
      </c>
      <c r="G62" s="1786">
        <f>SUM(G63:G63)</f>
        <v>273758</v>
      </c>
    </row>
    <row r="63">
      <c r="B63" s="1531" t="str">
        <f>INDEX('REVIEW - Complete Role Mapping'!$B:$B,385)</f>
        <v>Liesl Tye</v>
      </c>
      <c r="C63" s="1531" t="str">
        <f>INDEX('REVIEW - Complete Role Mapping'!$C:$C,385)</f>
        <v>Head of Technology, B2B &amp; Energy Solutions</v>
      </c>
      <c r="D63" s="1531" t="str">
        <f>INDEX('REVIEW - Complete Role Mapping'!$AK:$AK,385)</f>
        <v>Filled</v>
      </c>
      <c r="E63" s="1548" t="inlineStr">
        <is>
          <t>Filled</t>
        </is>
      </c>
      <c r="F63" s="1770">
        <f>INDEX('REVIEW - Complete Role Mapping'!$AA:$AA,385)</f>
        <v>273758</v>
      </c>
      <c r="G63" s="1770">
        <f>$F63*IFERROR(INDEX(Lists!$AD:$AD,MATCH($E63,Lists!$AC:$AC,0)),1)</f>
        <v>273758</v>
      </c>
    </row>
    <row r="64">
      <c r="B64" s="1530" t="inlineStr">
        <is>
          <t>Delivery Manager</t>
        </is>
      </c>
      <c r="C64" s="1530" t="str">
        <f>COUNTA($B$65:$B$65)&amp;IF(COUNTA($B$65:$B$65)=1," role"," roles")</f>
        <v>1 role</v>
      </c>
      <c r="D64" s="1530" t="n"/>
      <c r="E64" s="1530" t="n"/>
      <c r="F64" s="1786">
        <f>SUM(F65:F65)</f>
        <v>275810.25</v>
      </c>
      <c r="G64" s="1786">
        <f>SUM(G65:G65)</f>
        <v>275810.25</v>
      </c>
    </row>
    <row r="65">
      <c r="B65" s="1531" t="str">
        <f>INDEX('REVIEW - Complete Role Mapping'!$B:$B,414)</f>
        <v>Vacant</v>
      </c>
      <c r="C65" s="1531" t="str">
        <f>INDEX('REVIEW - Complete Role Mapping'!$C:$C,414)</f>
        <v>Delivery manager</v>
      </c>
      <c r="D65" s="1531" t="str">
        <f>INDEX('REVIEW - Complete Role Mapping'!$AK:$AK,414)</f>
        <v>Vacant</v>
      </c>
      <c r="E65" s="1548" t="inlineStr">
        <is>
          <t>Hire</t>
        </is>
      </c>
      <c r="F65" s="1770">
        <f>INDEX('REVIEW - Complete Role Mapping'!$AA:$AA,414)</f>
        <v>275810.25</v>
      </c>
      <c r="G65" s="1770">
        <f>$F65*IFERROR(INDEX(Lists!$AD:$AD,MATCH($E65,Lists!$AC:$AC,0)),1)</f>
        <v>275810.25</v>
      </c>
    </row>
    <row r="66">
      <c r="B66" s="1530" t="inlineStr">
        <is>
          <t>Technology Manager</t>
        </is>
      </c>
      <c r="C66" s="1530" t="str">
        <f>COUNTA($B$67:$B$68)&amp;IF(COUNTA($B$67:$B$68)=1," role"," roles")</f>
        <v>2 roles</v>
      </c>
      <c r="D66" s="1530" t="n"/>
      <c r="E66" s="1530" t="n"/>
      <c r="F66" s="1786">
        <f>SUM(F67:F68)</f>
        <v>570373.7</v>
      </c>
      <c r="G66" s="1786">
        <f>SUM(G67:G68)</f>
        <v>570373.7</v>
      </c>
    </row>
    <row r="67">
      <c r="B67" s="1531" t="str">
        <f>INDEX('REVIEW - Complete Role Mapping'!$B:$B,359)</f>
        <v>Elle Spencer</v>
      </c>
      <c r="C67" s="1531" t="str">
        <f>INDEX('REVIEW - Complete Role Mapping'!$C:$C,359)</f>
        <v>Technology Manager - B2B</v>
      </c>
      <c r="D67" s="1531" t="str">
        <f>INDEX('REVIEW - Complete Role Mapping'!$AK:$AK,359)</f>
        <v>Filled</v>
      </c>
      <c r="E67" s="1548" t="inlineStr">
        <is>
          <t>Filled</t>
        </is>
      </c>
      <c r="F67" s="1770">
        <f>INDEX('REVIEW - Complete Role Mapping'!$AA:$AA,359)</f>
        <v>294563.45</v>
      </c>
      <c r="G67" s="1770">
        <f>$F67*IFERROR(INDEX(Lists!$AD:$AD,MATCH($E67,Lists!$AC:$AC,0)),1)</f>
        <v>294563.45</v>
      </c>
    </row>
    <row r="68">
      <c r="B68" s="1531" t="str">
        <f>INDEX('REVIEW - Complete Role Mapping'!$B:$B,415)</f>
        <v>Vacant</v>
      </c>
      <c r="C68" s="1531" t="str">
        <f>INDEX('REVIEW - Complete Role Mapping'!$C:$C,415)</f>
        <v>Technology Manager, Energy Solutions</v>
      </c>
      <c r="D68" s="1531" t="str">
        <f>INDEX('REVIEW - Complete Role Mapping'!$AK:$AK,415)</f>
        <v>Vacant</v>
      </c>
      <c r="E68" s="1548" t="inlineStr">
        <is>
          <t>Hire</t>
        </is>
      </c>
      <c r="F68" s="1770">
        <f>INDEX('REVIEW - Complete Role Mapping'!$AA:$AA,415)</f>
        <v>275810.25</v>
      </c>
      <c r="G68" s="1770">
        <f>$F68*IFERROR(INDEX(Lists!$AD:$AD,MATCH($E68,Lists!$AC:$AC,0)),1)</f>
        <v>275810.25</v>
      </c>
    </row>
  </sheetData>
  <dataValidations count="1">
    <dataValidation sqref="E31 E32 E33 E34 E35 E36 E37 E38 E39 E40 E41 E42 E43 E44 E46 E47 E48 E49 E50 E51 E53 E54 E55 E56 E57 E58 E59 E60 E61 E63 E65 E67 E68"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31.xml><?xml version="1.0" encoding="utf-8"?>
<worksheet xmlns="http://schemas.openxmlformats.org/spreadsheetml/2006/main">
  <sheetPr filterMode="0">
    <tabColor rgb="FFBF8F00"/>
    <outlinePr summaryBelow="1" summaryRight="1"/>
    <pageSetUpPr fitToPage="1"/>
  </sheetPr>
  <dimension ref="B2:Q7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election pane="topRight" activeCell="C1" activeCellId="0" sqref="C1"/>
      <selection pane="bottomLeft" activeCell="A7" activeCellId="0" sqref="A7"/>
      <selection pane="bottomRight" activeCell="F5" activeCellId="0" sqref="F5"/>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Commercial Fuels - working copy</t>
        </is>
      </c>
    </row>
    <row r="3">
      <c r="B3" s="1525" t="inlineStr">
        <is>
          <t>Portfolio</t>
        </is>
      </c>
      <c r="C3" s="1526" t="inlineStr">
        <is>
          <t>Commercial Fuels</t>
        </is>
      </c>
    </row>
    <row r="4" ht="19" customHeight="1" s="866">
      <c r="B4" s="1527" t="inlineStr">
        <is>
          <t>Commercial Fuels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Supply</t>
        </is>
      </c>
      <c r="C8" s="1531" t="str">
        <f>IFERROR(INDEX('1.9 Commercial Fuels'!$C$24:$C$41,MATCH($B8,'1.9 Commercial Fuels'!$B$24:$B$41,0)),"Not on the 1.x tab")</f>
        <v>Configuration / Integration</v>
      </c>
      <c r="D8" s="1531" t="str">
        <f>IFERROR(IF(INDEX('1.9 Commercial Fuels'!$D$24:$D$41,MATCH($B8,'1.9 Commercial Fuels'!$B$24:$B$41,0))="","-",INDEX('1.9 Commercial Fuels'!$D$24:$D$41,MATCH($B8,'1.9 Commercial Fuels'!$B$24:$B$41,0))),"-")</f>
        <v>M</v>
      </c>
      <c r="E8" s="1783">
        <f>IFERROR(INDEX('0.3 Squad Archetypes'!$F$5:$F$23,MATCH($C8&amp;"|"&amp;$D8,'0.3 Squad Archetypes'!$A$5:$A$23,0)),"-")</f>
        <v>9</v>
      </c>
      <c r="F8" s="1770">
        <f>COUNTA($B$46:$B$50)</f>
        <v>5</v>
      </c>
      <c r="G8" s="1770">
        <f>COUNTIFS($D$46:$D$50,"Filled")</f>
        <v>1</v>
      </c>
      <c r="H8" s="1770">
        <f>COUNTIFS($D$46:$D$50,"Vacant")</f>
        <v>4</v>
      </c>
      <c r="I8" s="1770">
        <f>COUNTIFS($D$46:$D$50,"Vacant",$E$46:$E$50,"Hire")</f>
        <v>4</v>
      </c>
      <c r="J8" s="1770">
        <f>COUNTIFS($E$46:$E$50,"Offshore")</f>
        <v>0</v>
      </c>
      <c r="K8" s="1770">
        <f>COUNTIFS($E$46:$E$50,"Hold")</f>
        <v>0</v>
      </c>
      <c r="L8" s="1770">
        <f>$F8-$K8</f>
        <v>5</v>
      </c>
      <c r="M8" s="1769">
        <f>IFERROR(IF(INDEX('1.9 Commercial Fuels'!$E$24:$E$41,MATCH($B8,'1.9 Commercial Fuels'!$B$24:$B$41,0))="Offshore",INDEX('0.3 Squad Archetypes'!$H$5:$H$23,MATCH($C8&amp;"|"&amp;$D8,'0.3 Squad Archetypes'!$A$5:$A$23,0)),INDEX('0.3 Squad Archetypes'!$G$5:$G$23,MATCH($C8&amp;"|"&amp;$D8,'0.3 Squad Archetypes'!$A$5:$A$23,0))),"-")</f>
        <v>2.1</v>
      </c>
      <c r="N8" s="1769">
        <f>SUMIFS('REVIEW - Complete Role Mapping'!$AA$2:$AA$528,'REVIEW - Complete Role Mapping'!$AJ$2:$AJ$528,$C$3,'REVIEW - Complete Role Mapping'!$AT$2:$AT$528,$B8)/1000000</f>
        <v>1.05925575</v>
      </c>
      <c r="O8" s="1769">
        <f>IFERROR(ROUND($N8-$M8,6),"-")</f>
        <v>-1.040744</v>
      </c>
      <c r="P8" s="1769">
        <f>SUM($G$46:$G$50)/1000000</f>
        <v>1.05925575</v>
      </c>
      <c r="Q8" s="1769">
        <f>IFERROR(ROUND($P8-$M8,6),"-")</f>
        <v>-1.040744</v>
      </c>
    </row>
    <row r="9">
      <c r="B9" s="1531" t="inlineStr">
        <is>
          <t>Trading &amp; Shipping</t>
        </is>
      </c>
      <c r="C9" s="1531" t="str">
        <f>IFERROR(INDEX('1.9 Commercial Fuels'!$C$24:$C$41,MATCH($B9,'1.9 Commercial Fuels'!$B$24:$B$41,0)),"Not on the 1.x tab")</f>
        <v>Configuration / Integration</v>
      </c>
      <c r="D9" s="1531" t="str">
        <f>IFERROR(IF(INDEX('1.9 Commercial Fuels'!$D$24:$D$41,MATCH($B9,'1.9 Commercial Fuels'!$B$24:$B$41,0))="","-",INDEX('1.9 Commercial Fuels'!$D$24:$D$41,MATCH($B9,'1.9 Commercial Fuels'!$B$24:$B$41,0))),"-")</f>
        <v>M</v>
      </c>
      <c r="E9" s="1783">
        <f>IFERROR(INDEX('0.3 Squad Archetypes'!$F$5:$F$23,MATCH($C9&amp;"|"&amp;$D9,'0.3 Squad Archetypes'!$A$5:$A$23,0)),"-")</f>
        <v>9</v>
      </c>
      <c r="F9" s="1770">
        <f>COUNTA($B$52:$B$63)</f>
        <v>12</v>
      </c>
      <c r="G9" s="1770">
        <f>COUNTIFS($D$52:$D$63,"Filled")</f>
        <v>9</v>
      </c>
      <c r="H9" s="1770">
        <f>COUNTIFS($D$52:$D$63,"Vacant")</f>
        <v>3</v>
      </c>
      <c r="I9" s="1770">
        <f>COUNTIFS($D$52:$D$63,"Vacant",$E$52:$E$63,"Hire")</f>
        <v>3</v>
      </c>
      <c r="J9" s="1770">
        <f>COUNTIFS($E$52:$E$63,"Offshore")</f>
        <v>0</v>
      </c>
      <c r="K9" s="1770">
        <f>COUNTIFS($E$52:$E$63,"Hold")</f>
        <v>0</v>
      </c>
      <c r="L9" s="1770">
        <f>$F9-$K9</f>
        <v>12</v>
      </c>
      <c r="M9" s="1769">
        <f>IFERROR(IF(INDEX('1.9 Commercial Fuels'!$E$24:$E$41,MATCH($B9,'1.9 Commercial Fuels'!$B$24:$B$41,0))="Offshore",INDEX('0.3 Squad Archetypes'!$H$5:$H$23,MATCH($C9&amp;"|"&amp;$D9,'0.3 Squad Archetypes'!$A$5:$A$23,0)),INDEX('0.3 Squad Archetypes'!$G$5:$G$23,MATCH($C9&amp;"|"&amp;$D9,'0.3 Squad Archetypes'!$A$5:$A$23,0))),"-")</f>
        <v>2.1</v>
      </c>
      <c r="N9" s="1769">
        <f>SUMIFS('REVIEW - Complete Role Mapping'!$AA$2:$AA$528,'REVIEW - Complete Role Mapping'!$AJ$2:$AJ$528,$C$3,'REVIEW - Complete Role Mapping'!$AT$2:$AT$528,$B9)/1000000</f>
        <v>2.6791435617</v>
      </c>
      <c r="O9" s="1769">
        <f>IFERROR(ROUND($N9-$M9,6),"-")</f>
        <v>0.579144</v>
      </c>
      <c r="P9" s="1769">
        <f>SUM($G$52:$G$63)/1000000</f>
        <v>2.6791435617</v>
      </c>
      <c r="Q9" s="1769">
        <f>IFERROR(ROUND($P9-$M9,6),"-")</f>
        <v>0.579144</v>
      </c>
    </row>
    <row r="10">
      <c r="B10" s="1531" t="inlineStr">
        <is>
          <t>Trading &amp; Shipping Data</t>
        </is>
      </c>
      <c r="C10" s="1531" t="str">
        <f>IFERROR(INDEX('1.9 Commercial Fuels'!$C$24:$C$41,MATCH($B10,'1.9 Commercial Fuels'!$B$24:$B$41,0)),"Not on the 1.x tab")</f>
        <v>Enterprise Data and Insights</v>
      </c>
      <c r="D10" s="1531" t="str">
        <f>IFERROR(IF(INDEX('1.9 Commercial Fuels'!$D$24:$D$41,MATCH($B10,'1.9 Commercial Fuels'!$B$24:$B$41,0))="","-",INDEX('1.9 Commercial Fuels'!$D$24:$D$41,MATCH($B10,'1.9 Commercial Fuels'!$B$24:$B$41,0))),"-")</f>
        <v>M</v>
      </c>
      <c r="E10" s="1783">
        <f>IFERROR(INDEX('0.3 Squad Archetypes'!$F$5:$F$23,MATCH($C10&amp;"|"&amp;$D10,'0.3 Squad Archetypes'!$A$5:$A$23,0)),"-")</f>
        <v>7.5</v>
      </c>
      <c r="F10" s="1770">
        <f>COUNTA($B$65:$B$71)</f>
        <v>7</v>
      </c>
      <c r="G10" s="1770">
        <f>COUNTIFS($D$65:$D$71,"Filled")</f>
        <v>7</v>
      </c>
      <c r="H10" s="1770">
        <f>COUNTIFS($D$65:$D$71,"Vacant")</f>
        <v>0</v>
      </c>
      <c r="I10" s="1770">
        <f>COUNTIFS($D$65:$D$71,"Vacant",$E$65:$E$71,"Hire")</f>
        <v>0</v>
      </c>
      <c r="J10" s="1770">
        <f>COUNTIFS($E$65:$E$71,"Offshore")</f>
        <v>0</v>
      </c>
      <c r="K10" s="1770">
        <f>COUNTIFS($E$65:$E$71,"Hold")</f>
        <v>0</v>
      </c>
      <c r="L10" s="1770">
        <f>$F10-$K10</f>
        <v>7</v>
      </c>
      <c r="M10" s="1769">
        <f>IFERROR(IF(INDEX('1.9 Commercial Fuels'!$E$24:$E$41,MATCH($B10,'1.9 Commercial Fuels'!$B$24:$B$41,0))="Offshore",INDEX('0.3 Squad Archetypes'!$H$5:$H$23,MATCH($C10&amp;"|"&amp;$D10,'0.3 Squad Archetypes'!$A$5:$A$23,0)),INDEX('0.3 Squad Archetypes'!$G$5:$G$23,MATCH($C10&amp;"|"&amp;$D10,'0.3 Squad Archetypes'!$A$5:$A$23,0))),"-")</f>
        <v>0.68</v>
      </c>
      <c r="N10" s="1769">
        <f>SUMIFS('REVIEW - Complete Role Mapping'!$AA$2:$AA$528,'REVIEW - Complete Role Mapping'!$AJ$2:$AJ$528,$C$3,'REVIEW - Complete Role Mapping'!$AT$2:$AT$528,$B10)/1000000</f>
        <v>2.106168849</v>
      </c>
      <c r="O10" s="1769">
        <f>IFERROR(ROUND($N10-$M10,6),"-")</f>
        <v>1.426169</v>
      </c>
      <c r="P10" s="1769">
        <f>SUM($G$65:$G$71)/1000000</f>
        <v>2.106168849</v>
      </c>
      <c r="Q10" s="1769">
        <f>IFERROR(ROUND($P10-$M10,6),"-")</f>
        <v>1.426169</v>
      </c>
    </row>
    <row r="11">
      <c r="B11" s="1535" t="inlineStr">
        <is>
          <t>Squads priced by an archetype total</t>
        </is>
      </c>
      <c r="C11" s="1535" t="n"/>
      <c r="D11" s="1535" t="n"/>
      <c r="E11" s="1784">
        <f>SUM(E8:E10)</f>
        <v>25.5</v>
      </c>
      <c r="F11" s="1772">
        <f>SUM(F8:F10)</f>
        <v>24</v>
      </c>
      <c r="G11" s="1772">
        <f>SUM(G8:G10)</f>
        <v>17</v>
      </c>
      <c r="H11" s="1772">
        <f>SUM(H8:H10)</f>
        <v>7</v>
      </c>
      <c r="I11" s="1772">
        <f>SUM(I8:I10)</f>
        <v>7</v>
      </c>
      <c r="J11" s="1772">
        <f>SUM(J8:J10)</f>
        <v>0</v>
      </c>
      <c r="K11" s="1772">
        <f>SUM(K8:K10)</f>
        <v>0</v>
      </c>
      <c r="L11" s="1772">
        <f>SUM(L8:L10)</f>
        <v>24</v>
      </c>
      <c r="M11" s="1771">
        <f>IF(COUNT(M8:M10)=3,SUM(M8:M10),"-")</f>
        <v>4.88</v>
      </c>
      <c r="N11" s="1771">
        <f>SUM(N8:N10)</f>
        <v>5.8445681607</v>
      </c>
      <c r="O11" s="1771">
        <f>IF(ISNUMBER($M11),ROUND($N11-$M11,6),"-")</f>
        <v>0.964568</v>
      </c>
      <c r="P11" s="1771">
        <f>SUM(P8:P10)</f>
        <v>5.8445681607</v>
      </c>
      <c r="Q11" s="1771">
        <f>IF(ISNUMBER($M11),ROUND($P11-$M11,6),"-")</f>
        <v>0.964568</v>
      </c>
    </row>
    <row r="12">
      <c r="B12" s="1530" t="inlineStr">
        <is>
          <t>Directly funded programmes and platforms</t>
        </is>
      </c>
      <c r="C12" s="1530" t="n"/>
      <c r="D12" s="1530" t="n"/>
      <c r="E12" s="1530" t="n"/>
      <c r="F12" s="1530" t="n"/>
      <c r="G12" s="1530" t="n"/>
      <c r="H12" s="1530" t="n"/>
      <c r="I12" s="1530" t="n"/>
      <c r="J12" s="1530" t="n"/>
      <c r="K12" s="1530" t="n"/>
      <c r="L12" s="1530" t="n"/>
      <c r="M12" s="1530" t="n"/>
      <c r="N12" s="1530" t="n"/>
      <c r="O12" s="1530" t="n"/>
      <c r="P12" s="1530" t="n"/>
      <c r="Q12" s="1530" t="n"/>
    </row>
    <row r="13">
      <c r="B13" s="1531" t="inlineStr">
        <is>
          <t>CTRM</t>
        </is>
      </c>
      <c r="C13" s="1531" t="str">
        <f>IFERROR(INDEX('1.9 Commercial Fuels'!$C$24:$C$41,MATCH($B13,'1.9 Commercial Fuels'!$B$24:$B$41,0)),"Not on the 1.x tab")</f>
        <v>Strategic Programs</v>
      </c>
      <c r="D13" s="1531" t="str">
        <f>IFERROR(IF(INDEX('1.9 Commercial Fuels'!$D$24:$D$41,MATCH($B13,'1.9 Commercial Fuels'!$B$24:$B$41,0))="","-",INDEX('1.9 Commercial Fuels'!$D$24:$D$41,MATCH($B13,'1.9 Commercial Fuels'!$B$24:$B$41,0))),"-")</f>
        <v>-</v>
      </c>
      <c r="E13" s="1783" t="str">
        <f>"-"</f>
        <v>-</v>
      </c>
      <c r="F13" s="1770">
        <f>COUNTA($B$31:$B$44)</f>
        <v>14</v>
      </c>
      <c r="G13" s="1770">
        <f>COUNTIFS($D$31:$D$44,"Filled")</f>
        <v>14</v>
      </c>
      <c r="H13" s="1770">
        <f>COUNTIFS($D$31:$D$44,"Vacant")</f>
        <v>0</v>
      </c>
      <c r="I13" s="1770">
        <f>COUNTIFS($D$31:$D$44,"Vacant",$E$31:$E$44,"Hire")</f>
        <v>0</v>
      </c>
      <c r="J13" s="1770">
        <f>COUNTIFS($E$31:$E$44,"Offshore")</f>
        <v>0</v>
      </c>
      <c r="K13" s="1770">
        <f>COUNTIFS($E$31:$E$44,"Hold")</f>
        <v>0</v>
      </c>
      <c r="L13" s="1770">
        <f>$F13-$K13</f>
        <v>14</v>
      </c>
      <c r="M13" s="1769">
        <f>IFERROR(IF(N(INDEX('1.9 Commercial Fuels'!$H$24:$H$41,MATCH($B13,'1.9 Commercial Fuels'!$B$24:$B$41,0)))=0,"-",INDEX('1.9 Commercial Fuels'!$H$24:$H$41,MATCH($B13,'1.9 Commercial Fuels'!$B$24:$B$41,0))),"-")</f>
        <v>3.8</v>
      </c>
      <c r="N13" s="1769">
        <f>SUMIFS('REVIEW - Complete Role Mapping'!$AA$2:$AA$528,'REVIEW - Complete Role Mapping'!$AJ$2:$AJ$528,$C$3,'REVIEW - Complete Role Mapping'!$AT$2:$AT$528,$B13)/1000000</f>
        <v>3.221759232</v>
      </c>
      <c r="O13" s="1769">
        <f>IFERROR(ROUND($N13-$M13,6),"-")</f>
        <v>-0.578241</v>
      </c>
      <c r="P13" s="1769">
        <f>SUM($G$31:$G$44)/1000000</f>
        <v>3.221759232</v>
      </c>
      <c r="Q13" s="1769">
        <f>IFERROR(ROUND($P13-$M13,6),"-")</f>
        <v>-0.578241</v>
      </c>
    </row>
    <row r="14">
      <c r="B14" s="1535" t="inlineStr">
        <is>
          <t>Directly funded programmes and platforms total</t>
        </is>
      </c>
      <c r="C14" s="1535" t="n"/>
      <c r="D14" s="1535" t="n"/>
      <c r="E14" s="1784">
        <f>SUM(E13:E13)</f>
        <v>0</v>
      </c>
      <c r="F14" s="1772">
        <f>SUM(F13:F13)</f>
        <v>14</v>
      </c>
      <c r="G14" s="1772">
        <f>SUM(G13:G13)</f>
        <v>14</v>
      </c>
      <c r="H14" s="1772">
        <f>SUM(H13:H13)</f>
        <v>0</v>
      </c>
      <c r="I14" s="1772">
        <f>SUM(I13:I13)</f>
        <v>0</v>
      </c>
      <c r="J14" s="1772">
        <f>SUM(J13:J13)</f>
        <v>0</v>
      </c>
      <c r="K14" s="1772">
        <f>SUM(K13:K13)</f>
        <v>0</v>
      </c>
      <c r="L14" s="1772">
        <f>SUM(L13:L13)</f>
        <v>14</v>
      </c>
      <c r="M14" s="1771">
        <f>IF(COUNT(M13:M13)=1,SUM(M13:M13),"-")</f>
        <v>3.8</v>
      </c>
      <c r="N14" s="1771">
        <f>SUM(N13:N13)</f>
        <v>3.221759232</v>
      </c>
      <c r="O14" s="1771">
        <f>IF(ISNUMBER($M14),ROUND($N14-$M14,6),"-")</f>
        <v>-0.578241</v>
      </c>
      <c r="P14" s="1771">
        <f>SUM(P13:P13)</f>
        <v>3.221759232</v>
      </c>
      <c r="Q14" s="1771">
        <f>IF(ISNUMBER($M14),ROUND($P14-$M14,6),"-")</f>
        <v>-0.578241</v>
      </c>
    </row>
    <row r="15">
      <c r="B15" s="1530" t="inlineStr">
        <is>
          <t>Groups with no archetype and no funded figure</t>
        </is>
      </c>
      <c r="C15" s="1530" t="n"/>
      <c r="D15" s="1530" t="n"/>
      <c r="E15" s="1530" t="n"/>
      <c r="F15" s="1530" t="n"/>
      <c r="G15" s="1530" t="n"/>
      <c r="H15" s="1530" t="n"/>
      <c r="I15" s="1530" t="n"/>
      <c r="J15" s="1530" t="n"/>
      <c r="K15" s="1530" t="n"/>
      <c r="L15" s="1530" t="n"/>
      <c r="M15" s="1530" t="n"/>
      <c r="N15" s="1530" t="n"/>
      <c r="O15" s="1530" t="n"/>
      <c r="P15" s="1530" t="n"/>
      <c r="Q15" s="1530" t="n"/>
    </row>
    <row r="16">
      <c r="B16" s="1531" t="inlineStr">
        <is>
          <t>None</t>
        </is>
      </c>
      <c r="C16" s="1531" t="inlineStr">
        <is>
          <t>None - every group here has a figure to compare</t>
        </is>
      </c>
      <c r="D16" s="1539" t="str">
        <f>"-"</f>
        <v>-</v>
      </c>
      <c r="E16" s="1539" t="str">
        <f>"-"</f>
        <v>-</v>
      </c>
      <c r="F16" s="1539" t="str">
        <f>"-"</f>
        <v>-</v>
      </c>
      <c r="G16" s="1539" t="str">
        <f>"-"</f>
        <v>-</v>
      </c>
      <c r="H16" s="1539" t="str">
        <f>"-"</f>
        <v>-</v>
      </c>
      <c r="I16" s="1539" t="str">
        <f>"-"</f>
        <v>-</v>
      </c>
      <c r="J16" s="1539" t="str">
        <f>"-"</f>
        <v>-</v>
      </c>
      <c r="K16" s="1539" t="str">
        <f>"-"</f>
        <v>-</v>
      </c>
      <c r="L16" s="1539" t="str">
        <f>"-"</f>
        <v>-</v>
      </c>
      <c r="M16" s="1539" t="str">
        <f>"-"</f>
        <v>-</v>
      </c>
      <c r="N16" s="1539" t="str">
        <f>"-"</f>
        <v>-</v>
      </c>
      <c r="O16" s="1539" t="str">
        <f>"-"</f>
        <v>-</v>
      </c>
      <c r="P16" s="1539" t="str">
        <f>"-"</f>
        <v>-</v>
      </c>
      <c r="Q16" s="1539" t="str">
        <f>"-"</f>
        <v>-</v>
      </c>
    </row>
    <row r="17">
      <c r="B17" s="1535" t="inlineStr">
        <is>
          <t>Groups with no archetype and no funded figure total</t>
        </is>
      </c>
      <c r="C17" s="1535" t="n"/>
      <c r="D17" s="1535" t="n"/>
      <c r="E17" s="1784">
        <f>SUM(E16:E16)</f>
        <v>0</v>
      </c>
      <c r="F17" s="1772">
        <f>SUM(F16:F16)</f>
        <v>0</v>
      </c>
      <c r="G17" s="1772">
        <f>SUM(G16:G16)</f>
        <v>0</v>
      </c>
      <c r="H17" s="1772">
        <f>SUM(H16:H16)</f>
        <v>0</v>
      </c>
      <c r="I17" s="1772">
        <f>SUM(I16:I16)</f>
        <v>0</v>
      </c>
      <c r="J17" s="1772">
        <f>SUM(J16:J16)</f>
        <v>0</v>
      </c>
      <c r="K17" s="1772">
        <f>SUM(K16:K16)</f>
        <v>0</v>
      </c>
      <c r="L17" s="1772">
        <f>SUM(L16:L16)</f>
        <v>0</v>
      </c>
      <c r="M17" s="1771" t="str">
        <f>IF(COUNT(M16:M16)=1,SUM(M16:M16),"-")</f>
        <v>-</v>
      </c>
      <c r="N17" s="1771">
        <f>SUM(N16:N16)</f>
        <v>0</v>
      </c>
      <c r="O17" s="1771" t="str">
        <f>IF(ISNUMBER($M17),ROUND($N17-$M17,6),"-")</f>
        <v>-</v>
      </c>
      <c r="P17" s="1771">
        <f>SUM(P16:P16)</f>
        <v>0</v>
      </c>
      <c r="Q17" s="1771" t="str">
        <f>IF(ISNUMBER($M17),ROUND($P17-$M17,6),"-")</f>
        <v>-</v>
      </c>
    </row>
    <row r="18">
      <c r="B18" s="1530" t="inlineStr">
        <is>
          <t>Overhead roles</t>
        </is>
      </c>
      <c r="C18" s="1530" t="n"/>
      <c r="D18" s="1530" t="n"/>
      <c r="E18" s="1530" t="n"/>
      <c r="F18" s="1530" t="n"/>
      <c r="G18" s="1530" t="n"/>
      <c r="H18" s="1530" t="n"/>
      <c r="I18" s="1530" t="n"/>
      <c r="J18" s="1530" t="n"/>
      <c r="K18" s="1530" t="n"/>
      <c r="L18" s="1530" t="n"/>
      <c r="M18" s="1530" t="n"/>
      <c r="N18" s="1530" t="n"/>
      <c r="O18" s="1530" t="n"/>
      <c r="P18" s="1530" t="n"/>
      <c r="Q18" s="1530" t="n"/>
    </row>
    <row r="19">
      <c r="B19" s="1531" t="inlineStr">
        <is>
          <t>Head of Technology</t>
        </is>
      </c>
      <c r="C19" s="1531" t="str">
        <f>"-"</f>
        <v>-</v>
      </c>
      <c r="D19" s="1531" t="str">
        <f>"-"</f>
        <v>-</v>
      </c>
      <c r="E19" s="1540" t="str">
        <f>"-"</f>
        <v>-</v>
      </c>
      <c r="F19" s="1770">
        <f>COUNTA($B$73:$B$73)</f>
        <v>1</v>
      </c>
      <c r="G19" s="1770">
        <f>COUNTIFS($D$73:$D$73,"Filled")</f>
        <v>1</v>
      </c>
      <c r="H19" s="1770">
        <f>COUNTIFS($D$73:$D$73,"Vacant")</f>
        <v>0</v>
      </c>
      <c r="I19" s="1770">
        <f>COUNTIFS($D$73:$D$73,"Vacant",$E$73:$E$73,"Hire")</f>
        <v>0</v>
      </c>
      <c r="J19" s="1770">
        <f>COUNTIFS($E$73:$E$73,"Offshore")</f>
        <v>0</v>
      </c>
      <c r="K19" s="1770">
        <f>COUNTIFS($E$73:$E$73,"Hold")</f>
        <v>0</v>
      </c>
      <c r="L19" s="1770">
        <f>$F19-$K19</f>
        <v>1</v>
      </c>
      <c r="M19" s="1540" t="str">
        <f>"-"</f>
        <v>-</v>
      </c>
      <c r="N19" s="1769">
        <f>SUMIFS('REVIEW - Complete Role Mapping'!$AA$2:$AA$528,'REVIEW - Complete Role Mapping'!$AJ$2:$AJ$528,$C$3,'REVIEW - Complete Role Mapping'!$AT$2:$AT$528,$B19)/1000000</f>
        <v>0.292434736</v>
      </c>
      <c r="O19" s="1540" t="str">
        <f>"-"</f>
        <v>-</v>
      </c>
      <c r="P19" s="1769">
        <f>SUM($G$73:$G$73)/1000000</f>
        <v>0.292434736</v>
      </c>
      <c r="Q19" s="1540" t="str">
        <f>"-"</f>
        <v>-</v>
      </c>
    </row>
    <row r="20">
      <c r="B20" s="1531" t="inlineStr">
        <is>
          <t>Delivery Manager</t>
        </is>
      </c>
      <c r="C20" s="1531" t="str">
        <f>"-"</f>
        <v>-</v>
      </c>
      <c r="D20" s="1531" t="str">
        <f>"-"</f>
        <v>-</v>
      </c>
      <c r="E20" s="1540" t="str">
        <f>"-"</f>
        <v>-</v>
      </c>
      <c r="F20" s="1770">
        <f>COUNTA($B$75:$B$75)</f>
        <v>1</v>
      </c>
      <c r="G20" s="1770">
        <f>COUNTIFS($D$75:$D$75,"Filled")</f>
        <v>0</v>
      </c>
      <c r="H20" s="1770">
        <f>COUNTIFS($D$75:$D$75,"Vacant")</f>
        <v>1</v>
      </c>
      <c r="I20" s="1770">
        <f>COUNTIFS($D$75:$D$75,"Vacant",$E$75:$E$75,"Hire")</f>
        <v>1</v>
      </c>
      <c r="J20" s="1770">
        <f>COUNTIFS($E$75:$E$75,"Offshore")</f>
        <v>0</v>
      </c>
      <c r="K20" s="1770">
        <f>COUNTIFS($E$75:$E$75,"Hold")</f>
        <v>0</v>
      </c>
      <c r="L20" s="1770">
        <f>$F20-$K20</f>
        <v>1</v>
      </c>
      <c r="M20" s="1540" t="str">
        <f>"-"</f>
        <v>-</v>
      </c>
      <c r="N20" s="1769">
        <f>SUMIFS('REVIEW - Complete Role Mapping'!$AA$2:$AA$528,'REVIEW - Complete Role Mapping'!$AJ$2:$AJ$528,$C$3,'REVIEW - Complete Role Mapping'!$AT$2:$AT$528,$B20)/1000000</f>
        <v>0.27581025</v>
      </c>
      <c r="O20" s="1540" t="str">
        <f>"-"</f>
        <v>-</v>
      </c>
      <c r="P20" s="1769">
        <f>SUM($G$75:$G$75)/1000000</f>
        <v>0.27581025</v>
      </c>
      <c r="Q20" s="1540" t="str">
        <f>"-"</f>
        <v>-</v>
      </c>
    </row>
    <row r="21">
      <c r="B21" s="1531" t="inlineStr">
        <is>
          <t>Technology Manager</t>
        </is>
      </c>
      <c r="C21" s="1531" t="str">
        <f>"-"</f>
        <v>-</v>
      </c>
      <c r="D21" s="1531" t="str">
        <f>"-"</f>
        <v>-</v>
      </c>
      <c r="E21" s="1540" t="str">
        <f>"-"</f>
        <v>-</v>
      </c>
      <c r="F21" s="1770">
        <f>COUNTA($B$77:$B$78)</f>
        <v>2</v>
      </c>
      <c r="G21" s="1770">
        <f>COUNTIFS($D$77:$D$78,"Filled")</f>
        <v>1</v>
      </c>
      <c r="H21" s="1770">
        <f>COUNTIFS($D$77:$D$78,"Vacant")</f>
        <v>1</v>
      </c>
      <c r="I21" s="1770">
        <f>COUNTIFS($D$77:$D$78,"Vacant",$E$77:$E$78,"Hire")</f>
        <v>1</v>
      </c>
      <c r="J21" s="1770">
        <f>COUNTIFS($E$77:$E$78,"Offshore")</f>
        <v>0</v>
      </c>
      <c r="K21" s="1770">
        <f>COUNTIFS($E$77:$E$78,"Hold")</f>
        <v>0</v>
      </c>
      <c r="L21" s="1770">
        <f>$F21-$K21</f>
        <v>2</v>
      </c>
      <c r="M21" s="1540" t="str">
        <f>"-"</f>
        <v>-</v>
      </c>
      <c r="N21" s="1769">
        <f>SUMIFS('REVIEW - Complete Role Mapping'!$AA$2:$AA$528,'REVIEW - Complete Role Mapping'!$AJ$2:$AJ$528,$C$3,'REVIEW - Complete Role Mapping'!$AT$2:$AT$528,$B21)/1000000</f>
        <v>0.56309735</v>
      </c>
      <c r="O21" s="1540" t="str">
        <f>"-"</f>
        <v>-</v>
      </c>
      <c r="P21" s="1769">
        <f>SUM($G$77:$G$78)/1000000</f>
        <v>0.56309735</v>
      </c>
      <c r="Q21" s="1540" t="str">
        <f>"-"</f>
        <v>-</v>
      </c>
    </row>
    <row r="22">
      <c r="B22" s="1535" t="inlineStr">
        <is>
          <t>Overhead roles total</t>
        </is>
      </c>
      <c r="C22" s="1535" t="n"/>
      <c r="D22" s="1535" t="n"/>
      <c r="E22" s="1784">
        <f>SUM(E19:E21)</f>
        <v>0</v>
      </c>
      <c r="F22" s="1772">
        <f>SUM(F19:F21)</f>
        <v>4</v>
      </c>
      <c r="G22" s="1772">
        <f>SUM(G19:G21)</f>
        <v>2</v>
      </c>
      <c r="H22" s="1772">
        <f>SUM(H19:H21)</f>
        <v>2</v>
      </c>
      <c r="I22" s="1772">
        <f>SUM(I19:I21)</f>
        <v>2</v>
      </c>
      <c r="J22" s="1772">
        <f>SUM(J19:J21)</f>
        <v>0</v>
      </c>
      <c r="K22" s="1772">
        <f>SUM(K19:K21)</f>
        <v>0</v>
      </c>
      <c r="L22" s="1772">
        <f>SUM(L19:L21)</f>
        <v>4</v>
      </c>
      <c r="M22" s="1771" t="str">
        <f>IF(COUNT(M19:M21)=3,SUM(M19:M21),"-")</f>
        <v>-</v>
      </c>
      <c r="N22" s="1771">
        <f>SUM(N19:N21)</f>
        <v>1.131342336</v>
      </c>
      <c r="O22" s="1771" t="str">
        <f>IF(ISNUMBER($M22),ROUND($N22-$M22,6),"-")</f>
        <v>-</v>
      </c>
      <c r="P22" s="1771">
        <f>SUM(P19:P21)</f>
        <v>1.131342336</v>
      </c>
      <c r="Q22" s="1771" t="str">
        <f>IF(ISNUMBER($M22),ROUND($P22-$M22,6),"-")</f>
        <v>-</v>
      </c>
    </row>
    <row r="23">
      <c r="B23" s="1541" t="inlineStr">
        <is>
          <t>Total portfolio</t>
        </is>
      </c>
      <c r="C23" s="1541" t="n"/>
      <c r="D23" s="1541" t="n"/>
      <c r="E23" s="1785">
        <f>N(E11)+N(E14)+N(E17)+N(E22)</f>
        <v>25.5</v>
      </c>
      <c r="F23" s="1774">
        <f>N(F11)+N(F14)+N(F17)+N(F22)</f>
        <v>42</v>
      </c>
      <c r="G23" s="1774">
        <f>N(G11)+N(G14)+N(G17)+N(G22)</f>
        <v>33</v>
      </c>
      <c r="H23" s="1774">
        <f>N(H11)+N(H14)+N(H17)+N(H22)</f>
        <v>9</v>
      </c>
      <c r="I23" s="1774">
        <f>N(I11)+N(I14)+N(I17)+N(I22)</f>
        <v>9</v>
      </c>
      <c r="J23" s="1774">
        <f>N(J11)+N(J14)+N(J17)+N(J22)</f>
        <v>0</v>
      </c>
      <c r="K23" s="1774">
        <f>N(K11)+N(K14)+N(K17)+N(K22)</f>
        <v>0</v>
      </c>
      <c r="L23" s="1774">
        <f>N(L11)+N(L14)+N(L17)+N(L22)</f>
        <v>42</v>
      </c>
      <c r="M23" s="1773" t="str">
        <f>"-"</f>
        <v>-</v>
      </c>
      <c r="N23" s="1773">
        <f>N(N11)+N(N14)+N(N17)+N(N22)</f>
        <v>10.1976697287</v>
      </c>
      <c r="O23" s="1773" t="str">
        <f>"-"</f>
        <v>-</v>
      </c>
      <c r="P23" s="1773">
        <f>N(P11)+N(P14)+N(P17)+N(P22)</f>
        <v>10.1976697287</v>
      </c>
      <c r="Q23" s="1773" t="str">
        <f>"-"</f>
        <v>-</v>
      </c>
    </row>
    <row r="25">
      <c r="B25" s="1526" t="inlineStr">
        <is>
          <t>Control - roles against the ledger, must be 0</t>
        </is>
      </c>
      <c r="F25" s="1778">
        <f>$F$23-COUNTIFS('REVIEW - Complete Role Mapping'!$AJ$2:$AJ$528,$C$3)</f>
        <v>0</v>
      </c>
    </row>
    <row r="26">
      <c r="B26" s="1526" t="inlineStr">
        <is>
          <t>Control - cost against the ledger ($m), must be 0</t>
        </is>
      </c>
      <c r="N26" s="1779">
        <f>ROUND($N$23-SUMIFS('REVIEW - Complete Role Mapping'!$AA$2:$AA$528,'REVIEW - Complete Role Mapping'!$AJ$2:$AJ$528,$C$3)/1000000,6)</f>
        <v>0</v>
      </c>
    </row>
    <row r="28" ht="19" customHeight="1" s="866">
      <c r="B28" s="1527" t="inlineStr">
        <is>
          <t>Commercial Fuels FTE</t>
        </is>
      </c>
      <c r="C28" s="1528" t="n"/>
      <c r="D28" s="1528" t="n"/>
      <c r="E28" s="1528" t="n"/>
      <c r="F28" s="1528" t="n"/>
      <c r="G28" s="1528" t="n"/>
    </row>
    <row r="29" ht="34" customHeight="1" s="866">
      <c r="B29" s="1529" t="inlineStr">
        <is>
          <t>Name</t>
        </is>
      </c>
      <c r="C29" s="1529" t="inlineStr">
        <is>
          <t>Role</t>
        </is>
      </c>
      <c r="D29" s="1529" t="inlineStr">
        <is>
          <t>Status</t>
        </is>
      </c>
      <c r="E29" s="1529" t="inlineStr">
        <is>
          <t>Vacancy lever</t>
        </is>
      </c>
      <c r="F29" s="1529" t="inlineStr">
        <is>
          <t>Role cost ($)</t>
        </is>
      </c>
      <c r="G29" s="1529" t="inlineStr">
        <is>
          <t>Cost after decision ($)</t>
        </is>
      </c>
    </row>
    <row r="30">
      <c r="B30" s="1530" t="inlineStr">
        <is>
          <t>CTRM</t>
        </is>
      </c>
      <c r="C30" s="1530" t="str">
        <f>COUNTA($B$31:$B$44)&amp;IF(COUNTA($B$31:$B$44)=1," role"," roles")</f>
        <v>14 roles</v>
      </c>
      <c r="D30" s="1530" t="n"/>
      <c r="E30" s="1530" t="n"/>
      <c r="F30" s="1786">
        <f>SUM(F31:F44)</f>
        <v>3221759.232</v>
      </c>
      <c r="G30" s="1786">
        <f>SUM(G31:G44)</f>
        <v>3221759.232</v>
      </c>
    </row>
    <row r="31">
      <c r="B31" s="1531" t="str">
        <f>INDEX('REVIEW - Complete Role Mapping'!$B:$B,338)</f>
        <v>Amanda Turnbull</v>
      </c>
      <c r="C31" s="1531" t="str">
        <f>INDEX('REVIEW - Complete Role Mapping'!$C:$C,338)</f>
        <v>Engineer Software</v>
      </c>
      <c r="D31" s="1531" t="str">
        <f>INDEX('REVIEW - Complete Role Mapping'!$AK:$AK,338)</f>
        <v>Filled</v>
      </c>
      <c r="E31" s="1548" t="inlineStr">
        <is>
          <t>Filled</t>
        </is>
      </c>
      <c r="F31" s="1770">
        <f>INDEX('REVIEW - Complete Role Mapping'!$AA:$AA,338)</f>
        <v>101439.056</v>
      </c>
      <c r="G31" s="1770">
        <f>$F31*IFERROR(INDEX(Lists!$AD:$AD,MATCH($E31,Lists!$AC:$AC,0)),1)</f>
        <v>101439.056</v>
      </c>
    </row>
    <row r="32">
      <c r="B32" s="1531" t="str">
        <f>INDEX('REVIEW - Complete Role Mapping'!$B:$B,350)</f>
        <v>Byron Leung</v>
      </c>
      <c r="C32" s="1531" t="str">
        <f>INDEX('REVIEW - Complete Role Mapping'!$C:$C,350)</f>
        <v>Solution Architect</v>
      </c>
      <c r="D32" s="1531" t="str">
        <f>INDEX('REVIEW - Complete Role Mapping'!$AK:$AK,350)</f>
        <v>Filled</v>
      </c>
      <c r="E32" s="1548" t="inlineStr">
        <is>
          <t>Filled</t>
        </is>
      </c>
      <c r="F32" s="1770">
        <f>INDEX('REVIEW - Complete Role Mapping'!$AA:$AA,350)</f>
        <v>276972.45</v>
      </c>
      <c r="G32" s="1770">
        <f>$F32*IFERROR(INDEX(Lists!$AD:$AD,MATCH($E32,Lists!$AC:$AC,0)),1)</f>
        <v>276972.45</v>
      </c>
    </row>
    <row r="33">
      <c r="B33" s="1531" t="str">
        <f>INDEX('REVIEW - Complete Role Mapping'!$B:$B,353)</f>
        <v>Carl Russo</v>
      </c>
      <c r="C33" s="1531" t="str">
        <f>INDEX('REVIEW - Complete Role Mapping'!$C:$C,353)</f>
        <v>Program Manager - CTRM</v>
      </c>
      <c r="D33" s="1531" t="str">
        <f>INDEX('REVIEW - Complete Role Mapping'!$AK:$AK,353)</f>
        <v>Filled</v>
      </c>
      <c r="E33" s="1548" t="inlineStr">
        <is>
          <t>Filled</t>
        </is>
      </c>
      <c r="F33" s="1770">
        <f>INDEX('REVIEW - Complete Role Mapping'!$AA:$AA,353)</f>
        <v>323695.95</v>
      </c>
      <c r="G33" s="1770">
        <f>$F33*IFERROR(INDEX(Lists!$AD:$AD,MATCH($E33,Lists!$AC:$AC,0)),1)</f>
        <v>323695.95</v>
      </c>
    </row>
    <row r="34">
      <c r="B34" s="1531" t="str">
        <f>INDEX('REVIEW - Complete Role Mapping'!$B:$B,354)</f>
        <v>Chantal Lynch</v>
      </c>
      <c r="C34" s="1531" t="str">
        <f>INDEX('REVIEW - Complete Role Mapping'!$C:$C,354)</f>
        <v>Lead Quality Assurance</v>
      </c>
      <c r="D34" s="1531" t="str">
        <f>INDEX('REVIEW - Complete Role Mapping'!$AK:$AK,354)</f>
        <v>Filled</v>
      </c>
      <c r="E34" s="1548" t="inlineStr">
        <is>
          <t>Filled</t>
        </is>
      </c>
      <c r="F34" s="1770">
        <f>INDEX('REVIEW - Complete Role Mapping'!$AA:$AA,354)</f>
        <v>180639.096</v>
      </c>
      <c r="G34" s="1770">
        <f>$F34*IFERROR(INDEX(Lists!$AD:$AD,MATCH($E34,Lists!$AC:$AC,0)),1)</f>
        <v>180639.096</v>
      </c>
    </row>
    <row r="35">
      <c r="B35" s="1531" t="str">
        <f>INDEX('REVIEW - Complete Role Mapping'!$B:$B,358)</f>
        <v>Deepa Kaur</v>
      </c>
      <c r="C35" s="1531" t="str">
        <f>INDEX('REVIEW - Complete Role Mapping'!$C:$C,358)</f>
        <v>Senior Engineer Automation Testing</v>
      </c>
      <c r="D35" s="1531" t="str">
        <f>INDEX('REVIEW - Complete Role Mapping'!$AK:$AK,358)</f>
        <v>Filled</v>
      </c>
      <c r="E35" s="1548" t="inlineStr">
        <is>
          <t>Filled</t>
        </is>
      </c>
      <c r="F35" s="1770">
        <f>INDEX('REVIEW - Complete Role Mapping'!$AA:$AA,358)</f>
        <v>194522.85</v>
      </c>
      <c r="G35" s="1770">
        <f>$F35*IFERROR(INDEX(Lists!$AD:$AD,MATCH($E35,Lists!$AC:$AC,0)),1)</f>
        <v>194522.85</v>
      </c>
    </row>
    <row r="36">
      <c r="B36" s="1531" t="str">
        <f>INDEX('REVIEW - Complete Role Mapping'!$B:$B,363)</f>
        <v>Fransiscus Setiawan</v>
      </c>
      <c r="C36" s="1531" t="str">
        <f>INDEX('REVIEW - Complete Role Mapping'!$C:$C,363)</f>
        <v>Integration Architect   </v>
      </c>
      <c r="D36" s="1531" t="str">
        <f>INDEX('REVIEW - Complete Role Mapping'!$AK:$AK,363)</f>
        <v>Filled</v>
      </c>
      <c r="E36" s="1548" t="inlineStr">
        <is>
          <t>Filled</t>
        </is>
      </c>
      <c r="F36" s="1770">
        <f>INDEX('REVIEW - Complete Role Mapping'!$AA:$AA,363)</f>
        <v>280350</v>
      </c>
      <c r="G36" s="1770">
        <f>$F36*IFERROR(INDEX(Lists!$AD:$AD,MATCH($E36,Lists!$AC:$AC,0)),1)</f>
        <v>280350</v>
      </c>
    </row>
    <row r="37">
      <c r="B37" s="1531" t="str">
        <f>INDEX('REVIEW - Complete Role Mapping'!$B:$B,369)</f>
        <v>Hayden Corney</v>
      </c>
      <c r="C37" s="1531" t="str">
        <f>INDEX('REVIEW - Complete Role Mapping'!$C:$C,369)</f>
        <v>Lead Engineer Software</v>
      </c>
      <c r="D37" s="1531" t="str">
        <f>INDEX('REVIEW - Complete Role Mapping'!$AK:$AK,369)</f>
        <v>Filled</v>
      </c>
      <c r="E37" s="1548" t="inlineStr">
        <is>
          <t>Filled</t>
        </is>
      </c>
      <c r="F37" s="1770">
        <f>INDEX('REVIEW - Complete Role Mapping'!$AA:$AA,369)</f>
        <v>197318.88</v>
      </c>
      <c r="G37" s="1770">
        <f>$F37*IFERROR(INDEX(Lists!$AD:$AD,MATCH($E37,Lists!$AC:$AC,0)),1)</f>
        <v>197318.88</v>
      </c>
    </row>
    <row r="38">
      <c r="B38" s="1531" t="str">
        <f>INDEX('REVIEW - Complete Role Mapping'!$B:$B,383)</f>
        <v>Laura Roberts</v>
      </c>
      <c r="C38" s="1531" t="str">
        <f>INDEX('REVIEW - Complete Role Mapping'!$C:$C,383)</f>
        <v>Senior Engineer Software</v>
      </c>
      <c r="D38" s="1531" t="str">
        <f>INDEX('REVIEW - Complete Role Mapping'!$AK:$AK,383)</f>
        <v>Filled</v>
      </c>
      <c r="E38" s="1548" t="inlineStr">
        <is>
          <t>Filled</t>
        </is>
      </c>
      <c r="F38" s="1770">
        <f>INDEX('REVIEW - Complete Role Mapping'!$AA:$AA,383)</f>
        <v>156490.752</v>
      </c>
      <c r="G38" s="1770">
        <f>$F38*IFERROR(INDEX(Lists!$AD:$AD,MATCH($E38,Lists!$AC:$AC,0)),1)</f>
        <v>156490.752</v>
      </c>
    </row>
    <row r="39">
      <c r="B39" s="1531" t="str">
        <f>INDEX('REVIEW - Complete Role Mapping'!$B:$B,393)</f>
        <v>Oliver Shanks</v>
      </c>
      <c r="C39" s="1531" t="str">
        <f>INDEX('REVIEW - Complete Role Mapping'!$C:$C,393)</f>
        <v>Associate Engineer Software</v>
      </c>
      <c r="D39" s="1531" t="str">
        <f>INDEX('REVIEW - Complete Role Mapping'!$AK:$AK,393)</f>
        <v>Filled</v>
      </c>
      <c r="E39" s="1548" t="inlineStr">
        <is>
          <t>Filled</t>
        </is>
      </c>
      <c r="F39" s="1770">
        <f>INDEX('REVIEW - Complete Role Mapping'!$AA:$AA,393)</f>
        <v>84514.552</v>
      </c>
      <c r="G39" s="1770">
        <f>$F39*IFERROR(INDEX(Lists!$AD:$AD,MATCH($E39,Lists!$AC:$AC,0)),1)</f>
        <v>84514.552</v>
      </c>
    </row>
    <row r="40">
      <c r="B40" s="1531" t="str">
        <f>INDEX('REVIEW - Complete Role Mapping'!$B:$B,394)</f>
        <v>Oz Shaaban</v>
      </c>
      <c r="C40" s="1531" t="str">
        <f>INDEX('REVIEW - Complete Role Mapping'!$C:$C,394)</f>
        <v>Delivery Lead</v>
      </c>
      <c r="D40" s="1531" t="str">
        <f>INDEX('REVIEW - Complete Role Mapping'!$AK:$AK,394)</f>
        <v>Filled</v>
      </c>
      <c r="E40" s="1548" t="inlineStr">
        <is>
          <t>Filled</t>
        </is>
      </c>
      <c r="F40" s="1770">
        <f>INDEX('REVIEW - Complete Role Mapping'!$AA:$AA,394)</f>
        <v>253997.1</v>
      </c>
      <c r="G40" s="1770">
        <f>$F40*IFERROR(INDEX(Lists!$AD:$AD,MATCH($E40,Lists!$AC:$AC,0)),1)</f>
        <v>253997.1</v>
      </c>
    </row>
    <row r="41">
      <c r="B41" s="1531" t="str">
        <f>INDEX('REVIEW - Complete Role Mapping'!$B:$B,398)</f>
        <v>Rick Abainza</v>
      </c>
      <c r="C41" s="1531" t="str">
        <f>INDEX('REVIEW - Complete Role Mapping'!$C:$C,398)</f>
        <v>Lead Business Analyst</v>
      </c>
      <c r="D41" s="1531" t="str">
        <f>INDEX('REVIEW - Complete Role Mapping'!$AK:$AK,398)</f>
        <v>Filled</v>
      </c>
      <c r="E41" s="1548" t="inlineStr">
        <is>
          <t>Filled</t>
        </is>
      </c>
      <c r="F41" s="1770">
        <f>INDEX('REVIEW - Complete Role Mapping'!$AA:$AA,398)</f>
        <v>366703.25</v>
      </c>
      <c r="G41" s="1770">
        <f>$F41*IFERROR(INDEX(Lists!$AD:$AD,MATCH($E41,Lists!$AC:$AC,0)),1)</f>
        <v>366703.25</v>
      </c>
    </row>
    <row r="42">
      <c r="B42" s="1531" t="str">
        <f>INDEX('REVIEW - Complete Role Mapping'!$B:$B,402)</f>
        <v>Sijin Zhu</v>
      </c>
      <c r="C42" s="1531" t="str">
        <f>INDEX('REVIEW - Complete Role Mapping'!$C:$C,402)</f>
        <v>Business Analyst</v>
      </c>
      <c r="D42" s="1531" t="str">
        <f>INDEX('REVIEW - Complete Role Mapping'!$AK:$AK,402)</f>
        <v>Filled</v>
      </c>
      <c r="E42" s="1548" t="inlineStr">
        <is>
          <t>Filled</t>
        </is>
      </c>
      <c r="F42" s="1770">
        <f>INDEX('REVIEW - Complete Role Mapping'!$AA:$AA,402)</f>
        <v>279205.246</v>
      </c>
      <c r="G42" s="1770">
        <f>$F42*IFERROR(INDEX(Lists!$AD:$AD,MATCH($E42,Lists!$AC:$AC,0)),1)</f>
        <v>279205.246</v>
      </c>
    </row>
    <row r="43">
      <c r="B43" s="1531" t="str">
        <f>INDEX('REVIEW - Complete Role Mapping'!$B:$B,410)</f>
        <v>Trung Truong</v>
      </c>
      <c r="C43" s="1531" t="str">
        <f>INDEX('REVIEW - Complete Role Mapping'!$C:$C,410)</f>
        <v>Engineer Applications</v>
      </c>
      <c r="D43" s="1531" t="str">
        <f>INDEX('REVIEW - Complete Role Mapping'!$AK:$AK,410)</f>
        <v>Filled</v>
      </c>
      <c r="E43" s="1548" t="inlineStr">
        <is>
          <t>Filled</t>
        </is>
      </c>
      <c r="F43" s="1770">
        <f>INDEX('REVIEW - Complete Role Mapping'!$AA:$AA,410)</f>
        <v>304660.5</v>
      </c>
      <c r="G43" s="1770">
        <f>$F43*IFERROR(INDEX(Lists!$AD:$AD,MATCH($E43,Lists!$AC:$AC,0)),1)</f>
        <v>304660.5</v>
      </c>
    </row>
    <row r="44">
      <c r="B44" s="1531" t="str">
        <f>INDEX('REVIEW - Complete Role Mapping'!$B:$B,444)</f>
        <v>Zhan Liu</v>
      </c>
      <c r="C44" s="1531" t="str">
        <f>INDEX('REVIEW - Complete Role Mapping'!$C:$C,444)</f>
        <v>Engineer Applications</v>
      </c>
      <c r="D44" s="1531" t="str">
        <f>INDEX('REVIEW - Complete Role Mapping'!$AK:$AK,444)</f>
        <v>Filled</v>
      </c>
      <c r="E44" s="1548" t="inlineStr">
        <is>
          <t>Filled</t>
        </is>
      </c>
      <c r="F44" s="1770">
        <f>INDEX('REVIEW - Complete Role Mapping'!$AA:$AA,444)</f>
        <v>221249.55</v>
      </c>
      <c r="G44" s="1770">
        <f>$F44*IFERROR(INDEX(Lists!$AD:$AD,MATCH($E44,Lists!$AC:$AC,0)),1)</f>
        <v>221249.55</v>
      </c>
    </row>
    <row r="45">
      <c r="B45" s="1530" t="inlineStr">
        <is>
          <t>Supply</t>
        </is>
      </c>
      <c r="C45" s="1530" t="str">
        <f>COUNTA($B$46:$B$50)&amp;IF(COUNTA($B$46:$B$50)=1," role"," roles")</f>
        <v>5 roles</v>
      </c>
      <c r="D45" s="1530" t="n"/>
      <c r="E45" s="1530" t="n"/>
      <c r="F45" s="1786">
        <f>SUM(F46:F50)</f>
        <v>1059255.75</v>
      </c>
      <c r="G45" s="1786">
        <f>SUM(G46:G50)</f>
        <v>1059255.75</v>
      </c>
    </row>
    <row r="46">
      <c r="B46" s="1531" t="str">
        <f>INDEX('REVIEW - Complete Role Mapping'!$B:$B,343)</f>
        <v>Ann Aquino</v>
      </c>
      <c r="C46" s="1531" t="str">
        <f>INDEX('REVIEW - Complete Role Mapping'!$C:$C,343)</f>
        <v>Senior Business Analyst</v>
      </c>
      <c r="D46" s="1531" t="str">
        <f>INDEX('REVIEW - Complete Role Mapping'!$AK:$AK,343)</f>
        <v>Filled</v>
      </c>
      <c r="E46" s="1548" t="inlineStr">
        <is>
          <t>Filled</t>
        </is>
      </c>
      <c r="F46" s="1770">
        <f>INDEX('REVIEW - Complete Role Mapping'!$AA:$AA,343)</f>
        <v>219006.75</v>
      </c>
      <c r="G46" s="1770">
        <f>$F46*IFERROR(INDEX(Lists!$AD:$AD,MATCH($E46,Lists!$AC:$AC,0)),1)</f>
        <v>219006.75</v>
      </c>
    </row>
    <row r="47">
      <c r="B47" s="1531" t="str">
        <f>INDEX('REVIEW - Complete Role Mapping'!$B:$B,419)</f>
        <v>Vacant</v>
      </c>
      <c r="C47" s="1531" t="str">
        <f>INDEX('REVIEW - Complete Role Mapping'!$C:$C,419)</f>
        <v>System Specialist</v>
      </c>
      <c r="D47" s="1531" t="str">
        <f>INDEX('REVIEW - Complete Role Mapping'!$AK:$AK,419)</f>
        <v>Vacant</v>
      </c>
      <c r="E47" s="1548" t="inlineStr">
        <is>
          <t>Hire</t>
        </is>
      </c>
      <c r="F47" s="1770">
        <f>INDEX('REVIEW - Complete Role Mapping'!$AA:$AA,419)</f>
        <v>202853.25</v>
      </c>
      <c r="G47" s="1770">
        <f>$F47*IFERROR(INDEX(Lists!$AD:$AD,MATCH($E47,Lists!$AC:$AC,0)),1)</f>
        <v>202853.25</v>
      </c>
    </row>
    <row r="48">
      <c r="B48" s="1531" t="str">
        <f>INDEX('REVIEW - Complete Role Mapping'!$B:$B,423)</f>
        <v>Vacant</v>
      </c>
      <c r="C48" s="1531" t="str">
        <f>INDEX('REVIEW - Complete Role Mapping'!$C:$C,423)</f>
        <v>Delivery Lead</v>
      </c>
      <c r="D48" s="1531" t="str">
        <f>INDEX('REVIEW - Complete Role Mapping'!$AK:$AK,423)</f>
        <v>Vacant</v>
      </c>
      <c r="E48" s="1548" t="inlineStr">
        <is>
          <t>Hire</t>
        </is>
      </c>
      <c r="F48" s="1770">
        <f>INDEX('REVIEW - Complete Role Mapping'!$AA:$AA,423)</f>
        <v>231689.25</v>
      </c>
      <c r="G48" s="1770">
        <f>$F48*IFERROR(INDEX(Lists!$AD:$AD,MATCH($E48,Lists!$AC:$AC,0)),1)</f>
        <v>231689.25</v>
      </c>
    </row>
    <row r="49">
      <c r="B49" s="1531" t="str">
        <f>INDEX('REVIEW - Complete Role Mapping'!$B:$B,440)</f>
        <v>Vacant</v>
      </c>
      <c r="C49" s="1531" t="str">
        <f>INDEX('REVIEW - Complete Role Mapping'!$C:$C,440)</f>
        <v>Engineer Software</v>
      </c>
      <c r="D49" s="1531" t="str">
        <f>INDEX('REVIEW - Complete Role Mapping'!$AK:$AK,440)</f>
        <v>Vacant</v>
      </c>
      <c r="E49" s="1548" t="inlineStr">
        <is>
          <t>Hire</t>
        </is>
      </c>
      <c r="F49" s="1770">
        <f>INDEX('REVIEW - Complete Role Mapping'!$AA:$AA,440)</f>
        <v>202853.25</v>
      </c>
      <c r="G49" s="1770">
        <f>$F49*IFERROR(INDEX(Lists!$AD:$AD,MATCH($E49,Lists!$AC:$AC,0)),1)</f>
        <v>202853.25</v>
      </c>
    </row>
    <row r="50">
      <c r="B50" s="1531" t="str">
        <f>INDEX('REVIEW - Complete Role Mapping'!$B:$B,441)</f>
        <v>Vacant</v>
      </c>
      <c r="C50" s="1531" t="str">
        <f>INDEX('REVIEW - Complete Role Mapping'!$C:$C,441)</f>
        <v>System Specialist</v>
      </c>
      <c r="D50" s="1531" t="str">
        <f>INDEX('REVIEW - Complete Role Mapping'!$AK:$AK,441)</f>
        <v>Vacant</v>
      </c>
      <c r="E50" s="1548" t="inlineStr">
        <is>
          <t>Hire</t>
        </is>
      </c>
      <c r="F50" s="1770">
        <f>INDEX('REVIEW - Complete Role Mapping'!$AA:$AA,441)</f>
        <v>202853.25</v>
      </c>
      <c r="G50" s="1770">
        <f>$F50*IFERROR(INDEX(Lists!$AD:$AD,MATCH($E50,Lists!$AC:$AC,0)),1)</f>
        <v>202853.25</v>
      </c>
    </row>
    <row r="51">
      <c r="B51" s="1530" t="inlineStr">
        <is>
          <t>Trading &amp; Shipping</t>
        </is>
      </c>
      <c r="C51" s="1530" t="str">
        <f>COUNTA($B$52:$B$63)&amp;IF(COUNTA($B$52:$B$63)=1," role"," roles")</f>
        <v>12 roles</v>
      </c>
      <c r="D51" s="1530" t="n"/>
      <c r="E51" s="1530" t="n"/>
      <c r="F51" s="1786">
        <f>SUM(F52:F63)</f>
        <v>2679143.5617</v>
      </c>
      <c r="G51" s="1786">
        <f>SUM(G52:G63)</f>
        <v>2679143.5617</v>
      </c>
    </row>
    <row r="52">
      <c r="B52" s="1531" t="str">
        <f>INDEX('REVIEW - Complete Role Mapping'!$B:$B,355)</f>
        <v>Chin Fang Kwek</v>
      </c>
      <c r="C52" s="1531" t="str">
        <f>INDEX('REVIEW - Complete Role Mapping'!$C:$C,355)</f>
        <v>System Analyst</v>
      </c>
      <c r="D52" s="1531" t="str">
        <f>INDEX('REVIEW - Complete Role Mapping'!$AK:$AK,355)</f>
        <v>Filled</v>
      </c>
      <c r="E52" s="1548" t="inlineStr">
        <is>
          <t>Filled</t>
        </is>
      </c>
      <c r="F52" s="1770">
        <f>INDEX('REVIEW - Complete Role Mapping'!$AA:$AA,355)</f>
        <v>346651.0332</v>
      </c>
      <c r="G52" s="1770">
        <f>$F52*IFERROR(INDEX(Lists!$AD:$AD,MATCH($E52,Lists!$AC:$AC,0)),1)</f>
        <v>346651.0332</v>
      </c>
    </row>
    <row r="53">
      <c r="B53" s="1531" t="str">
        <f>INDEX('REVIEW - Complete Role Mapping'!$B:$B,368)</f>
        <v>Hari Maneti</v>
      </c>
      <c r="C53" s="1531" t="str">
        <f>INDEX('REVIEW - Complete Role Mapping'!$C:$C,368)</f>
        <v>Systems Analyst</v>
      </c>
      <c r="D53" s="1531" t="str">
        <f>INDEX('REVIEW - Complete Role Mapping'!$AK:$AK,368)</f>
        <v>Filled</v>
      </c>
      <c r="E53" s="1548" t="inlineStr">
        <is>
          <t>Filled</t>
        </is>
      </c>
      <c r="F53" s="1770">
        <f>INDEX('REVIEW - Complete Role Mapping'!$AA:$AA,368)</f>
        <v>293634.617</v>
      </c>
      <c r="G53" s="1770">
        <f>$F53*IFERROR(INDEX(Lists!$AD:$AD,MATCH($E53,Lists!$AC:$AC,0)),1)</f>
        <v>293634.617</v>
      </c>
    </row>
    <row r="54">
      <c r="B54" s="1531" t="str">
        <f>INDEX('REVIEW - Complete Role Mapping'!$B:$B,370)</f>
        <v>Isha Riyat</v>
      </c>
      <c r="C54" s="1531" t="str">
        <f>INDEX('REVIEW - Complete Role Mapping'!$C:$C,370)</f>
        <v>Senior Business Analyst</v>
      </c>
      <c r="D54" s="1531" t="str">
        <f>INDEX('REVIEW - Complete Role Mapping'!$AK:$AK,370)</f>
        <v>Filled</v>
      </c>
      <c r="E54" s="1548" t="inlineStr">
        <is>
          <t>Filled</t>
        </is>
      </c>
      <c r="F54" s="1770">
        <f>INDEX('REVIEW - Complete Role Mapping'!$AA:$AA,370)</f>
        <v>226429.35</v>
      </c>
      <c r="G54" s="1770">
        <f>$F54*IFERROR(INDEX(Lists!$AD:$AD,MATCH($E54,Lists!$AC:$AC,0)),1)</f>
        <v>226429.35</v>
      </c>
    </row>
    <row r="55">
      <c r="B55" s="1531" t="str">
        <f>INDEX('REVIEW - Complete Role Mapping'!$B:$B,373)</f>
        <v>Jem Cruz</v>
      </c>
      <c r="C55" s="1531" t="str">
        <f>INDEX('REVIEW - Complete Role Mapping'!$C:$C,373)</f>
        <v>System Specialist</v>
      </c>
      <c r="D55" s="1531" t="str">
        <f>INDEX('REVIEW - Complete Role Mapping'!$AK:$AK,373)</f>
        <v>Filled</v>
      </c>
      <c r="E55" s="1548" t="inlineStr">
        <is>
          <t>Filled</t>
        </is>
      </c>
      <c r="F55" s="1770">
        <f>INDEX('REVIEW - Complete Role Mapping'!$AA:$AA,373)</f>
        <v>180010.35</v>
      </c>
      <c r="G55" s="1770">
        <f>$F55*IFERROR(INDEX(Lists!$AD:$AD,MATCH($E55,Lists!$AC:$AC,0)),1)</f>
        <v>180010.35</v>
      </c>
    </row>
    <row r="56">
      <c r="B56" s="1531" t="str">
        <f>INDEX('REVIEW - Complete Role Mapping'!$B:$B,378)</f>
        <v>JR Panganiban</v>
      </c>
      <c r="C56" s="1531" t="str">
        <f>INDEX('REVIEW - Complete Role Mapping'!$C:$C,378)</f>
        <v>Technology Support Engineer</v>
      </c>
      <c r="D56" s="1531" t="str">
        <f>INDEX('REVIEW - Complete Role Mapping'!$AK:$AK,378)</f>
        <v>Filled</v>
      </c>
      <c r="E56" s="1548" t="inlineStr">
        <is>
          <t>Filled</t>
        </is>
      </c>
      <c r="F56" s="1770">
        <f>INDEX('REVIEW - Complete Role Mapping'!$AA:$AA,378)</f>
        <v>146390.4</v>
      </c>
      <c r="G56" s="1770">
        <f>$F56*IFERROR(INDEX(Lists!$AD:$AD,MATCH($E56,Lists!$AC:$AC,0)),1)</f>
        <v>146390.4</v>
      </c>
    </row>
    <row r="57">
      <c r="B57" s="1531" t="str">
        <f>INDEX('REVIEW - Complete Role Mapping'!$B:$B,379)</f>
        <v>Kevin Li</v>
      </c>
      <c r="C57" s="1531" t="str">
        <f>INDEX('REVIEW - Complete Role Mapping'!$C:$C,379)</f>
        <v>System Specialist</v>
      </c>
      <c r="D57" s="1531" t="str">
        <f>INDEX('REVIEW - Complete Role Mapping'!$AK:$AK,379)</f>
        <v>Filled</v>
      </c>
      <c r="E57" s="1548" t="inlineStr">
        <is>
          <t>Filled</t>
        </is>
      </c>
      <c r="F57" s="1770">
        <f>INDEX('REVIEW - Complete Role Mapping'!$AA:$AA,379)</f>
        <v>179970.9</v>
      </c>
      <c r="G57" s="1770">
        <f>$F57*IFERROR(INDEX(Lists!$AD:$AD,MATCH($E57,Lists!$AC:$AC,0)),1)</f>
        <v>179970.9</v>
      </c>
    </row>
    <row r="58">
      <c r="B58" s="1531" t="str">
        <f>INDEX('REVIEW - Complete Role Mapping'!$B:$B,384)</f>
        <v>Leo Machin</v>
      </c>
      <c r="C58" s="1531" t="str">
        <f>INDEX('REVIEW - Complete Role Mapping'!$C:$C,384)</f>
        <v>Lead Engineer Applications</v>
      </c>
      <c r="D58" s="1531" t="str">
        <f>INDEX('REVIEW - Complete Role Mapping'!$AK:$AK,384)</f>
        <v>Filled</v>
      </c>
      <c r="E58" s="1548" t="inlineStr">
        <is>
          <t>Filled</t>
        </is>
      </c>
      <c r="F58" s="1770">
        <f>INDEX('REVIEW - Complete Role Mapping'!$AA:$AA,384)</f>
        <v>212558.7</v>
      </c>
      <c r="G58" s="1770">
        <f>$F58*IFERROR(INDEX(Lists!$AD:$AD,MATCH($E58,Lists!$AC:$AC,0)),1)</f>
        <v>212558.7</v>
      </c>
    </row>
    <row r="59">
      <c r="B59" s="1531" t="str">
        <f>INDEX('REVIEW - Complete Role Mapping'!$B:$B,395)</f>
        <v>Poch Fernandez</v>
      </c>
      <c r="C59" s="1531" t="str">
        <f>INDEX('REVIEW - Complete Role Mapping'!$C:$C,395)</f>
        <v>Lead Technology Support  </v>
      </c>
      <c r="D59" s="1531" t="str">
        <f>INDEX('REVIEW - Complete Role Mapping'!$AK:$AK,395)</f>
        <v>Filled</v>
      </c>
      <c r="E59" s="1548" t="inlineStr">
        <is>
          <t>Filled</t>
        </is>
      </c>
      <c r="F59" s="1770">
        <f>INDEX('REVIEW - Complete Role Mapping'!$AA:$AA,395)</f>
        <v>216633.121</v>
      </c>
      <c r="G59" s="1770">
        <f>$F59*IFERROR(INDEX(Lists!$AD:$AD,MATCH($E59,Lists!$AC:$AC,0)),1)</f>
        <v>216633.121</v>
      </c>
    </row>
    <row r="60">
      <c r="B60" s="1531" t="str">
        <f>INDEX('REVIEW - Complete Role Mapping'!$B:$B,408)</f>
        <v>Suja Sugathan</v>
      </c>
      <c r="C60" s="1531" t="str">
        <f>INDEX('REVIEW - Complete Role Mapping'!$C:$C,408)</f>
        <v>Senior Business Analyst</v>
      </c>
      <c r="D60" s="1531" t="str">
        <f>INDEX('REVIEW - Complete Role Mapping'!$AK:$AK,408)</f>
        <v>Filled</v>
      </c>
      <c r="E60" s="1548" t="inlineStr">
        <is>
          <t>Filled</t>
        </is>
      </c>
      <c r="F60" s="1770">
        <f>INDEX('REVIEW - Complete Role Mapping'!$AA:$AA,408)</f>
        <v>352114.3405</v>
      </c>
      <c r="G60" s="1770">
        <f>$F60*IFERROR(INDEX(Lists!$AD:$AD,MATCH($E60,Lists!$AC:$AC,0)),1)</f>
        <v>352114.3405</v>
      </c>
    </row>
    <row r="61">
      <c r="B61" s="1531" t="str">
        <f>INDEX('REVIEW - Complete Role Mapping'!$B:$B,420)</f>
        <v>Vacant</v>
      </c>
      <c r="C61" s="1531" t="str">
        <f>INDEX('REVIEW - Complete Role Mapping'!$C:$C,420)</f>
        <v>Tech Support Technician</v>
      </c>
      <c r="D61" s="1531" t="str">
        <f>INDEX('REVIEW - Complete Role Mapping'!$AK:$AK,420)</f>
        <v>Vacant</v>
      </c>
      <c r="E61" s="1548" t="inlineStr">
        <is>
          <t>Hire</t>
        </is>
      </c>
      <c r="F61" s="1770">
        <f>INDEX('REVIEW - Complete Role Mapping'!$AA:$AA,420)</f>
        <v>122571.75</v>
      </c>
      <c r="G61" s="1770">
        <f>$F61*IFERROR(INDEX(Lists!$AD:$AD,MATCH($E61,Lists!$AC:$AC,0)),1)</f>
        <v>122571.75</v>
      </c>
    </row>
    <row r="62">
      <c r="B62" s="1531" t="str">
        <f>INDEX('REVIEW - Complete Role Mapping'!$B:$B,424)</f>
        <v>Vacant</v>
      </c>
      <c r="C62" s="1531" t="str">
        <f>INDEX('REVIEW - Complete Role Mapping'!$C:$C,424)</f>
        <v>Delivery Lead</v>
      </c>
      <c r="D62" s="1531" t="str">
        <f>INDEX('REVIEW - Complete Role Mapping'!$AK:$AK,424)</f>
        <v>Vacant</v>
      </c>
      <c r="E62" s="1548" t="inlineStr">
        <is>
          <t>Hire</t>
        </is>
      </c>
      <c r="F62" s="1770">
        <f>INDEX('REVIEW - Complete Role Mapping'!$AA:$AA,424)</f>
        <v>231689.25</v>
      </c>
      <c r="G62" s="1770">
        <f>$F62*IFERROR(INDEX(Lists!$AD:$AD,MATCH($E62,Lists!$AC:$AC,0)),1)</f>
        <v>231689.25</v>
      </c>
    </row>
    <row r="63">
      <c r="B63" s="1531" t="str">
        <f>INDEX('REVIEW - Complete Role Mapping'!$B:$B,425)</f>
        <v>Vacant</v>
      </c>
      <c r="C63" s="1531" t="str">
        <f>INDEX('REVIEW - Complete Role Mapping'!$C:$C,425)</f>
        <v>Quality Assurance</v>
      </c>
      <c r="D63" s="1531" t="str">
        <f>INDEX('REVIEW - Complete Role Mapping'!$AK:$AK,425)</f>
        <v>Vacant</v>
      </c>
      <c r="E63" s="1548" t="inlineStr">
        <is>
          <t>Hire</t>
        </is>
      </c>
      <c r="F63" s="1770">
        <f>INDEX('REVIEW - Complete Role Mapping'!$AA:$AA,425)</f>
        <v>170489.75</v>
      </c>
      <c r="G63" s="1770">
        <f>$F63*IFERROR(INDEX(Lists!$AD:$AD,MATCH($E63,Lists!$AC:$AC,0)),1)</f>
        <v>170489.75</v>
      </c>
    </row>
    <row r="64">
      <c r="B64" s="1530" t="inlineStr">
        <is>
          <t>Trading &amp; Shipping Data</t>
        </is>
      </c>
      <c r="C64" s="1530" t="str">
        <f>COUNTA($B$65:$B$71)&amp;IF(COUNTA($B$65:$B$71)=1," role"," roles")</f>
        <v>7 roles</v>
      </c>
      <c r="D64" s="1530" t="n"/>
      <c r="E64" s="1530" t="n"/>
      <c r="F64" s="1786">
        <f>SUM(F65:F71)</f>
        <v>2106168.849</v>
      </c>
      <c r="G64" s="1786">
        <f>SUM(G65:G71)</f>
        <v>2106168.849</v>
      </c>
    </row>
    <row r="65">
      <c r="B65" s="1531" t="str">
        <f>INDEX('REVIEW - Complete Role Mapping'!$B:$B,344)</f>
        <v>Anusha Viswanatha</v>
      </c>
      <c r="C65" s="1531" t="str">
        <f>INDEX('REVIEW - Complete Role Mapping'!$C:$C,344)</f>
        <v>Delivery Lead</v>
      </c>
      <c r="D65" s="1531" t="str">
        <f>INDEX('REVIEW - Complete Role Mapping'!$AK:$AK,344)</f>
        <v>Filled</v>
      </c>
      <c r="E65" s="1548" t="inlineStr">
        <is>
          <t>Filled</t>
        </is>
      </c>
      <c r="F65" s="1770">
        <f>INDEX('REVIEW - Complete Role Mapping'!$AA:$AA,344)</f>
        <v>286934</v>
      </c>
      <c r="G65" s="1770">
        <f>$F65*IFERROR(INDEX(Lists!$AD:$AD,MATCH($E65,Lists!$AC:$AC,0)),1)</f>
        <v>286934</v>
      </c>
    </row>
    <row r="66">
      <c r="B66" s="1531" t="str">
        <f>INDEX('REVIEW - Complete Role Mapping'!$B:$B,346)</f>
        <v>Arun Prakash Jayaprakasam</v>
      </c>
      <c r="C66" s="1531" t="str">
        <f>INDEX('REVIEW - Complete Role Mapping'!$C:$C,346)</f>
        <v>Data Engineer Analyst</v>
      </c>
      <c r="D66" s="1531" t="str">
        <f>INDEX('REVIEW - Complete Role Mapping'!$AK:$AK,346)</f>
        <v>Filled</v>
      </c>
      <c r="E66" s="1548" t="inlineStr">
        <is>
          <t>Filled</t>
        </is>
      </c>
      <c r="F66" s="1770">
        <f>INDEX('REVIEW - Complete Role Mapping'!$AA:$AA,346)</f>
        <v>268285.722</v>
      </c>
      <c r="G66" s="1770">
        <f>$F66*IFERROR(INDEX(Lists!$AD:$AD,MATCH($E66,Lists!$AC:$AC,0)),1)</f>
        <v>268285.722</v>
      </c>
    </row>
    <row r="67">
      <c r="B67" s="1531" t="str">
        <f>INDEX('REVIEW - Complete Role Mapping'!$B:$B,347)</f>
        <v>Ayushi Agarwal</v>
      </c>
      <c r="C67" s="1531" t="str">
        <f>INDEX('REVIEW - Complete Role Mapping'!$C:$C,347)</f>
        <v>Engineer Data</v>
      </c>
      <c r="D67" s="1531" t="str">
        <f>INDEX('REVIEW - Complete Role Mapping'!$AK:$AK,347)</f>
        <v>Filled</v>
      </c>
      <c r="E67" s="1548" t="inlineStr">
        <is>
          <t>Filled</t>
        </is>
      </c>
      <c r="F67" s="1770">
        <f>INDEX('REVIEW - Complete Role Mapping'!$AA:$AA,347)</f>
        <v>260911.498</v>
      </c>
      <c r="G67" s="1770">
        <f>$F67*IFERROR(INDEX(Lists!$AD:$AD,MATCH($E67,Lists!$AC:$AC,0)),1)</f>
        <v>260911.498</v>
      </c>
    </row>
    <row r="68">
      <c r="B68" s="1531" t="str">
        <f>INDEX('REVIEW - Complete Role Mapping'!$B:$B,376)</f>
        <v>Jonathan Wong</v>
      </c>
      <c r="C68" s="1531" t="str">
        <f>INDEX('REVIEW - Complete Role Mapping'!$C:$C,376)</f>
        <v>Senior Business Analyst</v>
      </c>
      <c r="D68" s="1531" t="str">
        <f>INDEX('REVIEW - Complete Role Mapping'!$AK:$AK,376)</f>
        <v>Filled</v>
      </c>
      <c r="E68" s="1548" t="inlineStr">
        <is>
          <t>Filled</t>
        </is>
      </c>
      <c r="F68" s="1770">
        <f>INDEX('REVIEW - Complete Role Mapping'!$AA:$AA,376)</f>
        <v>322387</v>
      </c>
      <c r="G68" s="1770">
        <f>$F68*IFERROR(INDEX(Lists!$AD:$AD,MATCH($E68,Lists!$AC:$AC,0)),1)</f>
        <v>322387</v>
      </c>
    </row>
    <row r="69">
      <c r="B69" s="1531" t="str">
        <f>INDEX('REVIEW - Complete Role Mapping'!$B:$B,381)</f>
        <v>Kumar Siva</v>
      </c>
      <c r="C69" s="1531" t="str">
        <f>INDEX('REVIEW - Complete Role Mapping'!$C:$C,381)</f>
        <v>Lead engineer Data</v>
      </c>
      <c r="D69" s="1531" t="str">
        <f>INDEX('REVIEW - Complete Role Mapping'!$AK:$AK,381)</f>
        <v>Filled</v>
      </c>
      <c r="E69" s="1548" t="inlineStr">
        <is>
          <t>Filled</t>
        </is>
      </c>
      <c r="F69" s="1770">
        <f>INDEX('REVIEW - Complete Role Mapping'!$AA:$AA,381)</f>
        <v>375566.5</v>
      </c>
      <c r="G69" s="1770">
        <f>$F69*IFERROR(INDEX(Lists!$AD:$AD,MATCH($E69,Lists!$AC:$AC,0)),1)</f>
        <v>375566.5</v>
      </c>
    </row>
    <row r="70">
      <c r="B70" s="1531" t="str">
        <f>INDEX('REVIEW - Complete Role Mapping'!$B:$B,405)</f>
        <v>Soumya Choudhury</v>
      </c>
      <c r="C70" s="1531" t="str">
        <f>INDEX('REVIEW - Complete Role Mapping'!$C:$C,405)</f>
        <v>Data Application Specialist </v>
      </c>
      <c r="D70" s="1531" t="str">
        <f>INDEX('REVIEW - Complete Role Mapping'!$AK:$AK,405)</f>
        <v>Filled</v>
      </c>
      <c r="E70" s="1548" t="inlineStr">
        <is>
          <t>Filled</t>
        </is>
      </c>
      <c r="F70" s="1770">
        <f>INDEX('REVIEW - Complete Role Mapping'!$AA:$AA,405)</f>
        <v>325684.129</v>
      </c>
      <c r="G70" s="1770">
        <f>$F70*IFERROR(INDEX(Lists!$AD:$AD,MATCH($E70,Lists!$AC:$AC,0)),1)</f>
        <v>325684.129</v>
      </c>
    </row>
    <row r="71">
      <c r="B71" s="1531" t="str">
        <f>INDEX('REVIEW - Complete Role Mapping'!$B:$B,445)</f>
        <v>Zijie Zhang</v>
      </c>
      <c r="C71" s="1531" t="str">
        <f>INDEX('REVIEW - Complete Role Mapping'!$C:$C,445)</f>
        <v>Senior Data Analyst</v>
      </c>
      <c r="D71" s="1531" t="str">
        <f>INDEX('REVIEW - Complete Role Mapping'!$AK:$AK,445)</f>
        <v>Filled</v>
      </c>
      <c r="E71" s="1548" t="inlineStr">
        <is>
          <t>Filled</t>
        </is>
      </c>
      <c r="F71" s="1770">
        <f>INDEX('REVIEW - Complete Role Mapping'!$AA:$AA,445)</f>
        <v>266400</v>
      </c>
      <c r="G71" s="1770">
        <f>$F71*IFERROR(INDEX(Lists!$AD:$AD,MATCH($E71,Lists!$AC:$AC,0)),1)</f>
        <v>266400</v>
      </c>
    </row>
    <row r="72">
      <c r="B72" s="1530" t="inlineStr">
        <is>
          <t>Head of Technology</t>
        </is>
      </c>
      <c r="C72" s="1530" t="str">
        <f>COUNTA($B$73:$B$73)&amp;IF(COUNTA($B$73:$B$73)=1," role"," roles")</f>
        <v>1 role</v>
      </c>
      <c r="D72" s="1530" t="n"/>
      <c r="E72" s="1530" t="n"/>
      <c r="F72" s="1786">
        <f>SUM(F73:F73)</f>
        <v>292434.736</v>
      </c>
      <c r="G72" s="1786">
        <f>SUM(G73:G73)</f>
        <v>292434.736</v>
      </c>
    </row>
    <row r="73">
      <c r="B73" s="1531" t="str">
        <f>INDEX('REVIEW - Complete Role Mapping'!$B:$B,392)</f>
        <v>Nakul Bharade</v>
      </c>
      <c r="C73" s="1531" t="str">
        <f>INDEX('REVIEW - Complete Role Mapping'!$C:$C,392)</f>
        <v>Head of Technology, Commercial Fuels</v>
      </c>
      <c r="D73" s="1531" t="str">
        <f>INDEX('REVIEW - Complete Role Mapping'!$AK:$AK,392)</f>
        <v>Filled</v>
      </c>
      <c r="E73" s="1548" t="inlineStr">
        <is>
          <t>Filled</t>
        </is>
      </c>
      <c r="F73" s="1770">
        <f>INDEX('REVIEW - Complete Role Mapping'!$AA:$AA,392)</f>
        <v>292434.736</v>
      </c>
      <c r="G73" s="1770">
        <f>$F73*IFERROR(INDEX(Lists!$AD:$AD,MATCH($E73,Lists!$AC:$AC,0)),1)</f>
        <v>292434.736</v>
      </c>
    </row>
    <row r="74">
      <c r="B74" s="1530" t="inlineStr">
        <is>
          <t>Delivery Manager</t>
        </is>
      </c>
      <c r="C74" s="1530" t="str">
        <f>COUNTA($B$75:$B$75)&amp;IF(COUNTA($B$75:$B$75)=1," role"," roles")</f>
        <v>1 role</v>
      </c>
      <c r="D74" s="1530" t="n"/>
      <c r="E74" s="1530" t="n"/>
      <c r="F74" s="1786">
        <f>SUM(F75:F75)</f>
        <v>275810.25</v>
      </c>
      <c r="G74" s="1786">
        <f>SUM(G75:G75)</f>
        <v>275810.25</v>
      </c>
    </row>
    <row r="75">
      <c r="B75" s="1531" t="str">
        <f>INDEX('REVIEW - Complete Role Mapping'!$B:$B,421)</f>
        <v>Vacant</v>
      </c>
      <c r="C75" s="1531" t="str">
        <f>INDEX('REVIEW - Complete Role Mapping'!$C:$C,421)</f>
        <v>Delivery Manager</v>
      </c>
      <c r="D75" s="1531" t="str">
        <f>INDEX('REVIEW - Complete Role Mapping'!$AK:$AK,421)</f>
        <v>Vacant</v>
      </c>
      <c r="E75" s="1548" t="inlineStr">
        <is>
          <t>Hire</t>
        </is>
      </c>
      <c r="F75" s="1770">
        <f>INDEX('REVIEW - Complete Role Mapping'!$AA:$AA,421)</f>
        <v>275810.25</v>
      </c>
      <c r="G75" s="1770">
        <f>$F75*IFERROR(INDEX(Lists!$AD:$AD,MATCH($E75,Lists!$AC:$AC,0)),1)</f>
        <v>275810.25</v>
      </c>
    </row>
    <row r="76">
      <c r="B76" s="1530" t="inlineStr">
        <is>
          <t>Technology Manager</t>
        </is>
      </c>
      <c r="C76" s="1530" t="str">
        <f>COUNTA($B$77:$B$78)&amp;IF(COUNTA($B$77:$B$78)=1," role"," roles")</f>
        <v>2 roles</v>
      </c>
      <c r="D76" s="1530" t="n"/>
      <c r="E76" s="1530" t="n"/>
      <c r="F76" s="1786">
        <f>SUM(F77:F78)</f>
        <v>563097.35</v>
      </c>
      <c r="G76" s="1786">
        <f>SUM(G77:G78)</f>
        <v>563097.35</v>
      </c>
    </row>
    <row r="77">
      <c r="B77" s="1531" t="str">
        <f>INDEX('REVIEW - Complete Role Mapping'!$B:$B,336)</f>
        <v>Allan Francia</v>
      </c>
      <c r="C77" s="1531" t="str">
        <f>INDEX('REVIEW - Complete Role Mapping'!$C:$C,336)</f>
        <v>Technology Manager - T&amp;S</v>
      </c>
      <c r="D77" s="1531" t="str">
        <f>INDEX('REVIEW - Complete Role Mapping'!$AK:$AK,336)</f>
        <v>Filled</v>
      </c>
      <c r="E77" s="1548" t="inlineStr">
        <is>
          <t>Filled</t>
        </is>
      </c>
      <c r="F77" s="1770">
        <f>INDEX('REVIEW - Complete Role Mapping'!$AA:$AA,336)</f>
        <v>287287.1</v>
      </c>
      <c r="G77" s="1770">
        <f>$F77*IFERROR(INDEX(Lists!$AD:$AD,MATCH($E77,Lists!$AC:$AC,0)),1)</f>
        <v>287287.1</v>
      </c>
    </row>
    <row r="78">
      <c r="B78" s="1531" t="str">
        <f>INDEX('REVIEW - Complete Role Mapping'!$B:$B,422)</f>
        <v>Vacant</v>
      </c>
      <c r="C78" s="1531" t="str">
        <f>INDEX('REVIEW - Complete Role Mapping'!$C:$C,422)</f>
        <v>Technology Manager, Data</v>
      </c>
      <c r="D78" s="1531" t="str">
        <f>INDEX('REVIEW - Complete Role Mapping'!$AK:$AK,422)</f>
        <v>Vacant</v>
      </c>
      <c r="E78" s="1548" t="inlineStr">
        <is>
          <t>Hire</t>
        </is>
      </c>
      <c r="F78" s="1770">
        <f>INDEX('REVIEW - Complete Role Mapping'!$AA:$AA,422)</f>
        <v>275810.25</v>
      </c>
      <c r="G78" s="1770">
        <f>$F78*IFERROR(INDEX(Lists!$AD:$AD,MATCH($E78,Lists!$AC:$AC,0)),1)</f>
        <v>275810.25</v>
      </c>
    </row>
  </sheetData>
  <dataValidations count="1">
    <dataValidation sqref="E31 E32 E33 E34 E35 E36 E37 E38 E39 E40 E41 E42 E43 E44 E46 E47 E48 E49 E50 E52 E53 E54 E55 E56 E57 E58 E59 E60 E61 E62 E63 E65 E66 E67 E68 E69 E70 E71 E73 E75 E77 E78"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32.xml><?xml version="1.0" encoding="utf-8"?>
<worksheet xmlns="http://schemas.openxmlformats.org/spreadsheetml/2006/main">
  <sheetPr filterMode="0">
    <tabColor rgb="FFBF8F00"/>
    <outlinePr summaryBelow="1" summaryRight="1"/>
    <pageSetUpPr fitToPage="1"/>
  </sheetPr>
  <dimension ref="B2:Q76"/>
  <sheetViews>
    <sheetView showFormulas="0" showGridLines="0" showRowColHeaders="1" showZeros="1" rightToLeft="0" tabSelected="0" showOutlineSymbols="1" defaultGridColor="1" view="normal" topLeftCell="A13" colorId="64" zoomScale="100" zoomScaleNormal="100" zoomScalePageLayoutView="100" workbookViewId="0">
      <selection pane="topLeft" activeCell="A13" activeCellId="0" sqref="A13"/>
      <selection pane="topRight" activeCell="C13" activeCellId="0" sqref="C13"/>
      <selection pane="bottomLeft" activeCell="A7" activeCellId="0" sqref="A7"/>
      <selection pane="bottomRight" activeCell="A15" activeCellId="0" sqref="A15"/>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Z Retail - working copy</t>
        </is>
      </c>
    </row>
    <row r="3">
      <c r="B3" s="1525" t="inlineStr">
        <is>
          <t>Portfolio</t>
        </is>
      </c>
      <c r="C3" s="1526" t="inlineStr">
        <is>
          <t>Z Retail</t>
        </is>
      </c>
    </row>
    <row r="4" ht="19" customHeight="1" s="866">
      <c r="B4" s="1527" t="inlineStr">
        <is>
          <t>Z Retail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Data NZ</t>
        </is>
      </c>
      <c r="C8" s="1531" t="str">
        <f>IFERROR(INDEX('1.10 Z Retail'!$C$24:$C$41,MATCH($B8,'1.10 Z Retail'!$B$24:$B$41,0)),"Not on the 1.x tab")</f>
        <v>Enterprise Data and Insights</v>
      </c>
      <c r="D8" s="1531" t="str">
        <f>IFERROR(IF(INDEX('1.10 Z Retail'!$D$24:$D$41,MATCH($B8,'1.10 Z Retail'!$B$24:$B$41,0))="","-",INDEX('1.10 Z Retail'!$D$24:$D$41,MATCH($B8,'1.10 Z Retail'!$B$24:$B$41,0))),"-")</f>
        <v>M</v>
      </c>
      <c r="E8" s="1783">
        <f>IFERROR(INDEX('0.3 Squad Archetypes'!$F$5:$F$23,MATCH($C8&amp;"|"&amp;$D8,'0.3 Squad Archetypes'!$A$5:$A$23,0)),"-")</f>
        <v>7.5</v>
      </c>
      <c r="F8" s="1770">
        <f>COUNTA($B$32:$B$38)</f>
        <v>7</v>
      </c>
      <c r="G8" s="1770">
        <f>COUNTIFS($D$32:$D$38,"Filled")</f>
        <v>5</v>
      </c>
      <c r="H8" s="1770">
        <f>COUNTIFS($D$32:$D$38,"Vacant")</f>
        <v>2</v>
      </c>
      <c r="I8" s="1770">
        <f>COUNTIFS($D$32:$D$38,"Vacant",$E$32:$E$38,"Hire")</f>
        <v>2</v>
      </c>
      <c r="J8" s="1770">
        <f>COUNTIFS($E$32:$E$38,"Offshore")</f>
        <v>0</v>
      </c>
      <c r="K8" s="1770">
        <f>COUNTIFS($E$32:$E$38,"Hold")</f>
        <v>0</v>
      </c>
      <c r="L8" s="1770">
        <f>$F8-$K8</f>
        <v>7</v>
      </c>
      <c r="M8" s="1769">
        <f>IFERROR(IF(INDEX('1.10 Z Retail'!$E$24:$E$41,MATCH($B8,'1.10 Z Retail'!$B$24:$B$41,0))="Offshore",INDEX('0.3 Squad Archetypes'!$H$5:$H$23,MATCH($C8&amp;"|"&amp;$D8,'0.3 Squad Archetypes'!$A$5:$A$23,0)),INDEX('0.3 Squad Archetypes'!$G$5:$G$23,MATCH($C8&amp;"|"&amp;$D8,'0.3 Squad Archetypes'!$A$5:$A$23,0))),"-")</f>
        <v>0.68</v>
      </c>
      <c r="N8" s="1769">
        <f>SUMIFS('REVIEW - Complete Role Mapping'!$AA$2:$AA$528,'REVIEW - Complete Role Mapping'!$AJ$2:$AJ$528,$C$3,'REVIEW - Complete Role Mapping'!$AT$2:$AT$528,$B8)/1000000</f>
        <v>1.223843362</v>
      </c>
      <c r="O8" s="1769">
        <f>IFERROR(ROUND($N8-$M8,6),"-")</f>
        <v>0.543843</v>
      </c>
      <c r="P8" s="1769">
        <f>SUM($G$32:$G$38)/1000000</f>
        <v>1.223843362</v>
      </c>
      <c r="Q8" s="1769">
        <f>IFERROR(ROUND($P8-$M8,6),"-")</f>
        <v>0.543843</v>
      </c>
    </row>
    <row r="9">
      <c r="B9" s="1531" t="inlineStr">
        <is>
          <t>Site Systems</t>
        </is>
      </c>
      <c r="C9" s="1531" t="str">
        <f>IFERROR(INDEX('1.10 Z Retail'!$C$24:$C$41,MATCH($B9,'1.10 Z Retail'!$B$24:$B$41,0)),"Not on the 1.x tab")</f>
        <v>Configuration / Integration</v>
      </c>
      <c r="D9" s="1531" t="str">
        <f>IFERROR(IF(INDEX('1.10 Z Retail'!$D$24:$D$41,MATCH($B9,'1.10 Z Retail'!$B$24:$B$41,0))="","-",INDEX('1.10 Z Retail'!$D$24:$D$41,MATCH($B9,'1.10 Z Retail'!$B$24:$B$41,0))),"-")</f>
        <v>M</v>
      </c>
      <c r="E9" s="1783">
        <f>IFERROR(INDEX('0.3 Squad Archetypes'!$F$5:$F$23,MATCH($C9&amp;"|"&amp;$D9,'0.3 Squad Archetypes'!$A$5:$A$23,0)),"-")</f>
        <v>9</v>
      </c>
      <c r="F9" s="1770">
        <f>COUNTA($B$40:$B$48)</f>
        <v>9</v>
      </c>
      <c r="G9" s="1770">
        <f>COUNTIFS($D$40:$D$48,"Filled")</f>
        <v>9</v>
      </c>
      <c r="H9" s="1770">
        <f>COUNTIFS($D$40:$D$48,"Vacant")</f>
        <v>0</v>
      </c>
      <c r="I9" s="1770">
        <f>COUNTIFS($D$40:$D$48,"Vacant",$E$40:$E$48,"Hire")</f>
        <v>0</v>
      </c>
      <c r="J9" s="1770">
        <f>COUNTIFS($E$40:$E$48,"Offshore")</f>
        <v>0</v>
      </c>
      <c r="K9" s="1770">
        <f>COUNTIFS($E$40:$E$48,"Hold")</f>
        <v>0</v>
      </c>
      <c r="L9" s="1770">
        <f>$F9-$K9</f>
        <v>9</v>
      </c>
      <c r="M9" s="1769">
        <f>IFERROR(IF(INDEX('1.10 Z Retail'!$E$24:$E$41,MATCH($B9,'1.10 Z Retail'!$B$24:$B$41,0))="Offshore",INDEX('0.3 Squad Archetypes'!$H$5:$H$23,MATCH($C9&amp;"|"&amp;$D9,'0.3 Squad Archetypes'!$A$5:$A$23,0)),INDEX('0.3 Squad Archetypes'!$G$5:$G$23,MATCH($C9&amp;"|"&amp;$D9,'0.3 Squad Archetypes'!$A$5:$A$23,0))),"-")</f>
        <v>2.1</v>
      </c>
      <c r="N9" s="1769">
        <f>SUMIFS('REVIEW - Complete Role Mapping'!$AA$2:$AA$528,'REVIEW - Complete Role Mapping'!$AJ$2:$AJ$528,$C$3,'REVIEW - Complete Role Mapping'!$AT$2:$AT$528,$B9)/1000000</f>
        <v>1.374665758</v>
      </c>
      <c r="O9" s="1769">
        <f>IFERROR(ROUND($N9-$M9,6),"-")</f>
        <v>-0.725334</v>
      </c>
      <c r="P9" s="1769">
        <f>SUM($G$40:$G$48)/1000000</f>
        <v>1.374665758</v>
      </c>
      <c r="Q9" s="1769">
        <f>IFERROR(ROUND($P9-$M9,6),"-")</f>
        <v>-0.725334</v>
      </c>
    </row>
    <row r="10">
      <c r="B10" s="1531" t="inlineStr">
        <is>
          <t>Z Retail Backend</t>
        </is>
      </c>
      <c r="C10" s="1531" t="str">
        <f>IFERROR(INDEX('1.10 Z Retail'!$C$24:$C$41,MATCH($B10,'1.10 Z Retail'!$B$24:$B$41,0)),"Not on the 1.x tab")</f>
        <v>Build and Run</v>
      </c>
      <c r="D10" s="1531" t="str">
        <f>IFERROR(IF(INDEX('1.10 Z Retail'!$D$24:$D$41,MATCH($B10,'1.10 Z Retail'!$B$24:$B$41,0))="","-",INDEX('1.10 Z Retail'!$D$24:$D$41,MATCH($B10,'1.10 Z Retail'!$B$24:$B$41,0))),"-")</f>
        <v>M</v>
      </c>
      <c r="E10" s="1783">
        <f>IFERROR(INDEX('0.3 Squad Archetypes'!$F$5:$F$23,MATCH($C10&amp;"|"&amp;$D10,'0.3 Squad Archetypes'!$A$5:$A$23,0)),"-")</f>
        <v>9</v>
      </c>
      <c r="F10" s="1770">
        <f>COUNTA($B$50:$B$58)</f>
        <v>9</v>
      </c>
      <c r="G10" s="1770">
        <f>COUNTIFS($D$50:$D$58,"Filled")</f>
        <v>7</v>
      </c>
      <c r="H10" s="1770">
        <f>COUNTIFS($D$50:$D$58,"Vacant")</f>
        <v>2</v>
      </c>
      <c r="I10" s="1770">
        <f>COUNTIFS($D$50:$D$58,"Vacant",$E$50:$E$58,"Hire")</f>
        <v>2</v>
      </c>
      <c r="J10" s="1770">
        <f>COUNTIFS($E$50:$E$58,"Offshore")</f>
        <v>0</v>
      </c>
      <c r="K10" s="1770">
        <f>COUNTIFS($E$50:$E$58,"Hold")</f>
        <v>0</v>
      </c>
      <c r="L10" s="1770">
        <f>$F10-$K10</f>
        <v>9</v>
      </c>
      <c r="M10" s="1769">
        <f>IFERROR(IF(INDEX('1.10 Z Retail'!$E$24:$E$41,MATCH($B10,'1.10 Z Retail'!$B$24:$B$41,0))="Offshore",INDEX('0.3 Squad Archetypes'!$H$5:$H$23,MATCH($C10&amp;"|"&amp;$D10,'0.3 Squad Archetypes'!$A$5:$A$23,0)),INDEX('0.3 Squad Archetypes'!$G$5:$G$23,MATCH($C10&amp;"|"&amp;$D10,'0.3 Squad Archetypes'!$A$5:$A$23,0))),"-")</f>
        <v>2</v>
      </c>
      <c r="N10" s="1769">
        <f>SUMIFS('REVIEW - Complete Role Mapping'!$AA$2:$AA$528,'REVIEW - Complete Role Mapping'!$AJ$2:$AJ$528,$C$3,'REVIEW - Complete Role Mapping'!$AT$2:$AT$528,$B10)/1000000</f>
        <v>1.857667168</v>
      </c>
      <c r="O10" s="1769">
        <f>IFERROR(ROUND($N10-$M10,6),"-")</f>
        <v>-0.142333</v>
      </c>
      <c r="P10" s="1769">
        <f>SUM($G$50:$G$58)/1000000</f>
        <v>1.857667168</v>
      </c>
      <c r="Q10" s="1769">
        <f>IFERROR(ROUND($P10-$M10,6),"-")</f>
        <v>-0.142333</v>
      </c>
    </row>
    <row r="11">
      <c r="B11" s="1531" t="inlineStr">
        <is>
          <t>Z Supply</t>
        </is>
      </c>
      <c r="C11" s="1531" t="str">
        <f>IFERROR(INDEX('1.10 Z Retail'!$C$24:$C$41,MATCH($B11,'1.10 Z Retail'!$B$24:$B$41,0)),"Not on the 1.x tab")</f>
        <v>Build and Run</v>
      </c>
      <c r="D11" s="1531" t="str">
        <f>IFERROR(IF(INDEX('1.10 Z Retail'!$D$24:$D$41,MATCH($B11,'1.10 Z Retail'!$B$24:$B$41,0))="","-",INDEX('1.10 Z Retail'!$D$24:$D$41,MATCH($B11,'1.10 Z Retail'!$B$24:$B$41,0))),"-")</f>
        <v>M</v>
      </c>
      <c r="E11" s="1783">
        <f>IFERROR(INDEX('0.3 Squad Archetypes'!$F$5:$F$23,MATCH($C11&amp;"|"&amp;$D11,'0.3 Squad Archetypes'!$A$5:$A$23,0)),"-")</f>
        <v>9</v>
      </c>
      <c r="F11" s="1770">
        <f>COUNTA($B$60:$B$68)</f>
        <v>9</v>
      </c>
      <c r="G11" s="1770">
        <f>COUNTIFS($D$60:$D$68,"Filled")</f>
        <v>8</v>
      </c>
      <c r="H11" s="1770">
        <f>COUNTIFS($D$60:$D$68,"Vacant")</f>
        <v>1</v>
      </c>
      <c r="I11" s="1770">
        <f>COUNTIFS($D$60:$D$68,"Vacant",$E$60:$E$68,"Hire")</f>
        <v>1</v>
      </c>
      <c r="J11" s="1770">
        <f>COUNTIFS($E$60:$E$68,"Offshore")</f>
        <v>0</v>
      </c>
      <c r="K11" s="1770">
        <f>COUNTIFS($E$60:$E$68,"Hold")</f>
        <v>0</v>
      </c>
      <c r="L11" s="1770">
        <f>$F11-$K11</f>
        <v>9</v>
      </c>
      <c r="M11" s="1769">
        <f>IFERROR(IF(INDEX('1.10 Z Retail'!$E$24:$E$41,MATCH($B11,'1.10 Z Retail'!$B$24:$B$41,0))="Offshore",INDEX('0.3 Squad Archetypes'!$H$5:$H$23,MATCH($C11&amp;"|"&amp;$D11,'0.3 Squad Archetypes'!$A$5:$A$23,0)),INDEX('0.3 Squad Archetypes'!$G$5:$G$23,MATCH($C11&amp;"|"&amp;$D11,'0.3 Squad Archetypes'!$A$5:$A$23,0))),"-")</f>
        <v>2</v>
      </c>
      <c r="N11" s="1769">
        <f>SUMIFS('REVIEW - Complete Role Mapping'!$AA$2:$AA$528,'REVIEW - Complete Role Mapping'!$AJ$2:$AJ$528,$C$3,'REVIEW - Complete Role Mapping'!$AT$2:$AT$528,$B11)/1000000</f>
        <v>1.663774396</v>
      </c>
      <c r="O11" s="1769">
        <f>IFERROR(ROUND($N11-$M11,6),"-")</f>
        <v>-0.336226</v>
      </c>
      <c r="P11" s="1769">
        <f>SUM($G$60:$G$68)/1000000</f>
        <v>1.663774396</v>
      </c>
      <c r="Q11" s="1769">
        <f>IFERROR(ROUND($P11-$M11,6),"-")</f>
        <v>-0.336226</v>
      </c>
    </row>
    <row r="12">
      <c r="B12" s="1535" t="inlineStr">
        <is>
          <t>Squads priced by an archetype total</t>
        </is>
      </c>
      <c r="C12" s="1535" t="n"/>
      <c r="D12" s="1535" t="n"/>
      <c r="E12" s="1784">
        <f>SUM(E8:E11)</f>
        <v>34.5</v>
      </c>
      <c r="F12" s="1772">
        <f>SUM(F8:F11)</f>
        <v>34</v>
      </c>
      <c r="G12" s="1772">
        <f>SUM(G8:G11)</f>
        <v>29</v>
      </c>
      <c r="H12" s="1772">
        <f>SUM(H8:H11)</f>
        <v>5</v>
      </c>
      <c r="I12" s="1772">
        <f>SUM(I8:I11)</f>
        <v>5</v>
      </c>
      <c r="J12" s="1772">
        <f>SUM(J8:J11)</f>
        <v>0</v>
      </c>
      <c r="K12" s="1772">
        <f>SUM(K8:K11)</f>
        <v>0</v>
      </c>
      <c r="L12" s="1772">
        <f>SUM(L8:L11)</f>
        <v>34</v>
      </c>
      <c r="M12" s="1771">
        <f>IF(COUNT(M8:M11)=4,SUM(M8:M11),"-")</f>
        <v>6.78</v>
      </c>
      <c r="N12" s="1771">
        <f>SUM(N8:N11)</f>
        <v>6.119950684</v>
      </c>
      <c r="O12" s="1771">
        <f>IF(ISNUMBER($M12),ROUND($N12-$M12,6),"-")</f>
        <v>-0.660049</v>
      </c>
      <c r="P12" s="1771">
        <f>SUM(P8:P11)</f>
        <v>6.119950684</v>
      </c>
      <c r="Q12" s="1771">
        <f>IF(ISNUMBER($M12),ROUND($P12-$M12,6),"-")</f>
        <v>-0.660049</v>
      </c>
    </row>
    <row r="13">
      <c r="B13" s="1530" t="inlineStr">
        <is>
          <t>Directly funded programmes and platforms</t>
        </is>
      </c>
      <c r="C13" s="1530" t="n"/>
      <c r="D13" s="1530" t="n"/>
      <c r="E13" s="1530" t="n"/>
      <c r="F13" s="1530" t="n"/>
      <c r="G13" s="1530" t="n"/>
      <c r="H13" s="1530" t="n"/>
      <c r="I13" s="1530" t="n"/>
      <c r="J13" s="1530" t="n"/>
      <c r="K13" s="1530" t="n"/>
      <c r="L13" s="1530" t="n"/>
      <c r="M13" s="1530" t="n"/>
      <c r="N13" s="1530" t="n"/>
      <c r="O13" s="1530" t="n"/>
      <c r="P13" s="1530" t="n"/>
      <c r="Q13" s="1530" t="n"/>
    </row>
    <row r="14">
      <c r="B14" s="1531" t="inlineStr">
        <is>
          <t>None</t>
        </is>
      </c>
      <c r="C14" s="1531" t="inlineStr">
        <is>
          <t>None - no directly funded programme here</t>
        </is>
      </c>
      <c r="D14" s="1539" t="str">
        <f>"-"</f>
        <v>-</v>
      </c>
      <c r="E14" s="1539" t="str">
        <f>"-"</f>
        <v>-</v>
      </c>
      <c r="F14" s="1539" t="str">
        <f>"-"</f>
        <v>-</v>
      </c>
      <c r="G14" s="1539" t="str">
        <f>"-"</f>
        <v>-</v>
      </c>
      <c r="H14" s="1539" t="str">
        <f>"-"</f>
        <v>-</v>
      </c>
      <c r="I14" s="1539" t="str">
        <f>"-"</f>
        <v>-</v>
      </c>
      <c r="J14" s="1539" t="str">
        <f>"-"</f>
        <v>-</v>
      </c>
      <c r="K14" s="1539" t="str">
        <f>"-"</f>
        <v>-</v>
      </c>
      <c r="L14" s="1539" t="str">
        <f>"-"</f>
        <v>-</v>
      </c>
      <c r="M14" s="1539" t="str">
        <f>"-"</f>
        <v>-</v>
      </c>
      <c r="N14" s="1539" t="str">
        <f>"-"</f>
        <v>-</v>
      </c>
      <c r="O14" s="1539" t="str">
        <f>"-"</f>
        <v>-</v>
      </c>
      <c r="P14" s="1539" t="str">
        <f>"-"</f>
        <v>-</v>
      </c>
      <c r="Q14" s="1539" t="str">
        <f>"-"</f>
        <v>-</v>
      </c>
    </row>
    <row r="15">
      <c r="B15" s="1535" t="inlineStr">
        <is>
          <t>Directly funded programmes and platforms total</t>
        </is>
      </c>
      <c r="C15" s="1535" t="n"/>
      <c r="D15" s="1535" t="n"/>
      <c r="E15" s="1784">
        <f>SUM(E14:E14)</f>
        <v>0</v>
      </c>
      <c r="F15" s="1772">
        <f>SUM(F14:F14)</f>
        <v>0</v>
      </c>
      <c r="G15" s="1772">
        <f>SUM(G14:G14)</f>
        <v>0</v>
      </c>
      <c r="H15" s="1772">
        <f>SUM(H14:H14)</f>
        <v>0</v>
      </c>
      <c r="I15" s="1772">
        <f>SUM(I14:I14)</f>
        <v>0</v>
      </c>
      <c r="J15" s="1772">
        <f>SUM(J14:J14)</f>
        <v>0</v>
      </c>
      <c r="K15" s="1772">
        <f>SUM(K14:K14)</f>
        <v>0</v>
      </c>
      <c r="L15" s="1772">
        <f>SUM(L14:L14)</f>
        <v>0</v>
      </c>
      <c r="M15" s="1771" t="str">
        <f>IF(COUNT(M14:M14)=1,SUM(M14:M14),"-")</f>
        <v>-</v>
      </c>
      <c r="N15" s="1771">
        <f>SUM(N14:N14)</f>
        <v>0</v>
      </c>
      <c r="O15" s="1771" t="str">
        <f>IF(ISNUMBER($M15),ROUND($N15-$M15,6),"-")</f>
        <v>-</v>
      </c>
      <c r="P15" s="1771">
        <f>SUM(P14:P14)</f>
        <v>0</v>
      </c>
      <c r="Q15" s="1771" t="str">
        <f>IF(ISNUMBER($M15),ROUND($P15-$M15,6),"-")</f>
        <v>-</v>
      </c>
    </row>
    <row r="16">
      <c r="B16" s="1530" t="inlineStr">
        <is>
          <t>Groups with no archetype and no funded figure</t>
        </is>
      </c>
      <c r="C16" s="1530" t="n"/>
      <c r="D16" s="1530" t="n"/>
      <c r="E16" s="1530" t="n"/>
      <c r="F16" s="1530" t="n"/>
      <c r="G16" s="1530" t="n"/>
      <c r="H16" s="1530" t="n"/>
      <c r="I16" s="1530" t="n"/>
      <c r="J16" s="1530" t="n"/>
      <c r="K16" s="1530" t="n"/>
      <c r="L16" s="1530" t="n"/>
      <c r="M16" s="1530" t="n"/>
      <c r="N16" s="1530" t="n"/>
      <c r="O16" s="1530" t="n"/>
      <c r="P16" s="1530" t="n"/>
      <c r="Q16" s="1530" t="n"/>
    </row>
    <row r="17">
      <c r="B17" s="1531" t="inlineStr">
        <is>
          <t>None</t>
        </is>
      </c>
      <c r="C17" s="1531" t="inlineStr">
        <is>
          <t>None - every group here has a figure to compare</t>
        </is>
      </c>
      <c r="D17" s="1539" t="str">
        <f>"-"</f>
        <v>-</v>
      </c>
      <c r="E17" s="1539" t="str">
        <f>"-"</f>
        <v>-</v>
      </c>
      <c r="F17" s="1539" t="str">
        <f>"-"</f>
        <v>-</v>
      </c>
      <c r="G17" s="1539" t="str">
        <f>"-"</f>
        <v>-</v>
      </c>
      <c r="H17" s="1539" t="str">
        <f>"-"</f>
        <v>-</v>
      </c>
      <c r="I17" s="1539" t="str">
        <f>"-"</f>
        <v>-</v>
      </c>
      <c r="J17" s="1539" t="str">
        <f>"-"</f>
        <v>-</v>
      </c>
      <c r="K17" s="1539" t="str">
        <f>"-"</f>
        <v>-</v>
      </c>
      <c r="L17" s="1539" t="str">
        <f>"-"</f>
        <v>-</v>
      </c>
      <c r="M17" s="1539" t="str">
        <f>"-"</f>
        <v>-</v>
      </c>
      <c r="N17" s="1539" t="str">
        <f>"-"</f>
        <v>-</v>
      </c>
      <c r="O17" s="1539" t="str">
        <f>"-"</f>
        <v>-</v>
      </c>
      <c r="P17" s="1539" t="str">
        <f>"-"</f>
        <v>-</v>
      </c>
      <c r="Q17" s="1539" t="str">
        <f>"-"</f>
        <v>-</v>
      </c>
    </row>
    <row r="18">
      <c r="B18" s="1535" t="inlineStr">
        <is>
          <t>Groups with no archetype and no funded figure total</t>
        </is>
      </c>
      <c r="C18" s="1535" t="n"/>
      <c r="D18" s="1535" t="n"/>
      <c r="E18" s="1784">
        <f>SUM(E17:E17)</f>
        <v>0</v>
      </c>
      <c r="F18" s="1772">
        <f>SUM(F17:F17)</f>
        <v>0</v>
      </c>
      <c r="G18" s="1772">
        <f>SUM(G17:G17)</f>
        <v>0</v>
      </c>
      <c r="H18" s="1772">
        <f>SUM(H17:H17)</f>
        <v>0</v>
      </c>
      <c r="I18" s="1772">
        <f>SUM(I17:I17)</f>
        <v>0</v>
      </c>
      <c r="J18" s="1772">
        <f>SUM(J17:J17)</f>
        <v>0</v>
      </c>
      <c r="K18" s="1772">
        <f>SUM(K17:K17)</f>
        <v>0</v>
      </c>
      <c r="L18" s="1772">
        <f>SUM(L17:L17)</f>
        <v>0</v>
      </c>
      <c r="M18" s="1771" t="str">
        <f>IF(COUNT(M17:M17)=1,SUM(M17:M17),"-")</f>
        <v>-</v>
      </c>
      <c r="N18" s="1771">
        <f>SUM(N17:N17)</f>
        <v>0</v>
      </c>
      <c r="O18" s="1771" t="str">
        <f>IF(ISNUMBER($M18),ROUND($N18-$M18,6),"-")</f>
        <v>-</v>
      </c>
      <c r="P18" s="1771">
        <f>SUM(P17:P17)</f>
        <v>0</v>
      </c>
      <c r="Q18" s="1771" t="str">
        <f>IF(ISNUMBER($M18),ROUND($P18-$M18,6),"-")</f>
        <v>-</v>
      </c>
    </row>
    <row r="19">
      <c r="B19" s="1530" t="inlineStr">
        <is>
          <t>Overhead roles</t>
        </is>
      </c>
      <c r="C19" s="1530" t="n"/>
      <c r="D19" s="1530" t="n"/>
      <c r="E19" s="1530" t="n"/>
      <c r="F19" s="1530" t="n"/>
      <c r="G19" s="1530" t="n"/>
      <c r="H19" s="1530" t="n"/>
      <c r="I19" s="1530" t="n"/>
      <c r="J19" s="1530" t="n"/>
      <c r="K19" s="1530" t="n"/>
      <c r="L19" s="1530" t="n"/>
      <c r="M19" s="1530" t="n"/>
      <c r="N19" s="1530" t="n"/>
      <c r="O19" s="1530" t="n"/>
      <c r="P19" s="1530" t="n"/>
      <c r="Q19" s="1530" t="n"/>
    </row>
    <row r="20">
      <c r="B20" s="1531" t="inlineStr">
        <is>
          <t>Head of Technology</t>
        </is>
      </c>
      <c r="C20" s="1531" t="str">
        <f>"-"</f>
        <v>-</v>
      </c>
      <c r="D20" s="1531" t="str">
        <f>"-"</f>
        <v>-</v>
      </c>
      <c r="E20" s="1540" t="str">
        <f>"-"</f>
        <v>-</v>
      </c>
      <c r="F20" s="1770">
        <f>COUNTA($B$70:$B$70)</f>
        <v>1</v>
      </c>
      <c r="G20" s="1770">
        <f>COUNTIFS($D$70:$D$70,"Filled")</f>
        <v>0</v>
      </c>
      <c r="H20" s="1770">
        <f>COUNTIFS($D$70:$D$70,"Vacant")</f>
        <v>1</v>
      </c>
      <c r="I20" s="1770">
        <f>COUNTIFS($D$70:$D$70,"Vacant",$E$70:$E$70,"Hire")</f>
        <v>1</v>
      </c>
      <c r="J20" s="1770">
        <f>COUNTIFS($E$70:$E$70,"Offshore")</f>
        <v>0</v>
      </c>
      <c r="K20" s="1770">
        <f>COUNTIFS($E$70:$E$70,"Hold")</f>
        <v>0</v>
      </c>
      <c r="L20" s="1770">
        <f>$F20-$K20</f>
        <v>1</v>
      </c>
      <c r="M20" s="1540" t="str">
        <f>"-"</f>
        <v>-</v>
      </c>
      <c r="N20" s="1769">
        <f>SUMIFS('REVIEW - Complete Role Mapping'!$AA$2:$AA$528,'REVIEW - Complete Role Mapping'!$AJ$2:$AJ$528,$C$3,'REVIEW - Complete Role Mapping'!$AT$2:$AT$528,$B20)/1000000</f>
        <v>0.291422</v>
      </c>
      <c r="O20" s="1540" t="str">
        <f>"-"</f>
        <v>-</v>
      </c>
      <c r="P20" s="1769">
        <f>SUM($G$70:$G$70)/1000000</f>
        <v>0.291422</v>
      </c>
      <c r="Q20" s="1540" t="str">
        <f>"-"</f>
        <v>-</v>
      </c>
    </row>
    <row r="21">
      <c r="B21" s="1531" t="inlineStr">
        <is>
          <t>Delivery Manager</t>
        </is>
      </c>
      <c r="C21" s="1531" t="str">
        <f>"-"</f>
        <v>-</v>
      </c>
      <c r="D21" s="1531" t="str">
        <f>"-"</f>
        <v>-</v>
      </c>
      <c r="E21" s="1540" t="str">
        <f>"-"</f>
        <v>-</v>
      </c>
      <c r="F21" s="1770">
        <f>COUNTA($B$72:$B$72)</f>
        <v>1</v>
      </c>
      <c r="G21" s="1770">
        <f>COUNTIFS($D$72:$D$72,"Filled")</f>
        <v>0</v>
      </c>
      <c r="H21" s="1770">
        <f>COUNTIFS($D$72:$D$72,"Vacant")</f>
        <v>1</v>
      </c>
      <c r="I21" s="1770">
        <f>COUNTIFS($D$72:$D$72,"Vacant",$E$72:$E$72,"Hire")</f>
        <v>1</v>
      </c>
      <c r="J21" s="1770">
        <f>COUNTIFS($E$72:$E$72,"Offshore")</f>
        <v>0</v>
      </c>
      <c r="K21" s="1770">
        <f>COUNTIFS($E$72:$E$72,"Hold")</f>
        <v>0</v>
      </c>
      <c r="L21" s="1770">
        <f>$F21-$K21</f>
        <v>1</v>
      </c>
      <c r="M21" s="1540" t="str">
        <f>"-"</f>
        <v>-</v>
      </c>
      <c r="N21" s="1769">
        <f>SUMIFS('REVIEW - Complete Role Mapping'!$AA$2:$AA$528,'REVIEW - Complete Role Mapping'!$AJ$2:$AJ$528,$C$3,'REVIEW - Complete Role Mapping'!$AT$2:$AT$528,$B21)/1000000</f>
        <v>0.20285325</v>
      </c>
      <c r="O21" s="1540" t="str">
        <f>"-"</f>
        <v>-</v>
      </c>
      <c r="P21" s="1769">
        <f>SUM($G$72:$G$72)/1000000</f>
        <v>0.20285325</v>
      </c>
      <c r="Q21" s="1540" t="str">
        <f>"-"</f>
        <v>-</v>
      </c>
    </row>
    <row r="22">
      <c r="B22" s="1531" t="inlineStr">
        <is>
          <t>Technology Manager</t>
        </is>
      </c>
      <c r="C22" s="1531" t="str">
        <f>"-"</f>
        <v>-</v>
      </c>
      <c r="D22" s="1531" t="str">
        <f>"-"</f>
        <v>-</v>
      </c>
      <c r="E22" s="1540" t="str">
        <f>"-"</f>
        <v>-</v>
      </c>
      <c r="F22" s="1770">
        <f>COUNTA($B$74:$B$76)</f>
        <v>3</v>
      </c>
      <c r="G22" s="1770">
        <f>COUNTIFS($D$74:$D$76,"Filled")</f>
        <v>3</v>
      </c>
      <c r="H22" s="1770">
        <f>COUNTIFS($D$74:$D$76,"Vacant")</f>
        <v>0</v>
      </c>
      <c r="I22" s="1770">
        <f>COUNTIFS($D$74:$D$76,"Vacant",$E$74:$E$76,"Hire")</f>
        <v>0</v>
      </c>
      <c r="J22" s="1770">
        <f>COUNTIFS($E$74:$E$76,"Offshore")</f>
        <v>0</v>
      </c>
      <c r="K22" s="1770">
        <f>COUNTIFS($E$74:$E$76,"Hold")</f>
        <v>0</v>
      </c>
      <c r="L22" s="1770">
        <f>$F22-$K22</f>
        <v>3</v>
      </c>
      <c r="M22" s="1540" t="str">
        <f>"-"</f>
        <v>-</v>
      </c>
      <c r="N22" s="1769">
        <f>SUMIFS('REVIEW - Complete Role Mapping'!$AA$2:$AA$528,'REVIEW - Complete Role Mapping'!$AJ$2:$AJ$528,$C$3,'REVIEW - Complete Role Mapping'!$AT$2:$AT$528,$B22)/1000000</f>
        <v>0.723068418</v>
      </c>
      <c r="O22" s="1540" t="str">
        <f>"-"</f>
        <v>-</v>
      </c>
      <c r="P22" s="1769">
        <f>SUM($G$74:$G$76)/1000000</f>
        <v>0.723068418</v>
      </c>
      <c r="Q22" s="1540" t="str">
        <f>"-"</f>
        <v>-</v>
      </c>
    </row>
    <row r="23">
      <c r="B23" s="1535" t="inlineStr">
        <is>
          <t>Overhead roles total</t>
        </is>
      </c>
      <c r="C23" s="1535" t="n"/>
      <c r="D23" s="1535" t="n"/>
      <c r="E23" s="1784">
        <f>SUM(E20:E22)</f>
        <v>0</v>
      </c>
      <c r="F23" s="1772">
        <f>SUM(F20:F22)</f>
        <v>5</v>
      </c>
      <c r="G23" s="1772">
        <f>SUM(G20:G22)</f>
        <v>3</v>
      </c>
      <c r="H23" s="1772">
        <f>SUM(H20:H22)</f>
        <v>2</v>
      </c>
      <c r="I23" s="1772">
        <f>SUM(I20:I22)</f>
        <v>2</v>
      </c>
      <c r="J23" s="1772">
        <f>SUM(J20:J22)</f>
        <v>0</v>
      </c>
      <c r="K23" s="1772">
        <f>SUM(K20:K22)</f>
        <v>0</v>
      </c>
      <c r="L23" s="1772">
        <f>SUM(L20:L22)</f>
        <v>5</v>
      </c>
      <c r="M23" s="1771" t="str">
        <f>IF(COUNT(M20:M22)=3,SUM(M20:M22),"-")</f>
        <v>-</v>
      </c>
      <c r="N23" s="1771">
        <f>SUM(N20:N22)</f>
        <v>1.217343668</v>
      </c>
      <c r="O23" s="1771" t="str">
        <f>IF(ISNUMBER($M23),ROUND($N23-$M23,6),"-")</f>
        <v>-</v>
      </c>
      <c r="P23" s="1771">
        <f>SUM(P20:P22)</f>
        <v>1.217343668</v>
      </c>
      <c r="Q23" s="1771" t="str">
        <f>IF(ISNUMBER($M23),ROUND($P23-$M23,6),"-")</f>
        <v>-</v>
      </c>
    </row>
    <row r="24">
      <c r="B24" s="1541" t="inlineStr">
        <is>
          <t>Total portfolio</t>
        </is>
      </c>
      <c r="C24" s="1541" t="n"/>
      <c r="D24" s="1541" t="n"/>
      <c r="E24" s="1785">
        <f>N(E12)+N(E15)+N(E18)+N(E23)</f>
        <v>34.5</v>
      </c>
      <c r="F24" s="1774">
        <f>N(F12)+N(F15)+N(F18)+N(F23)</f>
        <v>39</v>
      </c>
      <c r="G24" s="1774">
        <f>N(G12)+N(G15)+N(G18)+N(G23)</f>
        <v>32</v>
      </c>
      <c r="H24" s="1774">
        <f>N(H12)+N(H15)+N(H18)+N(H23)</f>
        <v>7</v>
      </c>
      <c r="I24" s="1774">
        <f>N(I12)+N(I15)+N(I18)+N(I23)</f>
        <v>7</v>
      </c>
      <c r="J24" s="1774">
        <f>N(J12)+N(J15)+N(J18)+N(J23)</f>
        <v>0</v>
      </c>
      <c r="K24" s="1774">
        <f>N(K12)+N(K15)+N(K18)+N(K23)</f>
        <v>0</v>
      </c>
      <c r="L24" s="1774">
        <f>N(L12)+N(L15)+N(L18)+N(L23)</f>
        <v>39</v>
      </c>
      <c r="M24" s="1773" t="str">
        <f>"-"</f>
        <v>-</v>
      </c>
      <c r="N24" s="1773">
        <f>N(N12)+N(N15)+N(N18)+N(N23)</f>
        <v>7.337294352</v>
      </c>
      <c r="O24" s="1773" t="str">
        <f>"-"</f>
        <v>-</v>
      </c>
      <c r="P24" s="1773">
        <f>N(P12)+N(P15)+N(P18)+N(P23)</f>
        <v>7.337294352</v>
      </c>
      <c r="Q24" s="1773" t="str">
        <f>"-"</f>
        <v>-</v>
      </c>
    </row>
    <row r="26">
      <c r="B26" s="1526" t="inlineStr">
        <is>
          <t>Control - roles against the ledger, must be 0</t>
        </is>
      </c>
      <c r="F26" s="1778">
        <f>$F$24-COUNTIFS('REVIEW - Complete Role Mapping'!$AJ$2:$AJ$528,$C$3)</f>
        <v>0</v>
      </c>
    </row>
    <row r="27">
      <c r="B27" s="1526" t="inlineStr">
        <is>
          <t>Control - cost against the ledger ($m), must be 0</t>
        </is>
      </c>
      <c r="N27" s="1779">
        <f>ROUND($N$24-SUMIFS('REVIEW - Complete Role Mapping'!$AA$2:$AA$528,'REVIEW - Complete Role Mapping'!$AJ$2:$AJ$528,$C$3)/1000000,6)</f>
        <v>0</v>
      </c>
    </row>
    <row r="29" ht="19" customHeight="1" s="866">
      <c r="B29" s="1527" t="inlineStr">
        <is>
          <t>Z Retail FTE</t>
        </is>
      </c>
      <c r="C29" s="1528" t="n"/>
      <c r="D29" s="1528" t="n"/>
      <c r="E29" s="1528" t="n"/>
      <c r="F29" s="1528" t="n"/>
      <c r="G29" s="1528" t="n"/>
    </row>
    <row r="30" ht="34" customHeight="1" s="866">
      <c r="B30" s="1529" t="inlineStr">
        <is>
          <t>Name</t>
        </is>
      </c>
      <c r="C30" s="1529" t="inlineStr">
        <is>
          <t>Role</t>
        </is>
      </c>
      <c r="D30" s="1529" t="inlineStr">
        <is>
          <t>Status</t>
        </is>
      </c>
      <c r="E30" s="1529" t="inlineStr">
        <is>
          <t>Vacancy lever</t>
        </is>
      </c>
      <c r="F30" s="1529" t="inlineStr">
        <is>
          <t>Role cost ($)</t>
        </is>
      </c>
      <c r="G30" s="1529" t="inlineStr">
        <is>
          <t>Cost after decision ($)</t>
        </is>
      </c>
    </row>
    <row r="31">
      <c r="B31" s="1530" t="inlineStr">
        <is>
          <t>Data NZ</t>
        </is>
      </c>
      <c r="C31" s="1530" t="str">
        <f>COUNTA($B$32:$B$38)&amp;IF(COUNTA($B$32:$B$38)=1," role"," roles")</f>
        <v>7 roles</v>
      </c>
      <c r="D31" s="1530" t="n"/>
      <c r="E31" s="1530" t="n"/>
      <c r="F31" s="1786">
        <f>SUM(F32:F38)</f>
        <v>1223843.362</v>
      </c>
      <c r="G31" s="1786">
        <f>SUM(G32:G38)</f>
        <v>1223843.362</v>
      </c>
    </row>
    <row r="32">
      <c r="B32" s="1531" t="str">
        <f>INDEX('REVIEW - Complete Role Mapping'!$B:$B,12)</f>
        <v>Ash Muthumala</v>
      </c>
      <c r="C32" s="1531" t="str">
        <f>INDEX('REVIEW - Complete Role Mapping'!$C:$C,12)</f>
        <v>Senior QA Analyst</v>
      </c>
      <c r="D32" s="1531" t="str">
        <f>INDEX('REVIEW - Complete Role Mapping'!$AK:$AK,12)</f>
        <v>Filled</v>
      </c>
      <c r="E32" s="1548" t="inlineStr">
        <is>
          <t>Filled</t>
        </is>
      </c>
      <c r="F32" s="1770">
        <f>INDEX('REVIEW - Complete Role Mapping'!$AA:$AA,12)</f>
        <v>140772.828</v>
      </c>
      <c r="G32" s="1770">
        <f>$F32*IFERROR(INDEX(Lists!$AD:$AD,MATCH($E32,Lists!$AC:$AC,0)),1)</f>
        <v>140772.828</v>
      </c>
    </row>
    <row r="33">
      <c r="B33" s="1531" t="str">
        <f>INDEX('REVIEW - Complete Role Mapping'!$B:$B,17)</f>
        <v>Brian Lai</v>
      </c>
      <c r="C33" s="1531" t="str">
        <f>INDEX('REVIEW - Complete Role Mapping'!$C:$C,17)</f>
        <v>Engineer - Data</v>
      </c>
      <c r="D33" s="1531" t="str">
        <f>INDEX('REVIEW - Complete Role Mapping'!$AK:$AK,17)</f>
        <v>Filled</v>
      </c>
      <c r="E33" s="1548" t="inlineStr">
        <is>
          <t>Filled</t>
        </is>
      </c>
      <c r="F33" s="1770">
        <f>INDEX('REVIEW - Complete Role Mapping'!$AA:$AA,17)</f>
        <v>155676</v>
      </c>
      <c r="G33" s="1770">
        <f>$F33*IFERROR(INDEX(Lists!$AD:$AD,MATCH($E33,Lists!$AC:$AC,0)),1)</f>
        <v>155676</v>
      </c>
    </row>
    <row r="34">
      <c r="B34" s="1531" t="str">
        <f>INDEX('REVIEW - Complete Role Mapping'!$B:$B,33)</f>
        <v>Jodie Marquez</v>
      </c>
      <c r="C34" s="1531" t="str">
        <f>INDEX('REVIEW - Complete Role Mapping'!$C:$C,33)</f>
        <v>Data Analyst</v>
      </c>
      <c r="D34" s="1531" t="str">
        <f>INDEX('REVIEW - Complete Role Mapping'!$AK:$AK,33)</f>
        <v>Filled</v>
      </c>
      <c r="E34" s="1548" t="inlineStr">
        <is>
          <t>Filled</t>
        </is>
      </c>
      <c r="F34" s="1770">
        <f>INDEX('REVIEW - Complete Role Mapping'!$AA:$AA,33)</f>
        <v>144642.9</v>
      </c>
      <c r="G34" s="1770">
        <f>$F34*IFERROR(INDEX(Lists!$AD:$AD,MATCH($E34,Lists!$AC:$AC,0)),1)</f>
        <v>144642.9</v>
      </c>
    </row>
    <row r="35">
      <c r="B35" s="1531" t="str">
        <f>INDEX('REVIEW - Complete Role Mapping'!$B:$B,49)</f>
        <v>McKenzie Tournquist</v>
      </c>
      <c r="C35" s="1531" t="str">
        <f>INDEX('REVIEW - Complete Role Mapping'!$C:$C,49)</f>
        <v>Data Analyst</v>
      </c>
      <c r="D35" s="1531" t="str">
        <f>INDEX('REVIEW - Complete Role Mapping'!$AK:$AK,49)</f>
        <v>Filled</v>
      </c>
      <c r="E35" s="1548" t="inlineStr">
        <is>
          <t>Filled</t>
        </is>
      </c>
      <c r="F35" s="1770">
        <f>INDEX('REVIEW - Complete Role Mapping'!$AA:$AA,49)</f>
        <v>91809.784</v>
      </c>
      <c r="G35" s="1770">
        <f>$F35*IFERROR(INDEX(Lists!$AD:$AD,MATCH($E35,Lists!$AC:$AC,0)),1)</f>
        <v>91809.784</v>
      </c>
    </row>
    <row r="36">
      <c r="B36" s="1531" t="str">
        <f>INDEX('REVIEW - Complete Role Mapping'!$B:$B,50)</f>
        <v>Michael Dasan</v>
      </c>
      <c r="C36" s="1531" t="str">
        <f>INDEX('REVIEW - Complete Role Mapping'!$C:$C,50)</f>
        <v>Engineer - Data</v>
      </c>
      <c r="D36" s="1531" t="str">
        <f>INDEX('REVIEW - Complete Role Mapping'!$AK:$AK,50)</f>
        <v>Filled</v>
      </c>
      <c r="E36" s="1548" t="inlineStr">
        <is>
          <t>Filled</t>
        </is>
      </c>
      <c r="F36" s="1770">
        <f>INDEX('REVIEW - Complete Role Mapping'!$AA:$AA,50)</f>
        <v>212278.35</v>
      </c>
      <c r="G36" s="1770">
        <f>$F36*IFERROR(INDEX(Lists!$AD:$AD,MATCH($E36,Lists!$AC:$AC,0)),1)</f>
        <v>212278.35</v>
      </c>
    </row>
    <row r="37">
      <c r="B37" s="1531" t="str">
        <f>INDEX('REVIEW - Complete Role Mapping'!$B:$B,73)</f>
        <v>Vacant</v>
      </c>
      <c r="C37" s="1531" t="str">
        <f>INDEX('REVIEW - Complete Role Mapping'!$C:$C,73)</f>
        <v>Delivery Lead</v>
      </c>
      <c r="D37" s="1531" t="str">
        <f>INDEX('REVIEW - Complete Role Mapping'!$AK:$AK,73)</f>
        <v>Vacant</v>
      </c>
      <c r="E37" s="1548" t="inlineStr">
        <is>
          <t>Hire</t>
        </is>
      </c>
      <c r="F37" s="1770">
        <f>INDEX('REVIEW - Complete Role Mapping'!$AA:$AA,73)</f>
        <v>275810.25</v>
      </c>
      <c r="G37" s="1770">
        <f>$F37*IFERROR(INDEX(Lists!$AD:$AD,MATCH($E37,Lists!$AC:$AC,0)),1)</f>
        <v>275810.25</v>
      </c>
    </row>
    <row r="38">
      <c r="B38" s="1531" t="str">
        <f>INDEX('REVIEW - Complete Role Mapping'!$B:$B,78)</f>
        <v>Vacant</v>
      </c>
      <c r="C38" s="1531" t="str">
        <f>INDEX('REVIEW - Complete Role Mapping'!$C:$C,78)</f>
        <v>Engineer - Data</v>
      </c>
      <c r="D38" s="1531" t="str">
        <f>INDEX('REVIEW - Complete Role Mapping'!$AK:$AK,78)</f>
        <v>Vacant</v>
      </c>
      <c r="E38" s="1548" t="inlineStr">
        <is>
          <t>Hire</t>
        </is>
      </c>
      <c r="F38" s="1770">
        <f>INDEX('REVIEW - Complete Role Mapping'!$AA:$AA,78)</f>
        <v>202853.25</v>
      </c>
      <c r="G38" s="1770">
        <f>$F38*IFERROR(INDEX(Lists!$AD:$AD,MATCH($E38,Lists!$AC:$AC,0)),1)</f>
        <v>202853.25</v>
      </c>
    </row>
    <row r="39">
      <c r="B39" s="1530" t="inlineStr">
        <is>
          <t>Site Systems</t>
        </is>
      </c>
      <c r="C39" s="1530" t="str">
        <f>COUNTA($B$40:$B$48)&amp;IF(COUNTA($B$40:$B$48)=1," role"," roles")</f>
        <v>9 roles</v>
      </c>
      <c r="D39" s="1530" t="n"/>
      <c r="E39" s="1530" t="n"/>
      <c r="F39" s="1786">
        <f>SUM(F40:F48)</f>
        <v>1374665.758</v>
      </c>
      <c r="G39" s="1786">
        <f>SUM(G40:G48)</f>
        <v>1374665.758</v>
      </c>
    </row>
    <row r="40">
      <c r="B40" s="1531" t="str">
        <f>INDEX('REVIEW - Complete Role Mapping'!$B:$B,5)</f>
        <v>Alex Sutherland</v>
      </c>
      <c r="C40" s="1531" t="str">
        <f>INDEX('REVIEW - Complete Role Mapping'!$C:$C,5)</f>
        <v>Site Systems Analyst</v>
      </c>
      <c r="D40" s="1531" t="str">
        <f>INDEX('REVIEW - Complete Role Mapping'!$AK:$AK,5)</f>
        <v>Filled</v>
      </c>
      <c r="E40" s="1548" t="inlineStr">
        <is>
          <t>Filled</t>
        </is>
      </c>
      <c r="F40" s="1770">
        <f>INDEX('REVIEW - Complete Role Mapping'!$AA:$AA,5)</f>
        <v>96857.824</v>
      </c>
      <c r="G40" s="1770">
        <f>$F40*IFERROR(INDEX(Lists!$AD:$AD,MATCH($E40,Lists!$AC:$AC,0)),1)</f>
        <v>96857.824</v>
      </c>
    </row>
    <row r="41">
      <c r="B41" s="1531" t="str">
        <f>INDEX('REVIEW - Complete Role Mapping'!$B:$B,16)</f>
        <v>Bradley Cunningham</v>
      </c>
      <c r="C41" s="1531" t="str">
        <f>INDEX('REVIEW - Complete Role Mapping'!$C:$C,16)</f>
        <v>Site Systems Analyst</v>
      </c>
      <c r="D41" s="1531" t="str">
        <f>INDEX('REVIEW - Complete Role Mapping'!$AK:$AK,16)</f>
        <v>Filled</v>
      </c>
      <c r="E41" s="1548" t="inlineStr">
        <is>
          <t>Filled</t>
        </is>
      </c>
      <c r="F41" s="1770">
        <f>INDEX('REVIEW - Complete Role Mapping'!$AA:$AA,16)</f>
        <v>107247.016</v>
      </c>
      <c r="G41" s="1770">
        <f>$F41*IFERROR(INDEX(Lists!$AD:$AD,MATCH($E41,Lists!$AC:$AC,0)),1)</f>
        <v>107247.016</v>
      </c>
    </row>
    <row r="42">
      <c r="B42" s="1531" t="str">
        <f>INDEX('REVIEW - Complete Role Mapping'!$B:$B,19)</f>
        <v>Chris Mitchell</v>
      </c>
      <c r="C42" s="1531" t="str">
        <f>INDEX('REVIEW - Complete Role Mapping'!$C:$C,19)</f>
        <v>Deployment Lead</v>
      </c>
      <c r="D42" s="1531" t="str">
        <f>INDEX('REVIEW - Complete Role Mapping'!$AK:$AK,19)</f>
        <v>Filled</v>
      </c>
      <c r="E42" s="1548" t="inlineStr">
        <is>
          <t>Filled</t>
        </is>
      </c>
      <c r="F42" s="1770">
        <f>INDEX('REVIEW - Complete Role Mapping'!$AA:$AA,19)</f>
        <v>136438.8</v>
      </c>
      <c r="G42" s="1770">
        <f>$F42*IFERROR(INDEX(Lists!$AD:$AD,MATCH($E42,Lists!$AC:$AC,0)),1)</f>
        <v>136438.8</v>
      </c>
    </row>
    <row r="43">
      <c r="B43" s="1531" t="str">
        <f>INDEX('REVIEW - Complete Role Mapping'!$B:$B,20)</f>
        <v>Chris Wilson</v>
      </c>
      <c r="C43" s="1531" t="str">
        <f>INDEX('REVIEW - Complete Role Mapping'!$C:$C,20)</f>
        <v>Solution Architect</v>
      </c>
      <c r="D43" s="1531" t="str">
        <f>INDEX('REVIEW - Complete Role Mapping'!$AK:$AK,20)</f>
        <v>Filled</v>
      </c>
      <c r="E43" s="1548" t="inlineStr">
        <is>
          <t>Filled</t>
        </is>
      </c>
      <c r="F43" s="1770">
        <f>INDEX('REVIEW - Complete Role Mapping'!$AA:$AA,20)</f>
        <v>186217.884</v>
      </c>
      <c r="G43" s="1770">
        <f>$F43*IFERROR(INDEX(Lists!$AD:$AD,MATCH($E43,Lists!$AC:$AC,0)),1)</f>
        <v>186217.884</v>
      </c>
    </row>
    <row r="44">
      <c r="B44" s="1531" t="str">
        <f>INDEX('REVIEW - Complete Role Mapping'!$B:$B,40)</f>
        <v>Kelly Russell</v>
      </c>
      <c r="C44" s="1531" t="str">
        <f>INDEX('REVIEW - Complete Role Mapping'!$C:$C,40)</f>
        <v>Lead Quality Assurance</v>
      </c>
      <c r="D44" s="1531" t="str">
        <f>INDEX('REVIEW - Complete Role Mapping'!$AK:$AK,40)</f>
        <v>Filled</v>
      </c>
      <c r="E44" s="1548" t="inlineStr">
        <is>
          <t>Filled</t>
        </is>
      </c>
      <c r="F44" s="1770">
        <f>INDEX('REVIEW - Complete Role Mapping'!$AA:$AA,40)</f>
        <v>81073.2</v>
      </c>
      <c r="G44" s="1770">
        <f>$F44*IFERROR(INDEX(Lists!$AD:$AD,MATCH($E44,Lists!$AC:$AC,0)),1)</f>
        <v>81073.2</v>
      </c>
    </row>
    <row r="45">
      <c r="B45" s="1531" t="str">
        <f>INDEX('REVIEW - Complete Role Mapping'!$B:$B,56)</f>
        <v>Sakshi Sachdeva</v>
      </c>
      <c r="C45" s="1531" t="str">
        <f>INDEX('REVIEW - Complete Role Mapping'!$C:$C,56)</f>
        <v>Senior Quality Assurance </v>
      </c>
      <c r="D45" s="1531" t="str">
        <f>INDEX('REVIEW - Complete Role Mapping'!$AK:$AK,56)</f>
        <v>Filled</v>
      </c>
      <c r="E45" s="1548" t="inlineStr">
        <is>
          <t>Filled</t>
        </is>
      </c>
      <c r="F45" s="1770">
        <f>INDEX('REVIEW - Complete Role Mapping'!$AA:$AA,56)</f>
        <v>175039.65</v>
      </c>
      <c r="G45" s="1770">
        <f>$F45*IFERROR(INDEX(Lists!$AD:$AD,MATCH($E45,Lists!$AC:$AC,0)),1)</f>
        <v>175039.65</v>
      </c>
    </row>
    <row r="46">
      <c r="B46" s="1531" t="str">
        <f>INDEX('REVIEW - Complete Role Mapping'!$B:$B,63)</f>
        <v>Tim Gurnsey</v>
      </c>
      <c r="C46" s="1531" t="str">
        <f>INDEX('REVIEW - Complete Role Mapping'!$C:$C,63)</f>
        <v>Delivery Lead</v>
      </c>
      <c r="D46" s="1531" t="str">
        <f>INDEX('REVIEW - Complete Role Mapping'!$AK:$AK,63)</f>
        <v>Filled</v>
      </c>
      <c r="E46" s="1548" t="inlineStr">
        <is>
          <t>Filled</t>
        </is>
      </c>
      <c r="F46" s="1770">
        <f>INDEX('REVIEW - Complete Role Mapping'!$AA:$AA,63)</f>
        <v>256913.42</v>
      </c>
      <c r="G46" s="1770">
        <f>$F46*IFERROR(INDEX(Lists!$AD:$AD,MATCH($E46,Lists!$AC:$AC,0)),1)</f>
        <v>256913.42</v>
      </c>
    </row>
    <row r="47">
      <c r="B47" s="1531" t="str">
        <f>INDEX('REVIEW - Complete Role Mapping'!$B:$B,98)</f>
        <v>Vanessa King</v>
      </c>
      <c r="C47" s="1531" t="str">
        <f>INDEX('REVIEW - Complete Role Mapping'!$C:$C,98)</f>
        <v>Lead Quality Assurance</v>
      </c>
      <c r="D47" s="1531" t="str">
        <f>INDEX('REVIEW - Complete Role Mapping'!$AK:$AK,98)</f>
        <v>Filled</v>
      </c>
      <c r="E47" s="1548" t="inlineStr">
        <is>
          <t>Filled</t>
        </is>
      </c>
      <c r="F47" s="1770">
        <f>INDEX('REVIEW - Complete Role Mapping'!$AA:$AA,98)</f>
        <v>199898.928</v>
      </c>
      <c r="G47" s="1770">
        <f>$F47*IFERROR(INDEX(Lists!$AD:$AD,MATCH($E47,Lists!$AC:$AC,0)),1)</f>
        <v>199898.928</v>
      </c>
    </row>
    <row r="48">
      <c r="B48" s="1531" t="str">
        <f>INDEX('REVIEW - Complete Role Mapping'!$B:$B,105)</f>
        <v>Warren Grieve</v>
      </c>
      <c r="C48" s="1531" t="str">
        <f>INDEX('REVIEW - Complete Role Mapping'!$C:$C,105)</f>
        <v>Senior Site Systems Analyst</v>
      </c>
      <c r="D48" s="1531" t="str">
        <f>INDEX('REVIEW - Complete Role Mapping'!$AK:$AK,105)</f>
        <v>Filled</v>
      </c>
      <c r="E48" s="1548" t="inlineStr">
        <is>
          <t>Filled</t>
        </is>
      </c>
      <c r="F48" s="1770">
        <f>INDEX('REVIEW - Complete Role Mapping'!$AA:$AA,105)</f>
        <v>134979.036</v>
      </c>
      <c r="G48" s="1770">
        <f>$F48*IFERROR(INDEX(Lists!$AD:$AD,MATCH($E48,Lists!$AC:$AC,0)),1)</f>
        <v>134979.036</v>
      </c>
    </row>
    <row r="49">
      <c r="B49" s="1530" t="inlineStr">
        <is>
          <t>Z Retail Backend</t>
        </is>
      </c>
      <c r="C49" s="1530" t="str">
        <f>COUNTA($B$50:$B$58)&amp;IF(COUNTA($B$50:$B$58)=1," role"," roles")</f>
        <v>9 roles</v>
      </c>
      <c r="D49" s="1530" t="n"/>
      <c r="E49" s="1530" t="n"/>
      <c r="F49" s="1786">
        <f>SUM(F50:F58)</f>
        <v>1857667.168</v>
      </c>
      <c r="G49" s="1786">
        <f>SUM(G50:G58)</f>
        <v>1857667.168</v>
      </c>
    </row>
    <row r="50">
      <c r="B50" s="1531" t="str">
        <f>INDEX('REVIEW - Complete Role Mapping'!$B:$B,2)</f>
        <v>Adrian Alcance</v>
      </c>
      <c r="C50" s="1531" t="str">
        <f>INDEX('REVIEW - Complete Role Mapping'!$C:$C,2)</f>
        <v>Senior Engineer - DevOps</v>
      </c>
      <c r="D50" s="1531" t="str">
        <f>INDEX('REVIEW - Complete Role Mapping'!$AK:$AK,2)</f>
        <v>Filled</v>
      </c>
      <c r="E50" s="1548" t="inlineStr">
        <is>
          <t>Filled</t>
        </is>
      </c>
      <c r="F50" s="1770">
        <f>INDEX('REVIEW - Complete Role Mapping'!$AA:$AA,2)</f>
        <v>142900.236</v>
      </c>
      <c r="G50" s="1770">
        <f>$F50*IFERROR(INDEX(Lists!$AD:$AD,MATCH($E50,Lists!$AC:$AC,0)),1)</f>
        <v>142900.236</v>
      </c>
    </row>
    <row r="51">
      <c r="B51" s="1531" t="str">
        <f>INDEX('REVIEW - Complete Role Mapping'!$B:$B,6)</f>
        <v>Allana Arbuckle</v>
      </c>
      <c r="C51" s="1531" t="str">
        <f>INDEX('REVIEW - Complete Role Mapping'!$C:$C,6)</f>
        <v>Business Analyst</v>
      </c>
      <c r="D51" s="1531" t="str">
        <f>INDEX('REVIEW - Complete Role Mapping'!$AK:$AK,6)</f>
        <v>Filled</v>
      </c>
      <c r="E51" s="1548" t="inlineStr">
        <is>
          <t>Filled</t>
        </is>
      </c>
      <c r="F51" s="1770">
        <f>INDEX('REVIEW - Complete Role Mapping'!$AA:$AA,6)</f>
        <v>112447.04</v>
      </c>
      <c r="G51" s="1770">
        <f>$F51*IFERROR(INDEX(Lists!$AD:$AD,MATCH($E51,Lists!$AC:$AC,0)),1)</f>
        <v>112447.04</v>
      </c>
    </row>
    <row r="52">
      <c r="B52" s="1531" t="str">
        <f>INDEX('REVIEW - Complete Role Mapping'!$B:$B,21)</f>
        <v>Christian Guo</v>
      </c>
      <c r="C52" s="1531" t="str">
        <f>INDEX('REVIEW - Complete Role Mapping'!$C:$C,21)</f>
        <v>Solution Architect</v>
      </c>
      <c r="D52" s="1531" t="str">
        <f>INDEX('REVIEW - Complete Role Mapping'!$AK:$AK,21)</f>
        <v>Filled</v>
      </c>
      <c r="E52" s="1548" t="inlineStr">
        <is>
          <t>Filled</t>
        </is>
      </c>
      <c r="F52" s="1770">
        <f>INDEX('REVIEW - Complete Role Mapping'!$AA:$AA,21)</f>
        <v>206598</v>
      </c>
      <c r="G52" s="1770">
        <f>$F52*IFERROR(INDEX(Lists!$AD:$AD,MATCH($E52,Lists!$AC:$AC,0)),1)</f>
        <v>206598</v>
      </c>
    </row>
    <row r="53">
      <c r="B53" s="1531" t="str">
        <f>INDEX('REVIEW - Complete Role Mapping'!$B:$B,41)</f>
        <v>Lauren Lancaster</v>
      </c>
      <c r="C53" s="1531" t="str">
        <f>INDEX('REVIEW - Complete Role Mapping'!$C:$C,41)</f>
        <v>Associate Engineer - Software</v>
      </c>
      <c r="D53" s="1531" t="str">
        <f>INDEX('REVIEW - Complete Role Mapping'!$AK:$AK,41)</f>
        <v>Filled</v>
      </c>
      <c r="E53" s="1548" t="inlineStr">
        <is>
          <t>Filled</t>
        </is>
      </c>
      <c r="F53" s="1770">
        <f>INDEX('REVIEW - Complete Role Mapping'!$AA:$AA,41)</f>
        <v>438650</v>
      </c>
      <c r="G53" s="1770">
        <f>$F53*IFERROR(INDEX(Lists!$AD:$AD,MATCH($E53,Lists!$AC:$AC,0)),1)</f>
        <v>438650</v>
      </c>
    </row>
    <row r="54">
      <c r="B54" s="1531" t="str">
        <f>INDEX('REVIEW - Complete Role Mapping'!$B:$B,44)</f>
        <v>Malachi Ah Hoi</v>
      </c>
      <c r="C54" s="1531" t="str">
        <f>INDEX('REVIEW - Complete Role Mapping'!$C:$C,44)</f>
        <v>Senior Quality Assurance</v>
      </c>
      <c r="D54" s="1531" t="str">
        <f>INDEX('REVIEW - Complete Role Mapping'!$AK:$AK,44)</f>
        <v>Filled</v>
      </c>
      <c r="E54" s="1548" t="inlineStr">
        <is>
          <t>Filled</t>
        </is>
      </c>
      <c r="F54" s="1770">
        <f>INDEX('REVIEW - Complete Role Mapping'!$AA:$AA,44)</f>
        <v>199378.392</v>
      </c>
      <c r="G54" s="1770">
        <f>$F54*IFERROR(INDEX(Lists!$AD:$AD,MATCH($E54,Lists!$AC:$AC,0)),1)</f>
        <v>199378.392</v>
      </c>
    </row>
    <row r="55">
      <c r="B55" s="1531" t="str">
        <f>INDEX('REVIEW - Complete Role Mapping'!$B:$B,46)</f>
        <v>Mark Dickson</v>
      </c>
      <c r="C55" s="1531" t="str">
        <f>INDEX('REVIEW - Complete Role Mapping'!$C:$C,46)</f>
        <v>Delivery Lead</v>
      </c>
      <c r="D55" s="1531" t="str">
        <f>INDEX('REVIEW - Complete Role Mapping'!$AK:$AK,46)</f>
        <v>Filled</v>
      </c>
      <c r="E55" s="1548" t="inlineStr">
        <is>
          <t>Filled</t>
        </is>
      </c>
      <c r="F55" s="1770">
        <f>INDEX('REVIEW - Complete Role Mapping'!$AA:$AA,46)</f>
        <v>180225</v>
      </c>
      <c r="G55" s="1770">
        <f>$F55*IFERROR(INDEX(Lists!$AD:$AD,MATCH($E55,Lists!$AC:$AC,0)),1)</f>
        <v>180225</v>
      </c>
    </row>
    <row r="56">
      <c r="B56" s="1531" t="str">
        <f>INDEX('REVIEW - Complete Role Mapping'!$B:$B,65)</f>
        <v>Trevor Weaver</v>
      </c>
      <c r="C56" s="1531" t="str">
        <f>INDEX('REVIEW - Complete Role Mapping'!$C:$C,65)</f>
        <v>Lead  Engineer - Software</v>
      </c>
      <c r="D56" s="1531" t="str">
        <f>INDEX('REVIEW - Complete Role Mapping'!$AK:$AK,65)</f>
        <v>Filled</v>
      </c>
      <c r="E56" s="1548" t="inlineStr">
        <is>
          <t>Filled</t>
        </is>
      </c>
      <c r="F56" s="1770">
        <f>INDEX('REVIEW - Complete Role Mapping'!$AA:$AA,65)</f>
        <v>175289.5</v>
      </c>
      <c r="G56" s="1770">
        <f>$F56*IFERROR(INDEX(Lists!$AD:$AD,MATCH($E56,Lists!$AC:$AC,0)),1)</f>
        <v>175289.5</v>
      </c>
    </row>
    <row r="57">
      <c r="B57" s="1531" t="str">
        <f>INDEX('REVIEW - Complete Role Mapping'!$B:$B,80)</f>
        <v>Vacant</v>
      </c>
      <c r="C57" s="1531" t="str">
        <f>INDEX('REVIEW - Complete Role Mapping'!$C:$C,80)</f>
        <v>Engineer - Software</v>
      </c>
      <c r="D57" s="1531" t="str">
        <f>INDEX('REVIEW - Complete Role Mapping'!$AK:$AK,80)</f>
        <v>Vacant</v>
      </c>
      <c r="E57" s="1548" t="inlineStr">
        <is>
          <t>Hire</t>
        </is>
      </c>
      <c r="F57" s="1770">
        <f>INDEX('REVIEW - Complete Role Mapping'!$AA:$AA,80)</f>
        <v>231689.25</v>
      </c>
      <c r="G57" s="1770">
        <f>$F57*IFERROR(INDEX(Lists!$AD:$AD,MATCH($E57,Lists!$AC:$AC,0)),1)</f>
        <v>231689.25</v>
      </c>
    </row>
    <row r="58">
      <c r="B58" s="1531" t="str">
        <f>INDEX('REVIEW - Complete Role Mapping'!$B:$B,84)</f>
        <v>Vacant</v>
      </c>
      <c r="C58" s="1531" t="str">
        <f>INDEX('REVIEW - Complete Role Mapping'!$C:$C,84)</f>
        <v>Lead Quality Assurance</v>
      </c>
      <c r="D58" s="1531" t="str">
        <f>INDEX('REVIEW - Complete Role Mapping'!$AK:$AK,84)</f>
        <v>Vacant</v>
      </c>
      <c r="E58" s="1548" t="inlineStr">
        <is>
          <t>Hire</t>
        </is>
      </c>
      <c r="F58" s="1770">
        <f>INDEX('REVIEW - Complete Role Mapping'!$AA:$AA,84)</f>
        <v>170489.75</v>
      </c>
      <c r="G58" s="1770">
        <f>$F58*IFERROR(INDEX(Lists!$AD:$AD,MATCH($E58,Lists!$AC:$AC,0)),1)</f>
        <v>170489.75</v>
      </c>
    </row>
    <row r="59">
      <c r="B59" s="1530" t="inlineStr">
        <is>
          <t>Z Supply</t>
        </is>
      </c>
      <c r="C59" s="1530" t="str">
        <f>COUNTA($B$60:$B$68)&amp;IF(COUNTA($B$60:$B$68)=1," role"," roles")</f>
        <v>9 roles</v>
      </c>
      <c r="D59" s="1530" t="n"/>
      <c r="E59" s="1530" t="n"/>
      <c r="F59" s="1786">
        <f>SUM(F60:F68)</f>
        <v>1663774.396</v>
      </c>
      <c r="G59" s="1786">
        <f>SUM(G60:G68)</f>
        <v>1663774.396</v>
      </c>
    </row>
    <row r="60">
      <c r="B60" s="1531" t="str">
        <f>INDEX('REVIEW - Complete Role Mapping'!$B:$B,9)</f>
        <v>Anna Koot</v>
      </c>
      <c r="C60" s="1531" t="str">
        <f>INDEX('REVIEW - Complete Role Mapping'!$C:$C,9)</f>
        <v>Senior Business Analyst</v>
      </c>
      <c r="D60" s="1531" t="str">
        <f>INDEX('REVIEW - Complete Role Mapping'!$AK:$AK,9)</f>
        <v>Filled</v>
      </c>
      <c r="E60" s="1548" t="inlineStr">
        <is>
          <t>Filled</t>
        </is>
      </c>
      <c r="F60" s="1770">
        <f>INDEX('REVIEW - Complete Role Mapping'!$AA:$AA,9)</f>
        <v>153774.912</v>
      </c>
      <c r="G60" s="1770">
        <f>$F60*IFERROR(INDEX(Lists!$AD:$AD,MATCH($E60,Lists!$AC:$AC,0)),1)</f>
        <v>153774.912</v>
      </c>
    </row>
    <row r="61">
      <c r="B61" s="1531" t="str">
        <f>INDEX('REVIEW - Complete Role Mapping'!$B:$B,15)</f>
        <v>Benjamin Sheffield</v>
      </c>
      <c r="C61" s="1531" t="str">
        <f>INDEX('REVIEW - Complete Role Mapping'!$C:$C,15)</f>
        <v>Lead Engineer - Software</v>
      </c>
      <c r="D61" s="1531" t="str">
        <f>INDEX('REVIEW - Complete Role Mapping'!$AK:$AK,15)</f>
        <v>Filled</v>
      </c>
      <c r="E61" s="1548" t="inlineStr">
        <is>
          <t>Filled</t>
        </is>
      </c>
      <c r="F61" s="1770">
        <f>INDEX('REVIEW - Complete Role Mapping'!$AA:$AA,15)</f>
        <v>184248.9</v>
      </c>
      <c r="G61" s="1770">
        <f>$F61*IFERROR(INDEX(Lists!$AD:$AD,MATCH($E61,Lists!$AC:$AC,0)),1)</f>
        <v>184248.9</v>
      </c>
    </row>
    <row r="62">
      <c r="B62" s="1531" t="str">
        <f>INDEX('REVIEW - Complete Role Mapping'!$B:$B,25)</f>
        <v>Eugene Yeo</v>
      </c>
      <c r="C62" s="1531" t="str">
        <f>INDEX('REVIEW - Complete Role Mapping'!$C:$C,25)</f>
        <v>Engineer - DevOps</v>
      </c>
      <c r="D62" s="1531" t="str">
        <f>INDEX('REVIEW - Complete Role Mapping'!$AK:$AK,25)</f>
        <v>Filled</v>
      </c>
      <c r="E62" s="1548" t="inlineStr">
        <is>
          <t>Filled</t>
        </is>
      </c>
      <c r="F62" s="1770">
        <f>INDEX('REVIEW - Complete Role Mapping'!$AA:$AA,25)</f>
        <v>116898</v>
      </c>
      <c r="G62" s="1770">
        <f>$F62*IFERROR(INDEX(Lists!$AD:$AD,MATCH($E62,Lists!$AC:$AC,0)),1)</f>
        <v>116898</v>
      </c>
    </row>
    <row r="63">
      <c r="B63" s="1531" t="str">
        <f>INDEX('REVIEW - Complete Role Mapping'!$B:$B,26)</f>
        <v>Gayan Liyana Arachchige</v>
      </c>
      <c r="C63" s="1531" t="str">
        <f>INDEX('REVIEW - Complete Role Mapping'!$C:$C,26)</f>
        <v>Engineer - DevOps</v>
      </c>
      <c r="D63" s="1531" t="str">
        <f>INDEX('REVIEW - Complete Role Mapping'!$AK:$AK,26)</f>
        <v>Filled</v>
      </c>
      <c r="E63" s="1548" t="inlineStr">
        <is>
          <t>Filled</t>
        </is>
      </c>
      <c r="F63" s="1770">
        <f>INDEX('REVIEW - Complete Role Mapping'!$AA:$AA,26)</f>
        <v>174513.65</v>
      </c>
      <c r="G63" s="1770">
        <f>$F63*IFERROR(INDEX(Lists!$AD:$AD,MATCH($E63,Lists!$AC:$AC,0)),1)</f>
        <v>174513.65</v>
      </c>
    </row>
    <row r="64">
      <c r="B64" s="1531" t="str">
        <f>INDEX('REVIEW - Complete Role Mapping'!$B:$B,29)</f>
        <v>Helen Jones</v>
      </c>
      <c r="C64" s="1531" t="str">
        <f>INDEX('REVIEW - Complete Role Mapping'!$C:$C,29)</f>
        <v>Delivery Lead</v>
      </c>
      <c r="D64" s="1531" t="str">
        <f>INDEX('REVIEW - Complete Role Mapping'!$AK:$AK,29)</f>
        <v>Filled</v>
      </c>
      <c r="E64" s="1548" t="inlineStr">
        <is>
          <t>Filled</t>
        </is>
      </c>
      <c r="F64" s="1770">
        <f>INDEX('REVIEW - Complete Role Mapping'!$AA:$AA,29)</f>
        <v>239418.9</v>
      </c>
      <c r="G64" s="1770">
        <f>$F64*IFERROR(INDEX(Lists!$AD:$AD,MATCH($E64,Lists!$AC:$AC,0)),1)</f>
        <v>239418.9</v>
      </c>
    </row>
    <row r="65">
      <c r="B65" s="1531" t="str">
        <f>INDEX('REVIEW - Complete Role Mapping'!$B:$B,31)</f>
        <v>Isuru Herath</v>
      </c>
      <c r="C65" s="1531" t="str">
        <f>INDEX('REVIEW - Complete Role Mapping'!$C:$C,31)</f>
        <v>Senior Engineer - Software</v>
      </c>
      <c r="D65" s="1531" t="str">
        <f>INDEX('REVIEW - Complete Role Mapping'!$AK:$AK,31)</f>
        <v>Filled</v>
      </c>
      <c r="E65" s="1548" t="inlineStr">
        <is>
          <t>Filled</t>
        </is>
      </c>
      <c r="F65" s="1770">
        <f>INDEX('REVIEW - Complete Role Mapping'!$AA:$AA,31)</f>
        <v>224493.6</v>
      </c>
      <c r="G65" s="1770">
        <f>$F65*IFERROR(INDEX(Lists!$AD:$AD,MATCH($E65,Lists!$AC:$AC,0)),1)</f>
        <v>224493.6</v>
      </c>
    </row>
    <row r="66">
      <c r="B66" s="1531" t="str">
        <f>INDEX('REVIEW - Complete Role Mapping'!$B:$B,34)</f>
        <v>Joe Kuttikkatt</v>
      </c>
      <c r="C66" s="1531" t="str">
        <f>INDEX('REVIEW - Complete Role Mapping'!$C:$C,34)</f>
        <v>Senior Quality Assurance</v>
      </c>
      <c r="D66" s="1531" t="str">
        <f>INDEX('REVIEW - Complete Role Mapping'!$AK:$AK,34)</f>
        <v>Filled</v>
      </c>
      <c r="E66" s="1548" t="inlineStr">
        <is>
          <t>Filled</t>
        </is>
      </c>
      <c r="F66" s="1770">
        <f>INDEX('REVIEW - Complete Role Mapping'!$AA:$AA,34)</f>
        <v>104565.584</v>
      </c>
      <c r="G66" s="1770">
        <f>$F66*IFERROR(INDEX(Lists!$AD:$AD,MATCH($E66,Lists!$AC:$AC,0)),1)</f>
        <v>104565.584</v>
      </c>
    </row>
    <row r="67">
      <c r="B67" s="1531" t="str">
        <f>INDEX('REVIEW - Complete Role Mapping'!$B:$B,35)</f>
        <v>Johanah Gloria</v>
      </c>
      <c r="C67" s="1531" t="str">
        <f>INDEX('REVIEW - Complete Role Mapping'!$C:$C,35)</f>
        <v>Engineer - Software</v>
      </c>
      <c r="D67" s="1531" t="str">
        <f>INDEX('REVIEW - Complete Role Mapping'!$AK:$AK,35)</f>
        <v>Filled</v>
      </c>
      <c r="E67" s="1548" t="inlineStr">
        <is>
          <t>Filled</t>
        </is>
      </c>
      <c r="F67" s="1770">
        <f>INDEX('REVIEW - Complete Role Mapping'!$AA:$AA,35)</f>
        <v>190050.6</v>
      </c>
      <c r="G67" s="1770">
        <f>$F67*IFERROR(INDEX(Lists!$AD:$AD,MATCH($E67,Lists!$AC:$AC,0)),1)</f>
        <v>190050.6</v>
      </c>
    </row>
    <row r="68">
      <c r="B68" s="1531" t="str">
        <f>INDEX('REVIEW - Complete Role Mapping'!$B:$B,89)</f>
        <v>Vacant</v>
      </c>
      <c r="C68" s="1531" t="str">
        <f>INDEX('REVIEW - Complete Role Mapping'!$C:$C,89)</f>
        <v>Quality Assurance</v>
      </c>
      <c r="D68" s="1531" t="str">
        <f>INDEX('REVIEW - Complete Role Mapping'!$AK:$AK,89)</f>
        <v>Vacant</v>
      </c>
      <c r="E68" s="1548" t="inlineStr">
        <is>
          <t>Hire</t>
        </is>
      </c>
      <c r="F68" s="1770">
        <f>INDEX('REVIEW - Complete Role Mapping'!$AA:$AA,89)</f>
        <v>275810.25</v>
      </c>
      <c r="G68" s="1770">
        <f>$F68*IFERROR(INDEX(Lists!$AD:$AD,MATCH($E68,Lists!$AC:$AC,0)),1)</f>
        <v>275810.25</v>
      </c>
    </row>
    <row r="69">
      <c r="B69" s="1530" t="inlineStr">
        <is>
          <t>Head of Technology</t>
        </is>
      </c>
      <c r="C69" s="1530" t="str">
        <f>COUNTA($B$70:$B$70)&amp;IF(COUNTA($B$70:$B$70)=1," role"," roles")</f>
        <v>1 role</v>
      </c>
      <c r="D69" s="1530" t="n"/>
      <c r="E69" s="1530" t="n"/>
      <c r="F69" s="1786">
        <f>SUM(F70:F70)</f>
        <v>291422</v>
      </c>
      <c r="G69" s="1786">
        <f>SUM(G70:G70)</f>
        <v>291422</v>
      </c>
    </row>
    <row r="70">
      <c r="B70" s="1531" t="str">
        <f>INDEX('REVIEW - Complete Role Mapping'!$B:$B,82)</f>
        <v>Vacant</v>
      </c>
      <c r="C70" s="1531" t="str">
        <f>INDEX('REVIEW - Complete Role Mapping'!$C:$C,82)</f>
        <v>Head of Technology, Z and Group Retail Platforms</v>
      </c>
      <c r="D70" s="1531" t="str">
        <f>INDEX('REVIEW - Complete Role Mapping'!$AK:$AK,82)</f>
        <v>Vacant</v>
      </c>
      <c r="E70" s="1548" t="inlineStr">
        <is>
          <t>Hire</t>
        </is>
      </c>
      <c r="F70" s="1770">
        <f>INDEX('REVIEW - Complete Role Mapping'!$AA:$AA,82)</f>
        <v>291422</v>
      </c>
      <c r="G70" s="1770">
        <f>$F70*IFERROR(INDEX(Lists!$AD:$AD,MATCH($E70,Lists!$AC:$AC,0)),1)</f>
        <v>291422</v>
      </c>
    </row>
    <row r="71">
      <c r="B71" s="1530" t="inlineStr">
        <is>
          <t>Delivery Manager</t>
        </is>
      </c>
      <c r="C71" s="1530" t="str">
        <f>COUNTA($B$72:$B$72)&amp;IF(COUNTA($B$72:$B$72)=1," role"," roles")</f>
        <v>1 role</v>
      </c>
      <c r="D71" s="1530" t="n"/>
      <c r="E71" s="1530" t="n"/>
      <c r="F71" s="1786">
        <f>SUM(F72:F72)</f>
        <v>202853.25</v>
      </c>
      <c r="G71" s="1786">
        <f>SUM(G72:G72)</f>
        <v>202853.25</v>
      </c>
    </row>
    <row r="72">
      <c r="B72" s="1531" t="str">
        <f>INDEX('REVIEW - Complete Role Mapping'!$B:$B,74)</f>
        <v>Vacant</v>
      </c>
      <c r="C72" s="1531" t="str">
        <f>INDEX('REVIEW - Complete Role Mapping'!$C:$C,74)</f>
        <v>Delivery Manager</v>
      </c>
      <c r="D72" s="1531" t="str">
        <f>INDEX('REVIEW - Complete Role Mapping'!$AK:$AK,74)</f>
        <v>Vacant</v>
      </c>
      <c r="E72" s="1548" t="inlineStr">
        <is>
          <t>Hire</t>
        </is>
      </c>
      <c r="F72" s="1770">
        <f>INDEX('REVIEW - Complete Role Mapping'!$AA:$AA,74)</f>
        <v>202853.25</v>
      </c>
      <c r="G72" s="1770">
        <f>$F72*IFERROR(INDEX(Lists!$AD:$AD,MATCH($E72,Lists!$AC:$AC,0)),1)</f>
        <v>202853.25</v>
      </c>
    </row>
    <row r="73">
      <c r="B73" s="1530" t="inlineStr">
        <is>
          <t>Technology Manager</t>
        </is>
      </c>
      <c r="C73" s="1530" t="str">
        <f>COUNTA($B$74:$B$76)&amp;IF(COUNTA($B$74:$B$76)=1," role"," roles")</f>
        <v>3 roles</v>
      </c>
      <c r="D73" s="1530" t="n"/>
      <c r="E73" s="1530" t="n"/>
      <c r="F73" s="1786">
        <f>SUM(F74:F76)</f>
        <v>723068.418</v>
      </c>
      <c r="G73" s="1786">
        <f>SUM(G74:G76)</f>
        <v>723068.418</v>
      </c>
    </row>
    <row r="74">
      <c r="B74" s="1531" t="str">
        <f>INDEX('REVIEW - Complete Role Mapping'!$B:$B,18)</f>
        <v>Callan McLaughlin</v>
      </c>
      <c r="C74" s="1531" t="str">
        <f>INDEX('REVIEW - Complete Role Mapping'!$C:$C,18)</f>
        <v>Technology Manager, Site Systems</v>
      </c>
      <c r="D74" s="1531" t="str">
        <f>INDEX('REVIEW - Complete Role Mapping'!$AK:$AK,18)</f>
        <v>Filled</v>
      </c>
      <c r="E74" s="1548" t="inlineStr">
        <is>
          <t>Filled</t>
        </is>
      </c>
      <c r="F74" s="1770">
        <f>INDEX('REVIEW - Complete Role Mapping'!$AA:$AA,18)</f>
        <v>210535.968</v>
      </c>
      <c r="G74" s="1770">
        <f>$F74*IFERROR(INDEX(Lists!$AD:$AD,MATCH($E74,Lists!$AC:$AC,0)),1)</f>
        <v>210535.968</v>
      </c>
    </row>
    <row r="75">
      <c r="B75" s="1531" t="str">
        <f>INDEX('REVIEW - Complete Role Mapping'!$B:$B,23)</f>
        <v>Emma Natoli</v>
      </c>
      <c r="C75" s="1531" t="str">
        <f>INDEX('REVIEW - Complete Role Mapping'!$C:$C,23)</f>
        <v>Technology Manager, Engineering</v>
      </c>
      <c r="D75" s="1531" t="str">
        <f>INDEX('REVIEW - Complete Role Mapping'!$AK:$AK,23)</f>
        <v>Filled</v>
      </c>
      <c r="E75" s="1548" t="inlineStr">
        <is>
          <t>Filled</t>
        </is>
      </c>
      <c r="F75" s="1770">
        <f>INDEX('REVIEW - Complete Role Mapping'!$AA:$AA,23)</f>
        <v>236722.2</v>
      </c>
      <c r="G75" s="1770">
        <f>$F75*IFERROR(INDEX(Lists!$AD:$AD,MATCH($E75,Lists!$AC:$AC,0)),1)</f>
        <v>236722.2</v>
      </c>
    </row>
    <row r="76">
      <c r="B76" s="1531" t="str">
        <f>INDEX('REVIEW - Complete Role Mapping'!$B:$B,45)</f>
        <v>Manjot Kaur Malli</v>
      </c>
      <c r="C76" s="1531" t="str">
        <f>INDEX('REVIEW - Complete Role Mapping'!$C:$C,45)</f>
        <v>Technology Manager, Data</v>
      </c>
      <c r="D76" s="1531" t="str">
        <f>INDEX('REVIEW - Complete Role Mapping'!$AK:$AK,45)</f>
        <v>Filled</v>
      </c>
      <c r="E76" s="1548" t="inlineStr">
        <is>
          <t>Filled</t>
        </is>
      </c>
      <c r="F76" s="1770">
        <f>INDEX('REVIEW - Complete Role Mapping'!$AA:$AA,45)</f>
        <v>275810.25</v>
      </c>
      <c r="G76" s="1770">
        <f>$F76*IFERROR(INDEX(Lists!$AD:$AD,MATCH($E76,Lists!$AC:$AC,0)),1)</f>
        <v>275810.25</v>
      </c>
    </row>
  </sheetData>
  <dataValidations count="1">
    <dataValidation sqref="E32 E33 E34 E35 E36 E37 E38 E40 E41 E42 E43 E44 E45 E46 E47 E48 E50 E51 E52 E53 E54 E55 E56 E57 E58 E60 E61 E62 E63 E64 E65 E66 E67 E68 E70 E72 E74 E75 E76"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33.xml><?xml version="1.0" encoding="utf-8"?>
<worksheet xmlns="http://schemas.openxmlformats.org/spreadsheetml/2006/main">
  <sheetPr filterMode="0">
    <tabColor rgb="FFBF8F00"/>
    <outlinePr summaryBelow="1" summaryRight="1"/>
    <pageSetUpPr fitToPage="1"/>
  </sheetPr>
  <dimension ref="B2:Q8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election pane="topRight" activeCell="C1" activeCellId="0" sqref="C1"/>
      <selection pane="bottomLeft" activeCell="A7" activeCellId="0" sqref="A7"/>
      <selection pane="bottomRight" activeCell="J17" activeCellId="0" sqref="J17"/>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COE Cyber - working copy</t>
        </is>
      </c>
    </row>
    <row r="3">
      <c r="B3" s="1525" t="inlineStr">
        <is>
          <t>Portfolio</t>
        </is>
      </c>
      <c r="C3" s="1526" t="inlineStr">
        <is>
          <t>COE Cyber</t>
        </is>
      </c>
    </row>
    <row r="4" ht="19" customHeight="1" s="866">
      <c r="B4" s="1527" t="inlineStr">
        <is>
          <t>COE Cyber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None</t>
        </is>
      </c>
      <c r="C8" s="1531" t="inlineStr">
        <is>
          <t>None - no squad here is priced by an archetype</t>
        </is>
      </c>
      <c r="D8" s="1539" t="str">
        <f>"-"</f>
        <v>-</v>
      </c>
      <c r="E8" s="1539" t="str">
        <f>"-"</f>
        <v>-</v>
      </c>
      <c r="F8" s="1539" t="str">
        <f>"-"</f>
        <v>-</v>
      </c>
      <c r="G8" s="1539" t="str">
        <f>"-"</f>
        <v>-</v>
      </c>
      <c r="H8" s="1539" t="str">
        <f>"-"</f>
        <v>-</v>
      </c>
      <c r="I8" s="1539" t="str">
        <f>"-"</f>
        <v>-</v>
      </c>
      <c r="J8" s="1539" t="str">
        <f>"-"</f>
        <v>-</v>
      </c>
      <c r="K8" s="1539" t="str">
        <f>"-"</f>
        <v>-</v>
      </c>
      <c r="L8" s="1539" t="str">
        <f>"-"</f>
        <v>-</v>
      </c>
      <c r="M8" s="1539" t="str">
        <f>"-"</f>
        <v>-</v>
      </c>
      <c r="N8" s="1539" t="str">
        <f>"-"</f>
        <v>-</v>
      </c>
      <c r="O8" s="1539" t="str">
        <f>"-"</f>
        <v>-</v>
      </c>
      <c r="P8" s="1539" t="str">
        <f>"-"</f>
        <v>-</v>
      </c>
      <c r="Q8" s="1539" t="str">
        <f>"-"</f>
        <v>-</v>
      </c>
    </row>
    <row r="9">
      <c r="B9" s="1535" t="inlineStr">
        <is>
          <t>Squads priced by an archetype total</t>
        </is>
      </c>
      <c r="C9" s="1535" t="n"/>
      <c r="D9" s="1535" t="n"/>
      <c r="E9" s="1784">
        <f>SUM(E8:E8)</f>
        <v>0</v>
      </c>
      <c r="F9" s="1772">
        <f>SUM(F8:F8)</f>
        <v>0</v>
      </c>
      <c r="G9" s="1772">
        <f>SUM(G8:G8)</f>
        <v>0</v>
      </c>
      <c r="H9" s="1772">
        <f>SUM(H8:H8)</f>
        <v>0</v>
      </c>
      <c r="I9" s="1772">
        <f>SUM(I8:I8)</f>
        <v>0</v>
      </c>
      <c r="J9" s="1772">
        <f>SUM(J8:J8)</f>
        <v>0</v>
      </c>
      <c r="K9" s="1772">
        <f>SUM(K8:K8)</f>
        <v>0</v>
      </c>
      <c r="L9" s="1772">
        <f>SUM(L8:L8)</f>
        <v>0</v>
      </c>
      <c r="M9" s="1771" t="str">
        <f>IF(COUNT(M8:M8)=1,SUM(M8:M8),"-")</f>
        <v>-</v>
      </c>
      <c r="N9" s="1771">
        <f>SUM(N8:N8)</f>
        <v>0</v>
      </c>
      <c r="O9" s="1771" t="str">
        <f>IF(ISNUMBER($M9),ROUND($N9-$M9,6),"-")</f>
        <v>-</v>
      </c>
      <c r="P9" s="1771">
        <f>SUM(P8:P8)</f>
        <v>0</v>
      </c>
      <c r="Q9" s="1771" t="str">
        <f>IF(ISNUMBER($M9),ROUND($P9-$M9,6),"-")</f>
        <v>-</v>
      </c>
    </row>
    <row r="10">
      <c r="B10" s="1530" t="inlineStr">
        <is>
          <t>Directly funded programmes and platforms</t>
        </is>
      </c>
      <c r="C10" s="1530" t="n"/>
      <c r="D10" s="1530" t="n"/>
      <c r="E10" s="1530" t="n"/>
      <c r="F10" s="1530" t="n"/>
      <c r="G10" s="1530" t="n"/>
      <c r="H10" s="1530" t="n"/>
      <c r="I10" s="1530" t="n"/>
      <c r="J10" s="1530" t="n"/>
      <c r="K10" s="1530" t="n"/>
      <c r="L10" s="1530" t="n"/>
      <c r="M10" s="1530" t="n"/>
      <c r="N10" s="1530" t="n"/>
      <c r="O10" s="1530" t="n"/>
      <c r="P10" s="1530" t="n"/>
      <c r="Q10" s="1530" t="n"/>
    </row>
    <row r="11">
      <c r="B11" s="1531" t="inlineStr">
        <is>
          <t>Cyber GRC</t>
        </is>
      </c>
      <c r="C11" s="1531" t="str">
        <f>"-"</f>
        <v>-</v>
      </c>
      <c r="D11" s="1531" t="str">
        <f>"-"</f>
        <v>-</v>
      </c>
      <c r="E11" s="1540" t="str">
        <f>"-"</f>
        <v>-</v>
      </c>
      <c r="F11" s="1770">
        <f>COUNTA($B$31:$B$35)</f>
        <v>5</v>
      </c>
      <c r="G11" s="1770">
        <f>COUNTIFS($D$31:$D$35,"Filled")</f>
        <v>5</v>
      </c>
      <c r="H11" s="1770">
        <f>COUNTIFS($D$31:$D$35,"Vacant")</f>
        <v>0</v>
      </c>
      <c r="I11" s="1770">
        <f>COUNTIFS($D$31:$D$35,"Vacant",$E$31:$E$35,"Hire")</f>
        <v>0</v>
      </c>
      <c r="J11" s="1770">
        <f>COUNTIFS($E$31:$E$35,"Offshore")</f>
        <v>0</v>
      </c>
      <c r="K11" s="1770">
        <f>COUNTIFS($E$31:$E$35,"Hold")</f>
        <v>0</v>
      </c>
      <c r="L11" s="1770">
        <f>$F11-$K11</f>
        <v>5</v>
      </c>
      <c r="M11" s="1540" t="str">
        <f>"-"</f>
        <v>-</v>
      </c>
      <c r="N11" s="1769">
        <f>SUMIFS('REVIEW - Complete Role Mapping'!$AA$2:$AA$528,'REVIEW - Complete Role Mapping'!$AJ$2:$AJ$528,$C$3,'REVIEW - Complete Role Mapping'!$AT$2:$AT$528,$B11)/1000000</f>
        <v>1.071477788</v>
      </c>
      <c r="O11" s="1540" t="str">
        <f>"-"</f>
        <v>-</v>
      </c>
      <c r="P11" s="1769">
        <f>SUM($G$31:$G$35)/1000000</f>
        <v>1.071477788</v>
      </c>
      <c r="Q11" s="1540" t="str">
        <f>"-"</f>
        <v>-</v>
      </c>
    </row>
    <row r="12">
      <c r="B12" s="1531" t="inlineStr">
        <is>
          <t>Cyber Risk</t>
        </is>
      </c>
      <c r="C12" s="1531" t="str">
        <f>"-"</f>
        <v>-</v>
      </c>
      <c r="D12" s="1531" t="str">
        <f>"-"</f>
        <v>-</v>
      </c>
      <c r="E12" s="1540" t="str">
        <f>"-"</f>
        <v>-</v>
      </c>
      <c r="F12" s="1770">
        <f>COUNTA($B$37:$B$38)</f>
        <v>2</v>
      </c>
      <c r="G12" s="1770">
        <f>COUNTIFS($D$37:$D$38,"Filled")</f>
        <v>2</v>
      </c>
      <c r="H12" s="1770">
        <f>COUNTIFS($D$37:$D$38,"Vacant")</f>
        <v>0</v>
      </c>
      <c r="I12" s="1770">
        <f>COUNTIFS($D$37:$D$38,"Vacant",$E$37:$E$38,"Hire")</f>
        <v>0</v>
      </c>
      <c r="J12" s="1770">
        <f>COUNTIFS($E$37:$E$38,"Offshore")</f>
        <v>0</v>
      </c>
      <c r="K12" s="1770">
        <f>COUNTIFS($E$37:$E$38,"Hold")</f>
        <v>0</v>
      </c>
      <c r="L12" s="1770">
        <f>$F12-$K12</f>
        <v>2</v>
      </c>
      <c r="M12" s="1540" t="str">
        <f>"-"</f>
        <v>-</v>
      </c>
      <c r="N12" s="1769">
        <f>SUMIFS('REVIEW - Complete Role Mapping'!$AA$2:$AA$528,'REVIEW - Complete Role Mapping'!$AJ$2:$AJ$528,$C$3,'REVIEW - Complete Role Mapping'!$AT$2:$AT$528,$B12)/1000000</f>
        <v>0.475558232</v>
      </c>
      <c r="O12" s="1540" t="str">
        <f>"-"</f>
        <v>-</v>
      </c>
      <c r="P12" s="1769">
        <f>SUM($G$37:$G$38)/1000000</f>
        <v>0.475558232</v>
      </c>
      <c r="Q12" s="1540" t="str">
        <f>"-"</f>
        <v>-</v>
      </c>
    </row>
    <row r="13">
      <c r="B13" s="1531" t="inlineStr">
        <is>
          <t>Cyber Sec Ops</t>
        </is>
      </c>
      <c r="C13" s="1531" t="str">
        <f>"-"</f>
        <v>-</v>
      </c>
      <c r="D13" s="1531" t="str">
        <f>"-"</f>
        <v>-</v>
      </c>
      <c r="E13" s="1540" t="str">
        <f>"-"</f>
        <v>-</v>
      </c>
      <c r="F13" s="1770">
        <f>COUNTA($B$40:$B$44)</f>
        <v>5</v>
      </c>
      <c r="G13" s="1770">
        <f>COUNTIFS($D$40:$D$44,"Filled")</f>
        <v>5</v>
      </c>
      <c r="H13" s="1770">
        <f>COUNTIFS($D$40:$D$44,"Vacant")</f>
        <v>0</v>
      </c>
      <c r="I13" s="1770">
        <f>COUNTIFS($D$40:$D$44,"Vacant",$E$40:$E$44,"Hire")</f>
        <v>0</v>
      </c>
      <c r="J13" s="1770">
        <f>COUNTIFS($E$40:$E$44,"Offshore")</f>
        <v>0</v>
      </c>
      <c r="K13" s="1770">
        <f>COUNTIFS($E$40:$E$44,"Hold")</f>
        <v>0</v>
      </c>
      <c r="L13" s="1770">
        <f>$F13-$K13</f>
        <v>5</v>
      </c>
      <c r="M13" s="1540" t="str">
        <f>"-"</f>
        <v>-</v>
      </c>
      <c r="N13" s="1769">
        <f>SUMIFS('REVIEW - Complete Role Mapping'!$AA$2:$AA$528,'REVIEW - Complete Role Mapping'!$AJ$2:$AJ$528,$C$3,'REVIEW - Complete Role Mapping'!$AT$2:$AT$528,$B13)/1000000</f>
        <v>1.111589344</v>
      </c>
      <c r="O13" s="1540" t="str">
        <f>"-"</f>
        <v>-</v>
      </c>
      <c r="P13" s="1769">
        <f>SUM($G$40:$G$44)/1000000</f>
        <v>1.111589344</v>
      </c>
      <c r="Q13" s="1540" t="str">
        <f>"-"</f>
        <v>-</v>
      </c>
    </row>
    <row r="14">
      <c r="B14" s="1531" t="inlineStr">
        <is>
          <t>Cyber Strat &amp; Tech</t>
        </is>
      </c>
      <c r="C14" s="1531" t="str">
        <f>"-"</f>
        <v>-</v>
      </c>
      <c r="D14" s="1531" t="str">
        <f>"-"</f>
        <v>-</v>
      </c>
      <c r="E14" s="1540" t="str">
        <f>"-"</f>
        <v>-</v>
      </c>
      <c r="F14" s="1770">
        <f>COUNTA($B$46:$B$58)</f>
        <v>13</v>
      </c>
      <c r="G14" s="1770">
        <f>COUNTIFS($D$46:$D$58,"Filled")</f>
        <v>13</v>
      </c>
      <c r="H14" s="1770">
        <f>COUNTIFS($D$46:$D$58,"Vacant")</f>
        <v>0</v>
      </c>
      <c r="I14" s="1770">
        <f>COUNTIFS($D$46:$D$58,"Vacant",$E$46:$E$58,"Hire")</f>
        <v>0</v>
      </c>
      <c r="J14" s="1770">
        <f>COUNTIFS($E$46:$E$58,"Offshore")</f>
        <v>0</v>
      </c>
      <c r="K14" s="1770">
        <f>COUNTIFS($E$46:$E$58,"Hold")</f>
        <v>0</v>
      </c>
      <c r="L14" s="1770">
        <f>$F14-$K14</f>
        <v>13</v>
      </c>
      <c r="M14" s="1540" t="str">
        <f>"-"</f>
        <v>-</v>
      </c>
      <c r="N14" s="1769">
        <f>SUMIFS('REVIEW - Complete Role Mapping'!$AA$2:$AA$528,'REVIEW - Complete Role Mapping'!$AJ$2:$AJ$528,$C$3,'REVIEW - Complete Role Mapping'!$AT$2:$AT$528,$B14)/1000000</f>
        <v>3.31576355</v>
      </c>
      <c r="O14" s="1540" t="str">
        <f>"-"</f>
        <v>-</v>
      </c>
      <c r="P14" s="1769">
        <f>SUM($G$46:$G$58)/1000000</f>
        <v>3.31576355</v>
      </c>
      <c r="Q14" s="1540" t="str">
        <f>"-"</f>
        <v>-</v>
      </c>
    </row>
    <row r="15">
      <c r="B15" s="1531" t="inlineStr">
        <is>
          <t>Service Op &amp; Assurance</t>
        </is>
      </c>
      <c r="C15" s="1531" t="str">
        <f>"-"</f>
        <v>-</v>
      </c>
      <c r="D15" s="1531" t="str">
        <f>"-"</f>
        <v>-</v>
      </c>
      <c r="E15" s="1540" t="str">
        <f>"-"</f>
        <v>-</v>
      </c>
      <c r="F15" s="1770">
        <f>COUNTA($B$60:$B$80)</f>
        <v>21</v>
      </c>
      <c r="G15" s="1770">
        <f>COUNTIFS($D$60:$D$80,"Filled")</f>
        <v>17</v>
      </c>
      <c r="H15" s="1770">
        <f>COUNTIFS($D$60:$D$80,"Vacant")</f>
        <v>4</v>
      </c>
      <c r="I15" s="1770">
        <f>COUNTIFS($D$60:$D$80,"Vacant",$E$60:$E$80,"Hire")</f>
        <v>4</v>
      </c>
      <c r="J15" s="1770">
        <f>COUNTIFS($E$60:$E$80,"Offshore")</f>
        <v>0</v>
      </c>
      <c r="K15" s="1770">
        <f>COUNTIFS($E$60:$E$80,"Hold")</f>
        <v>0</v>
      </c>
      <c r="L15" s="1770">
        <f>$F15-$K15</f>
        <v>21</v>
      </c>
      <c r="M15" s="1540" t="str">
        <f>"-"</f>
        <v>-</v>
      </c>
      <c r="N15" s="1769">
        <f>SUMIFS('REVIEW - Complete Role Mapping'!$AA$2:$AA$528,'REVIEW - Complete Role Mapping'!$AJ$2:$AJ$528,$C$3,'REVIEW - Complete Role Mapping'!$AT$2:$AT$528,$B15)/1000000</f>
        <v>3.92346938</v>
      </c>
      <c r="O15" s="1540" t="str">
        <f>"-"</f>
        <v>-</v>
      </c>
      <c r="P15" s="1769">
        <f>SUM($G$60:$G$80)/1000000</f>
        <v>3.92346938</v>
      </c>
      <c r="Q15" s="1540" t="str">
        <f>"-"</f>
        <v>-</v>
      </c>
    </row>
    <row r="16">
      <c r="B16" s="1535" t="inlineStr">
        <is>
          <t>Directly funded programmes and platforms total</t>
        </is>
      </c>
      <c r="C16" s="1535" t="n"/>
      <c r="D16" s="1535" t="n"/>
      <c r="E16" s="1784">
        <f>SUM(E11:E15)</f>
        <v>0</v>
      </c>
      <c r="F16" s="1772">
        <f>SUM(F11:F15)</f>
        <v>46</v>
      </c>
      <c r="G16" s="1772">
        <f>SUM(G11:G15)</f>
        <v>42</v>
      </c>
      <c r="H16" s="1772">
        <f>SUM(H11:H15)</f>
        <v>4</v>
      </c>
      <c r="I16" s="1772">
        <f>SUM(I11:I15)</f>
        <v>4</v>
      </c>
      <c r="J16" s="1772">
        <f>SUM(J11:J15)</f>
        <v>0</v>
      </c>
      <c r="K16" s="1772">
        <f>SUM(K11:K15)</f>
        <v>0</v>
      </c>
      <c r="L16" s="1772">
        <f>SUM(L11:L15)</f>
        <v>46</v>
      </c>
      <c r="M16" s="1771" t="str">
        <f>IF(COUNT(M11:M15)=5,SUM(M11:M15),"-")</f>
        <v>-</v>
      </c>
      <c r="N16" s="1771">
        <f>SUM(N11:N15)</f>
        <v>9.897858294</v>
      </c>
      <c r="O16" s="1771" t="str">
        <f>IF(ISNUMBER($M16),ROUND($N16-$M16,6),"-")</f>
        <v>-</v>
      </c>
      <c r="P16" s="1771">
        <f>SUM(P11:P15)</f>
        <v>9.897858294</v>
      </c>
      <c r="Q16" s="1771" t="str">
        <f>IF(ISNUMBER($M16),ROUND($P16-$M16,6),"-")</f>
        <v>-</v>
      </c>
    </row>
    <row r="17">
      <c r="B17" s="1530" t="inlineStr">
        <is>
          <t>Groups with no archetype and no funded figure</t>
        </is>
      </c>
      <c r="C17" s="1530" t="n"/>
      <c r="D17" s="1530" t="n"/>
      <c r="E17" s="1530" t="n"/>
      <c r="F17" s="1530" t="n"/>
      <c r="G17" s="1530" t="n"/>
      <c r="H17" s="1530" t="n"/>
      <c r="I17" s="1530" t="n"/>
      <c r="J17" s="1530" t="n"/>
      <c r="K17" s="1530" t="n"/>
      <c r="L17" s="1530" t="n"/>
      <c r="M17" s="1530" t="n"/>
      <c r="N17" s="1530" t="n"/>
      <c r="O17" s="1530" t="n"/>
      <c r="P17" s="1530" t="n"/>
      <c r="Q17" s="1530" t="n"/>
    </row>
    <row r="18">
      <c r="B18" s="1531" t="inlineStr">
        <is>
          <t>None</t>
        </is>
      </c>
      <c r="C18" s="1531" t="inlineStr">
        <is>
          <t>None - every group here has a figure to compare</t>
        </is>
      </c>
      <c r="D18" s="1539" t="str">
        <f>"-"</f>
        <v>-</v>
      </c>
      <c r="E18" s="1539" t="str">
        <f>"-"</f>
        <v>-</v>
      </c>
      <c r="F18" s="1539" t="str">
        <f>"-"</f>
        <v>-</v>
      </c>
      <c r="G18" s="1539" t="str">
        <f>"-"</f>
        <v>-</v>
      </c>
      <c r="H18" s="1539" t="str">
        <f>"-"</f>
        <v>-</v>
      </c>
      <c r="I18" s="1539" t="str">
        <f>"-"</f>
        <v>-</v>
      </c>
      <c r="J18" s="1539" t="str">
        <f>"-"</f>
        <v>-</v>
      </c>
      <c r="K18" s="1539" t="str">
        <f>"-"</f>
        <v>-</v>
      </c>
      <c r="L18" s="1539" t="str">
        <f>"-"</f>
        <v>-</v>
      </c>
      <c r="M18" s="1539" t="str">
        <f>"-"</f>
        <v>-</v>
      </c>
      <c r="N18" s="1539" t="str">
        <f>"-"</f>
        <v>-</v>
      </c>
      <c r="O18" s="1539" t="str">
        <f>"-"</f>
        <v>-</v>
      </c>
      <c r="P18" s="1539" t="str">
        <f>"-"</f>
        <v>-</v>
      </c>
      <c r="Q18" s="1539" t="str">
        <f>"-"</f>
        <v>-</v>
      </c>
    </row>
    <row r="19">
      <c r="B19" s="1535" t="inlineStr">
        <is>
          <t>Groups with no archetype and no funded figure total</t>
        </is>
      </c>
      <c r="C19" s="1535" t="n"/>
      <c r="D19" s="1535" t="n"/>
      <c r="E19" s="1784">
        <f>SUM(E18:E18)</f>
        <v>0</v>
      </c>
      <c r="F19" s="1772">
        <f>SUM(F18:F18)</f>
        <v>0</v>
      </c>
      <c r="G19" s="1772">
        <f>SUM(G18:G18)</f>
        <v>0</v>
      </c>
      <c r="H19" s="1772">
        <f>SUM(H18:H18)</f>
        <v>0</v>
      </c>
      <c r="I19" s="1772">
        <f>SUM(I18:I18)</f>
        <v>0</v>
      </c>
      <c r="J19" s="1772">
        <f>SUM(J18:J18)</f>
        <v>0</v>
      </c>
      <c r="K19" s="1772">
        <f>SUM(K18:K18)</f>
        <v>0</v>
      </c>
      <c r="L19" s="1772">
        <f>SUM(L18:L18)</f>
        <v>0</v>
      </c>
      <c r="M19" s="1771" t="str">
        <f>IF(COUNT(M18:M18)=1,SUM(M18:M18),"-")</f>
        <v>-</v>
      </c>
      <c r="N19" s="1771">
        <f>SUM(N18:N18)</f>
        <v>0</v>
      </c>
      <c r="O19" s="1771" t="str">
        <f>IF(ISNUMBER($M19),ROUND($N19-$M19,6),"-")</f>
        <v>-</v>
      </c>
      <c r="P19" s="1771">
        <f>SUM(P18:P18)</f>
        <v>0</v>
      </c>
      <c r="Q19" s="1771" t="str">
        <f>IF(ISNUMBER($M19),ROUND($P19-$M19,6),"-")</f>
        <v>-</v>
      </c>
    </row>
    <row r="20">
      <c r="B20" s="1530" t="inlineStr">
        <is>
          <t>Overhead roles</t>
        </is>
      </c>
      <c r="C20" s="1530" t="n"/>
      <c r="D20" s="1530" t="n"/>
      <c r="E20" s="1530" t="n"/>
      <c r="F20" s="1530" t="n"/>
      <c r="G20" s="1530" t="n"/>
      <c r="H20" s="1530" t="n"/>
      <c r="I20" s="1530" t="n"/>
      <c r="J20" s="1530" t="n"/>
      <c r="K20" s="1530" t="n"/>
      <c r="L20" s="1530" t="n"/>
      <c r="M20" s="1530" t="n"/>
      <c r="N20" s="1530" t="n"/>
      <c r="O20" s="1530" t="n"/>
      <c r="P20" s="1530" t="n"/>
      <c r="Q20" s="1530" t="n"/>
    </row>
    <row r="21">
      <c r="B21" s="1531" t="inlineStr">
        <is>
          <t>None</t>
        </is>
      </c>
      <c r="C21" s="1531" t="inlineStr">
        <is>
          <t>None - the COEs carry no overhead</t>
        </is>
      </c>
      <c r="D21" s="1539" t="str">
        <f>"-"</f>
        <v>-</v>
      </c>
      <c r="E21" s="1539" t="str">
        <f>"-"</f>
        <v>-</v>
      </c>
      <c r="F21" s="1539" t="str">
        <f>"-"</f>
        <v>-</v>
      </c>
      <c r="G21" s="1539" t="str">
        <f>"-"</f>
        <v>-</v>
      </c>
      <c r="H21" s="1539" t="str">
        <f>"-"</f>
        <v>-</v>
      </c>
      <c r="I21" s="1539" t="str">
        <f>"-"</f>
        <v>-</v>
      </c>
      <c r="J21" s="1539" t="str">
        <f>"-"</f>
        <v>-</v>
      </c>
      <c r="K21" s="1539" t="str">
        <f>"-"</f>
        <v>-</v>
      </c>
      <c r="L21" s="1539" t="str">
        <f>"-"</f>
        <v>-</v>
      </c>
      <c r="M21" s="1539" t="str">
        <f>"-"</f>
        <v>-</v>
      </c>
      <c r="N21" s="1539" t="str">
        <f>"-"</f>
        <v>-</v>
      </c>
      <c r="O21" s="1539" t="str">
        <f>"-"</f>
        <v>-</v>
      </c>
      <c r="P21" s="1539" t="str">
        <f>"-"</f>
        <v>-</v>
      </c>
      <c r="Q21" s="1539" t="str">
        <f>"-"</f>
        <v>-</v>
      </c>
    </row>
    <row r="22">
      <c r="B22" s="1535" t="inlineStr">
        <is>
          <t>Overhead roles total</t>
        </is>
      </c>
      <c r="C22" s="1535" t="n"/>
      <c r="D22" s="1535" t="n"/>
      <c r="E22" s="1784">
        <f>SUM(E21:E21)</f>
        <v>0</v>
      </c>
      <c r="F22" s="1772">
        <f>SUM(F21:F21)</f>
        <v>0</v>
      </c>
      <c r="G22" s="1772">
        <f>SUM(G21:G21)</f>
        <v>0</v>
      </c>
      <c r="H22" s="1772">
        <f>SUM(H21:H21)</f>
        <v>0</v>
      </c>
      <c r="I22" s="1772">
        <f>SUM(I21:I21)</f>
        <v>0</v>
      </c>
      <c r="J22" s="1772">
        <f>SUM(J21:J21)</f>
        <v>0</v>
      </c>
      <c r="K22" s="1772">
        <f>SUM(K21:K21)</f>
        <v>0</v>
      </c>
      <c r="L22" s="1772">
        <f>SUM(L21:L21)</f>
        <v>0</v>
      </c>
      <c r="M22" s="1771" t="str">
        <f>IF(COUNT(M21:M21)=1,SUM(M21:M21),"-")</f>
        <v>-</v>
      </c>
      <c r="N22" s="1771">
        <f>SUM(N21:N21)</f>
        <v>0</v>
      </c>
      <c r="O22" s="1771" t="str">
        <f>IF(ISNUMBER($M22),ROUND($N22-$M22,6),"-")</f>
        <v>-</v>
      </c>
      <c r="P22" s="1771">
        <f>SUM(P21:P21)</f>
        <v>0</v>
      </c>
      <c r="Q22" s="1771" t="str">
        <f>IF(ISNUMBER($M22),ROUND($P22-$M22,6),"-")</f>
        <v>-</v>
      </c>
    </row>
    <row r="23">
      <c r="B23" s="1541" t="inlineStr">
        <is>
          <t>Total portfolio</t>
        </is>
      </c>
      <c r="C23" s="1541" t="n"/>
      <c r="D23" s="1541" t="n"/>
      <c r="E23" s="1785">
        <f>N(E9)+N(E16)+N(E19)+N(E22)</f>
        <v>0</v>
      </c>
      <c r="F23" s="1774">
        <f>N(F9)+N(F16)+N(F19)+N(F22)</f>
        <v>46</v>
      </c>
      <c r="G23" s="1774">
        <f>N(G9)+N(G16)+N(G19)+N(G22)</f>
        <v>42</v>
      </c>
      <c r="H23" s="1774">
        <f>N(H9)+N(H16)+N(H19)+N(H22)</f>
        <v>4</v>
      </c>
      <c r="I23" s="1774">
        <f>N(I9)+N(I16)+N(I19)+N(I22)</f>
        <v>4</v>
      </c>
      <c r="J23" s="1774">
        <f>N(J9)+N(J16)+N(J19)+N(J22)</f>
        <v>0</v>
      </c>
      <c r="K23" s="1774">
        <f>N(K9)+N(K16)+N(K19)+N(K22)</f>
        <v>0</v>
      </c>
      <c r="L23" s="1774">
        <f>N(L9)+N(L16)+N(L19)+N(L22)</f>
        <v>46</v>
      </c>
      <c r="M23" s="1773" t="str">
        <f>"-"</f>
        <v>-</v>
      </c>
      <c r="N23" s="1773">
        <f>N(N9)+N(N16)+N(N19)+N(N22)</f>
        <v>9.897858294</v>
      </c>
      <c r="O23" s="1773" t="str">
        <f>"-"</f>
        <v>-</v>
      </c>
      <c r="P23" s="1773">
        <f>N(P9)+N(P16)+N(P19)+N(P22)</f>
        <v>9.897858294</v>
      </c>
      <c r="Q23" s="1773" t="str">
        <f>"-"</f>
        <v>-</v>
      </c>
    </row>
    <row r="25">
      <c r="B25" s="1526" t="inlineStr">
        <is>
          <t>Control - roles against the ledger, must be 0</t>
        </is>
      </c>
      <c r="F25" s="1778">
        <f>$F$23-COUNTIFS('REVIEW - Complete Role Mapping'!$AJ$2:$AJ$528,$C$3)</f>
        <v>0</v>
      </c>
    </row>
    <row r="26">
      <c r="B26" s="1526" t="inlineStr">
        <is>
          <t>Control - cost against the ledger ($m), must be 0</t>
        </is>
      </c>
      <c r="N26" s="1779">
        <f>ROUND($N$23-SUMIFS('REVIEW - Complete Role Mapping'!$AA$2:$AA$528,'REVIEW - Complete Role Mapping'!$AJ$2:$AJ$528,$C$3)/1000000,6)</f>
        <v>0</v>
      </c>
    </row>
    <row r="28" ht="19" customHeight="1" s="866">
      <c r="B28" s="1527" t="inlineStr">
        <is>
          <t>COE Cyber FTE</t>
        </is>
      </c>
      <c r="C28" s="1528" t="n"/>
      <c r="D28" s="1528" t="n"/>
      <c r="E28" s="1528" t="n"/>
      <c r="F28" s="1528" t="n"/>
      <c r="G28" s="1528" t="n"/>
    </row>
    <row r="29" ht="34" customHeight="1" s="866">
      <c r="B29" s="1529" t="inlineStr">
        <is>
          <t>Name</t>
        </is>
      </c>
      <c r="C29" s="1529" t="inlineStr">
        <is>
          <t>Role</t>
        </is>
      </c>
      <c r="D29" s="1529" t="inlineStr">
        <is>
          <t>Status</t>
        </is>
      </c>
      <c r="E29" s="1529" t="inlineStr">
        <is>
          <t>Vacancy lever</t>
        </is>
      </c>
      <c r="F29" s="1529" t="inlineStr">
        <is>
          <t>Role cost ($)</t>
        </is>
      </c>
      <c r="G29" s="1529" t="inlineStr">
        <is>
          <t>Cost after decision ($)</t>
        </is>
      </c>
    </row>
    <row r="30">
      <c r="B30" s="1530" t="inlineStr">
        <is>
          <t>Cyber GRC</t>
        </is>
      </c>
      <c r="C30" s="1530" t="str">
        <f>COUNTA($B$31:$B$35)&amp;IF(COUNTA($B$31:$B$35)=1," role"," roles")</f>
        <v>5 roles</v>
      </c>
      <c r="D30" s="1530" t="n"/>
      <c r="E30" s="1530" t="n"/>
      <c r="F30" s="1786">
        <f>SUM(F31:F35)</f>
        <v>1071477.788</v>
      </c>
      <c r="G30" s="1786">
        <f>SUM(G31:G35)</f>
        <v>1071477.788</v>
      </c>
    </row>
    <row r="31">
      <c r="B31" s="1531" t="str">
        <f>INDEX('REVIEW - Complete Role Mapping'!$B:$B,204)</f>
        <v>Diya Thomas</v>
      </c>
      <c r="C31" s="1531" t="str">
        <f>INDEX('REVIEW - Complete Role Mapping'!$C:$C,204)</f>
        <v>Manager Cyber Security GRC</v>
      </c>
      <c r="D31" s="1531" t="str">
        <f>INDEX('REVIEW - Complete Role Mapping'!$AK:$AK,204)</f>
        <v>Filled</v>
      </c>
      <c r="E31" s="1548" t="inlineStr">
        <is>
          <t>Filled</t>
        </is>
      </c>
      <c r="F31" s="1770">
        <f>INDEX('REVIEW - Complete Role Mapping'!$AA:$AA,204)</f>
        <v>287043.2</v>
      </c>
      <c r="G31" s="1770">
        <f>$F31*IFERROR(INDEX(Lists!$AD:$AD,MATCH($E31,Lists!$AC:$AC,0)),1)</f>
        <v>287043.2</v>
      </c>
    </row>
    <row r="32">
      <c r="B32" s="1531" t="str">
        <f>INDEX('REVIEW - Complete Role Mapping'!$B:$B,219)</f>
        <v>Pooja Kuperkar</v>
      </c>
      <c r="C32" s="1531" t="str">
        <f>INDEX('REVIEW - Complete Role Mapping'!$C:$C,219)</f>
        <v>Cyber GRC Analyst</v>
      </c>
      <c r="D32" s="1531" t="str">
        <f>INDEX('REVIEW - Complete Role Mapping'!$AK:$AK,219)</f>
        <v>Filled</v>
      </c>
      <c r="E32" s="1548" t="inlineStr">
        <is>
          <t>Filled</t>
        </is>
      </c>
      <c r="F32" s="1770">
        <f>INDEX('REVIEW - Complete Role Mapping'!$AA:$AA,219)</f>
        <v>203440.65</v>
      </c>
      <c r="G32" s="1770">
        <f>$F32*IFERROR(INDEX(Lists!$AD:$AD,MATCH($E32,Lists!$AC:$AC,0)),1)</f>
        <v>203440.65</v>
      </c>
    </row>
    <row r="33">
      <c r="B33" s="1531" t="str">
        <f>INDEX('REVIEW - Complete Role Mapping'!$B:$B,220)</f>
        <v>Prashanth Chandran</v>
      </c>
      <c r="C33" s="1531" t="str">
        <f>INDEX('REVIEW - Complete Role Mapping'!$C:$C,220)</f>
        <v>Senior Cyber GRC Specialist</v>
      </c>
      <c r="D33" s="1531" t="str">
        <f>INDEX('REVIEW - Complete Role Mapping'!$AK:$AK,220)</f>
        <v>Filled</v>
      </c>
      <c r="E33" s="1548" t="inlineStr">
        <is>
          <t>Filled</t>
        </is>
      </c>
      <c r="F33" s="1770">
        <f>INDEX('REVIEW - Complete Role Mapping'!$AA:$AA,220)</f>
        <v>220275</v>
      </c>
      <c r="G33" s="1770">
        <f>$F33*IFERROR(INDEX(Lists!$AD:$AD,MATCH($E33,Lists!$AC:$AC,0)),1)</f>
        <v>220275</v>
      </c>
    </row>
    <row r="34">
      <c r="B34" s="1531" t="str">
        <f>INDEX('REVIEW - Complete Role Mapping'!$B:$B,228)</f>
        <v>Shruti Manchanda</v>
      </c>
      <c r="C34" s="1531" t="str">
        <f>INDEX('REVIEW - Complete Role Mapping'!$C:$C,228)</f>
        <v>Cyber GRC Analyst</v>
      </c>
      <c r="D34" s="1531" t="str">
        <f>INDEX('REVIEW - Complete Role Mapping'!$AK:$AK,228)</f>
        <v>Filled</v>
      </c>
      <c r="E34" s="1548" t="inlineStr">
        <is>
          <t>Filled</t>
        </is>
      </c>
      <c r="F34" s="1770">
        <f>INDEX('REVIEW - Complete Role Mapping'!$AA:$AA,228)</f>
        <v>228885.75</v>
      </c>
      <c r="G34" s="1770">
        <f>$F34*IFERROR(INDEX(Lists!$AD:$AD,MATCH($E34,Lists!$AC:$AC,0)),1)</f>
        <v>228885.75</v>
      </c>
    </row>
    <row r="35">
      <c r="B35" s="1531" t="str">
        <f>INDEX('REVIEW - Complete Role Mapping'!$B:$B,237)</f>
        <v>Vanessa Castro</v>
      </c>
      <c r="C35" s="1531" t="str">
        <f>INDEX('REVIEW - Complete Role Mapping'!$C:$C,237)</f>
        <v>Cyber GRC Analyst</v>
      </c>
      <c r="D35" s="1531" t="str">
        <f>INDEX('REVIEW - Complete Role Mapping'!$AK:$AK,237)</f>
        <v>Filled</v>
      </c>
      <c r="E35" s="1548" t="inlineStr">
        <is>
          <t>Filled</t>
        </is>
      </c>
      <c r="F35" s="1770">
        <f>INDEX('REVIEW - Complete Role Mapping'!$AA:$AA,237)</f>
        <v>131833.188</v>
      </c>
      <c r="G35" s="1770">
        <f>$F35*IFERROR(INDEX(Lists!$AD:$AD,MATCH($E35,Lists!$AC:$AC,0)),1)</f>
        <v>131833.188</v>
      </c>
    </row>
    <row r="36">
      <c r="B36" s="1530" t="inlineStr">
        <is>
          <t>Cyber Risk</t>
        </is>
      </c>
      <c r="C36" s="1530" t="str">
        <f>COUNTA($B$37:$B$38)&amp;IF(COUNTA($B$37:$B$38)=1," role"," roles")</f>
        <v>2 roles</v>
      </c>
      <c r="D36" s="1530" t="n"/>
      <c r="E36" s="1530" t="n"/>
      <c r="F36" s="1786">
        <f>SUM(F37:F38)</f>
        <v>475558.232</v>
      </c>
      <c r="G36" s="1786">
        <f>SUM(G37:G38)</f>
        <v>475558.232</v>
      </c>
    </row>
    <row r="37">
      <c r="B37" s="1531" t="str">
        <f>INDEX('REVIEW - Complete Role Mapping'!$B:$B,195)</f>
        <v>Brian Gates</v>
      </c>
      <c r="C37" s="1531" t="str">
        <f>INDEX('REVIEW - Complete Role Mapping'!$C:$C,195)</f>
        <v>Manager Risk &amp; Resilience</v>
      </c>
      <c r="D37" s="1531" t="str">
        <f>INDEX('REVIEW - Complete Role Mapping'!$AK:$AK,195)</f>
        <v>Filled</v>
      </c>
      <c r="E37" s="1548" t="inlineStr">
        <is>
          <t>Filled</t>
        </is>
      </c>
      <c r="F37" s="1770">
        <f>INDEX('REVIEW - Complete Role Mapping'!$AA:$AA,195)</f>
        <v>287043.2</v>
      </c>
      <c r="G37" s="1770">
        <f>$F37*IFERROR(INDEX(Lists!$AD:$AD,MATCH($E37,Lists!$AC:$AC,0)),1)</f>
        <v>287043.2</v>
      </c>
    </row>
    <row r="38">
      <c r="B38" s="1531" t="str">
        <f>INDEX('REVIEW - Complete Role Mapping'!$B:$B,227)</f>
        <v>Shomiya Shayal</v>
      </c>
      <c r="C38" s="1531" t="str">
        <f>INDEX('REVIEW - Complete Role Mapping'!$C:$C,227)</f>
        <v>Risk &amp; Resilience Lead</v>
      </c>
      <c r="D38" s="1531" t="str">
        <f>INDEX('REVIEW - Complete Role Mapping'!$AK:$AK,227)</f>
        <v>Filled</v>
      </c>
      <c r="E38" s="1548" t="inlineStr">
        <is>
          <t>Filled</t>
        </is>
      </c>
      <c r="F38" s="1770">
        <f>INDEX('REVIEW - Complete Role Mapping'!$AA:$AA,227)</f>
        <v>188515.032</v>
      </c>
      <c r="G38" s="1770">
        <f>$F38*IFERROR(INDEX(Lists!$AD:$AD,MATCH($E38,Lists!$AC:$AC,0)),1)</f>
        <v>188515.032</v>
      </c>
    </row>
    <row r="39">
      <c r="B39" s="1530" t="inlineStr">
        <is>
          <t>Cyber Sec Ops</t>
        </is>
      </c>
      <c r="C39" s="1530" t="str">
        <f>COUNTA($B$40:$B$44)&amp;IF(COUNTA($B$40:$B$44)=1," role"," roles")</f>
        <v>5 roles</v>
      </c>
      <c r="D39" s="1530" t="n"/>
      <c r="E39" s="1530" t="n"/>
      <c r="F39" s="1786">
        <f>SUM(F40:F44)</f>
        <v>1111589.344</v>
      </c>
      <c r="G39" s="1786">
        <f>SUM(G40:G44)</f>
        <v>1111589.344</v>
      </c>
    </row>
    <row r="40">
      <c r="B40" s="1531" t="str">
        <f>INDEX('REVIEW - Complete Role Mapping'!$B:$B,213)</f>
        <v>Lisa Ng</v>
      </c>
      <c r="C40" s="1531" t="str">
        <f>INDEX('REVIEW - Complete Role Mapping'!$C:$C,213)</f>
        <v>Cyber Security Analyst</v>
      </c>
      <c r="D40" s="1531" t="str">
        <f>INDEX('REVIEW - Complete Role Mapping'!$AK:$AK,213)</f>
        <v>Filled</v>
      </c>
      <c r="E40" s="1548" t="inlineStr">
        <is>
          <t>Filled</t>
        </is>
      </c>
      <c r="F40" s="1770">
        <f>INDEX('REVIEW - Complete Role Mapping'!$AA:$AA,213)</f>
        <v>147800.064</v>
      </c>
      <c r="G40" s="1770">
        <f>$F40*IFERROR(INDEX(Lists!$AD:$AD,MATCH($E40,Lists!$AC:$AC,0)),1)</f>
        <v>147800.064</v>
      </c>
    </row>
    <row r="41">
      <c r="B41" s="1531" t="str">
        <f>INDEX('REVIEW - Complete Role Mapping'!$B:$B,218)</f>
        <v>Nischal Bhusal</v>
      </c>
      <c r="C41" s="1531" t="str">
        <f>INDEX('REVIEW - Complete Role Mapping'!$C:$C,218)</f>
        <v>Cyber Security Analyst</v>
      </c>
      <c r="D41" s="1531" t="str">
        <f>INDEX('REVIEW - Complete Role Mapping'!$AK:$AK,218)</f>
        <v>Filled</v>
      </c>
      <c r="E41" s="1548" t="inlineStr">
        <is>
          <t>Filled</t>
        </is>
      </c>
      <c r="F41" s="1770">
        <f>INDEX('REVIEW - Complete Role Mapping'!$AA:$AA,218)</f>
        <v>215629.2</v>
      </c>
      <c r="G41" s="1770">
        <f>$F41*IFERROR(INDEX(Lists!$AD:$AD,MATCH($E41,Lists!$AC:$AC,0)),1)</f>
        <v>215629.2</v>
      </c>
    </row>
    <row r="42">
      <c r="B42" s="1531" t="str">
        <f>INDEX('REVIEW - Complete Role Mapping'!$B:$B,226)</f>
        <v>Sameer Pattanaik</v>
      </c>
      <c r="C42" s="1531" t="str">
        <f>INDEX('REVIEW - Complete Role Mapping'!$C:$C,226)</f>
        <v>Cyber Security Operations Lead</v>
      </c>
      <c r="D42" s="1531" t="str">
        <f>INDEX('REVIEW - Complete Role Mapping'!$AK:$AK,226)</f>
        <v>Filled</v>
      </c>
      <c r="E42" s="1548" t="inlineStr">
        <is>
          <t>Filled</t>
        </is>
      </c>
      <c r="F42" s="1770">
        <f>INDEX('REVIEW - Complete Role Mapping'!$AA:$AA,226)</f>
        <v>212878.38</v>
      </c>
      <c r="G42" s="1770">
        <f>$F42*IFERROR(INDEX(Lists!$AD:$AD,MATCH($E42,Lists!$AC:$AC,0)),1)</f>
        <v>212878.38</v>
      </c>
    </row>
    <row r="43">
      <c r="B43" s="1531" t="str">
        <f>INDEX('REVIEW - Complete Role Mapping'!$B:$B,230)</f>
        <v>Stafford Dowling</v>
      </c>
      <c r="C43" s="1531" t="str">
        <f>INDEX('REVIEW - Complete Role Mapping'!$C:$C,230)</f>
        <v>Cyber Security Analyst</v>
      </c>
      <c r="D43" s="1531" t="str">
        <f>INDEX('REVIEW - Complete Role Mapping'!$AK:$AK,230)</f>
        <v>Filled</v>
      </c>
      <c r="E43" s="1548" t="inlineStr">
        <is>
          <t>Filled</t>
        </is>
      </c>
      <c r="F43" s="1770">
        <f>INDEX('REVIEW - Complete Role Mapping'!$AA:$AA,230)</f>
        <v>218713.05</v>
      </c>
      <c r="G43" s="1770">
        <f>$F43*IFERROR(INDEX(Lists!$AD:$AD,MATCH($E43,Lists!$AC:$AC,0)),1)</f>
        <v>218713.05</v>
      </c>
    </row>
    <row r="44">
      <c r="B44" s="1531" t="str">
        <f>INDEX('REVIEW - Complete Role Mapping'!$B:$B,231)</f>
        <v>Steven Atcheson</v>
      </c>
      <c r="C44" s="1531" t="str">
        <f>INDEX('REVIEW - Complete Role Mapping'!$C:$C,231)</f>
        <v>Manager Cyber Security Operations</v>
      </c>
      <c r="D44" s="1531" t="str">
        <f>INDEX('REVIEW - Complete Role Mapping'!$AK:$AK,231)</f>
        <v>Filled</v>
      </c>
      <c r="E44" s="1548" t="inlineStr">
        <is>
          <t>Filled</t>
        </is>
      </c>
      <c r="F44" s="1770">
        <f>INDEX('REVIEW - Complete Role Mapping'!$AA:$AA,231)</f>
        <v>316568.65</v>
      </c>
      <c r="G44" s="1770">
        <f>$F44*IFERROR(INDEX(Lists!$AD:$AD,MATCH($E44,Lists!$AC:$AC,0)),1)</f>
        <v>316568.65</v>
      </c>
    </row>
    <row r="45">
      <c r="B45" s="1530" t="inlineStr">
        <is>
          <t>Cyber Strat &amp; Tech</t>
        </is>
      </c>
      <c r="C45" s="1530" t="str">
        <f>COUNTA($B$46:$B$58)&amp;IF(COUNTA($B$46:$B$58)=1," role"," roles")</f>
        <v>13 roles</v>
      </c>
      <c r="D45" s="1530" t="n"/>
      <c r="E45" s="1530" t="n"/>
      <c r="F45" s="1786">
        <f>SUM(F46:F58)</f>
        <v>3315763.55</v>
      </c>
      <c r="G45" s="1786">
        <f>SUM(G46:G58)</f>
        <v>3315763.55</v>
      </c>
    </row>
    <row r="46">
      <c r="B46" s="1531" t="str">
        <f>INDEX('REVIEW - Complete Role Mapping'!$B:$B,196)</f>
        <v>Cameron Watman</v>
      </c>
      <c r="C46" s="1531" t="str">
        <f>INDEX('REVIEW - Complete Role Mapping'!$C:$C,196)</f>
        <v>Engineer - IDAM</v>
      </c>
      <c r="D46" s="1531" t="str">
        <f>INDEX('REVIEW - Complete Role Mapping'!$AK:$AK,196)</f>
        <v>Filled</v>
      </c>
      <c r="E46" s="1548" t="inlineStr">
        <is>
          <t>Filled</t>
        </is>
      </c>
      <c r="F46" s="1770">
        <f>INDEX('REVIEW - Complete Role Mapping'!$AA:$AA,196)</f>
        <v>173132.9</v>
      </c>
      <c r="G46" s="1770">
        <f>$F46*IFERROR(INDEX(Lists!$AD:$AD,MATCH($E46,Lists!$AC:$AC,0)),1)</f>
        <v>173132.9</v>
      </c>
    </row>
    <row r="47">
      <c r="B47" s="1531" t="str">
        <f>INDEX('REVIEW - Complete Role Mapping'!$B:$B,197)</f>
        <v>Catherine Gire</v>
      </c>
      <c r="C47" s="1531" t="str">
        <f>INDEX('REVIEW - Complete Role Mapping'!$C:$C,197)</f>
        <v>Cyber Technical Business Analyst</v>
      </c>
      <c r="D47" s="1531" t="str">
        <f>INDEX('REVIEW - Complete Role Mapping'!$AK:$AK,197)</f>
        <v>Filled</v>
      </c>
      <c r="E47" s="1548" t="inlineStr">
        <is>
          <t>Filled</t>
        </is>
      </c>
      <c r="F47" s="1770">
        <f>INDEX('REVIEW - Complete Role Mapping'!$AA:$AA,197)</f>
        <v>227163.6</v>
      </c>
      <c r="G47" s="1770">
        <f>$F47*IFERROR(INDEX(Lists!$AD:$AD,MATCH($E47,Lists!$AC:$AC,0)),1)</f>
        <v>227163.6</v>
      </c>
    </row>
    <row r="48">
      <c r="B48" s="1531" t="str">
        <f>INDEX('REVIEW - Complete Role Mapping'!$B:$B,198)</f>
        <v>Chris Lyons</v>
      </c>
      <c r="C48" s="1531" t="str">
        <f>INDEX('REVIEW - Complete Role Mapping'!$C:$C,198)</f>
        <v>Cyber Security Architect</v>
      </c>
      <c r="D48" s="1531" t="str">
        <f>INDEX('REVIEW - Complete Role Mapping'!$AK:$AK,198)</f>
        <v>Filled</v>
      </c>
      <c r="E48" s="1548" t="inlineStr">
        <is>
          <t>Filled</t>
        </is>
      </c>
      <c r="F48" s="1770">
        <f>INDEX('REVIEW - Complete Role Mapping'!$AA:$AA,198)</f>
        <v>283353.75</v>
      </c>
      <c r="G48" s="1770">
        <f>$F48*IFERROR(INDEX(Lists!$AD:$AD,MATCH($E48,Lists!$AC:$AC,0)),1)</f>
        <v>283353.75</v>
      </c>
    </row>
    <row r="49">
      <c r="B49" s="1531" t="str">
        <f>INDEX('REVIEW - Complete Role Mapping'!$B:$B,200)</f>
        <v>Dan Balsamo</v>
      </c>
      <c r="C49" s="1531" t="str">
        <f>INDEX('REVIEW - Complete Role Mapping'!$C:$C,200)</f>
        <v>Senior Cyber Project Manager</v>
      </c>
      <c r="D49" s="1531" t="str">
        <f>INDEX('REVIEW - Complete Role Mapping'!$AK:$AK,200)</f>
        <v>Filled</v>
      </c>
      <c r="E49" s="1548" t="inlineStr">
        <is>
          <t>Filled</t>
        </is>
      </c>
      <c r="F49" s="1770">
        <f>INDEX('REVIEW - Complete Role Mapping'!$AA:$AA,200)</f>
        <v>258576.15</v>
      </c>
      <c r="G49" s="1770">
        <f>$F49*IFERROR(INDEX(Lists!$AD:$AD,MATCH($E49,Lists!$AC:$AC,0)),1)</f>
        <v>258576.15</v>
      </c>
    </row>
    <row r="50">
      <c r="B50" s="1531" t="str">
        <f>INDEX('REVIEW - Complete Role Mapping'!$B:$B,203)</f>
        <v>Darshan Suvama</v>
      </c>
      <c r="C50" s="1531" t="str">
        <f>INDEX('REVIEW - Complete Role Mapping'!$C:$C,203)</f>
        <v>Cyber Offensive Security Lead</v>
      </c>
      <c r="D50" s="1531" t="str">
        <f>INDEX('REVIEW - Complete Role Mapping'!$AK:$AK,203)</f>
        <v>Filled</v>
      </c>
      <c r="E50" s="1548" t="inlineStr">
        <is>
          <t>Filled</t>
        </is>
      </c>
      <c r="F50" s="1770">
        <f>INDEX('REVIEW - Complete Role Mapping'!$AA:$AA,203)</f>
        <v>285342.9</v>
      </c>
      <c r="G50" s="1770">
        <f>$F50*IFERROR(INDEX(Lists!$AD:$AD,MATCH($E50,Lists!$AC:$AC,0)),1)</f>
        <v>285342.9</v>
      </c>
    </row>
    <row r="51">
      <c r="B51" s="1531" t="str">
        <f>INDEX('REVIEW - Complete Role Mapping'!$B:$B,206)</f>
        <v>Iwan Wibisono</v>
      </c>
      <c r="C51" s="1531" t="str">
        <f>INDEX('REVIEW - Complete Role Mapping'!$C:$C,206)</f>
        <v>Engineer - IDAM</v>
      </c>
      <c r="D51" s="1531" t="str">
        <f>INDEX('REVIEW - Complete Role Mapping'!$AK:$AK,206)</f>
        <v>Filled</v>
      </c>
      <c r="E51" s="1548" t="inlineStr">
        <is>
          <t>Filled</t>
        </is>
      </c>
      <c r="F51" s="1770">
        <f>INDEX('REVIEW - Complete Role Mapping'!$AA:$AA,206)</f>
        <v>215682.6</v>
      </c>
      <c r="G51" s="1770">
        <f>$F51*IFERROR(INDEX(Lists!$AD:$AD,MATCH($E51,Lists!$AC:$AC,0)),1)</f>
        <v>215682.6</v>
      </c>
    </row>
    <row r="52">
      <c r="B52" s="1531" t="str">
        <f>INDEX('REVIEW - Complete Role Mapping'!$B:$B,208)</f>
        <v>James Byrne</v>
      </c>
      <c r="C52" s="1531" t="str">
        <f>INDEX('REVIEW - Complete Role Mapping'!$C:$C,208)</f>
        <v>Head of Cyber Strategy &amp; Technology</v>
      </c>
      <c r="D52" s="1531" t="str">
        <f>INDEX('REVIEW - Complete Role Mapping'!$AK:$AK,208)</f>
        <v>Filled</v>
      </c>
      <c r="E52" s="1548" t="inlineStr">
        <is>
          <t>Filled</t>
        </is>
      </c>
      <c r="F52" s="1770">
        <f>INDEX('REVIEW - Complete Role Mapping'!$AA:$AA,208)</f>
        <v>382587.7</v>
      </c>
      <c r="G52" s="1770">
        <f>$F52*IFERROR(INDEX(Lists!$AD:$AD,MATCH($E52,Lists!$AC:$AC,0)),1)</f>
        <v>382587.7</v>
      </c>
    </row>
    <row r="53">
      <c r="B53" s="1531" t="str">
        <f>INDEX('REVIEW - Complete Role Mapping'!$B:$B,210)</f>
        <v>Joe Nahma</v>
      </c>
      <c r="C53" s="1531" t="str">
        <f>INDEX('REVIEW - Complete Role Mapping'!$C:$C,210)</f>
        <v>Manager Identity &amp; Access Management</v>
      </c>
      <c r="D53" s="1531" t="str">
        <f>INDEX('REVIEW - Complete Role Mapping'!$AK:$AK,210)</f>
        <v>Filled</v>
      </c>
      <c r="E53" s="1548" t="inlineStr">
        <is>
          <t>Filled</t>
        </is>
      </c>
      <c r="F53" s="1770">
        <f>INDEX('REVIEW - Complete Role Mapping'!$AA:$AA,210)</f>
        <v>258709.65</v>
      </c>
      <c r="G53" s="1770">
        <f>$F53*IFERROR(INDEX(Lists!$AD:$AD,MATCH($E53,Lists!$AC:$AC,0)),1)</f>
        <v>258709.65</v>
      </c>
    </row>
    <row r="54">
      <c r="B54" s="1531" t="str">
        <f>INDEX('REVIEW - Complete Role Mapping'!$B:$B,212)</f>
        <v>Kevin Sheerin</v>
      </c>
      <c r="C54" s="1531" t="str">
        <f>INDEX('REVIEW - Complete Role Mapping'!$C:$C,212)</f>
        <v>Cyber Architecture Lead</v>
      </c>
      <c r="D54" s="1531" t="str">
        <f>INDEX('REVIEW - Complete Role Mapping'!$AK:$AK,212)</f>
        <v>Filled</v>
      </c>
      <c r="E54" s="1548" t="inlineStr">
        <is>
          <t>Filled</t>
        </is>
      </c>
      <c r="F54" s="1770">
        <f>INDEX('REVIEW - Complete Role Mapping'!$AA:$AA,212)</f>
        <v>284982.45</v>
      </c>
      <c r="G54" s="1770">
        <f>$F54*IFERROR(INDEX(Lists!$AD:$AD,MATCH($E54,Lists!$AC:$AC,0)),1)</f>
        <v>284982.45</v>
      </c>
    </row>
    <row r="55">
      <c r="B55" s="1531" t="str">
        <f>INDEX('REVIEW - Complete Role Mapping'!$B:$B,221)</f>
        <v>Rahul Sahni</v>
      </c>
      <c r="C55" s="1531" t="str">
        <f>INDEX('REVIEW - Complete Role Mapping'!$C:$C,221)</f>
        <v>Cyber Security Architect</v>
      </c>
      <c r="D55" s="1531" t="str">
        <f>INDEX('REVIEW - Complete Role Mapping'!$AK:$AK,221)</f>
        <v>Filled</v>
      </c>
      <c r="E55" s="1548" t="inlineStr">
        <is>
          <t>Filled</t>
        </is>
      </c>
      <c r="F55" s="1770">
        <f>INDEX('REVIEW - Complete Role Mapping'!$AA:$AA,221)</f>
        <v>226282.5</v>
      </c>
      <c r="G55" s="1770">
        <f>$F55*IFERROR(INDEX(Lists!$AD:$AD,MATCH($E55,Lists!$AC:$AC,0)),1)</f>
        <v>226282.5</v>
      </c>
    </row>
    <row r="56">
      <c r="B56" s="1531" t="str">
        <f>INDEX('REVIEW - Complete Role Mapping'!$B:$B,223)</f>
        <v>Raymond Cheung</v>
      </c>
      <c r="C56" s="1531" t="str">
        <f>INDEX('REVIEW - Complete Role Mapping'!$C:$C,223)</f>
        <v>Engineer - IDAM</v>
      </c>
      <c r="D56" s="1531" t="str">
        <f>INDEX('REVIEW - Complete Role Mapping'!$AK:$AK,223)</f>
        <v>Filled</v>
      </c>
      <c r="E56" s="1548" t="inlineStr">
        <is>
          <t>Filled</t>
        </is>
      </c>
      <c r="F56" s="1770">
        <f>INDEX('REVIEW - Complete Role Mapping'!$AA:$AA,223)</f>
        <v>190675</v>
      </c>
      <c r="G56" s="1770">
        <f>$F56*IFERROR(INDEX(Lists!$AD:$AD,MATCH($E56,Lists!$AC:$AC,0)),1)</f>
        <v>190675</v>
      </c>
    </row>
    <row r="57">
      <c r="B57" s="1531" t="str">
        <f>INDEX('REVIEW - Complete Role Mapping'!$B:$B,232)</f>
        <v>Tony Keeler</v>
      </c>
      <c r="C57" s="1531" t="str">
        <f>INDEX('REVIEW - Complete Role Mapping'!$C:$C,232)</f>
        <v>Cyber Business Analyst</v>
      </c>
      <c r="D57" s="1531" t="str">
        <f>INDEX('REVIEW - Complete Role Mapping'!$AK:$AK,232)</f>
        <v>Filled</v>
      </c>
      <c r="E57" s="1548" t="inlineStr">
        <is>
          <t>Filled</t>
        </is>
      </c>
      <c r="F57" s="1770">
        <f>INDEX('REVIEW - Complete Role Mapping'!$AA:$AA,232)</f>
        <v>213600</v>
      </c>
      <c r="G57" s="1770">
        <f>$F57*IFERROR(INDEX(Lists!$AD:$AD,MATCH($E57,Lists!$AC:$AC,0)),1)</f>
        <v>213600</v>
      </c>
    </row>
    <row r="58">
      <c r="B58" s="1531" t="str">
        <f>INDEX('REVIEW - Complete Role Mapping'!$B:$B,238)</f>
        <v>Vivienne Vasak</v>
      </c>
      <c r="C58" s="1531" t="str">
        <f>INDEX('REVIEW - Complete Role Mapping'!$C:$C,238)</f>
        <v>Portfolio Manager Cyber Security</v>
      </c>
      <c r="D58" s="1531" t="str">
        <f>INDEX('REVIEW - Complete Role Mapping'!$AK:$AK,238)</f>
        <v>Filled</v>
      </c>
      <c r="E58" s="1548" t="inlineStr">
        <is>
          <t>Filled</t>
        </is>
      </c>
      <c r="F58" s="1770">
        <f>INDEX('REVIEW - Complete Role Mapping'!$AA:$AA,238)</f>
        <v>315674.35</v>
      </c>
      <c r="G58" s="1770">
        <f>$F58*IFERROR(INDEX(Lists!$AD:$AD,MATCH($E58,Lists!$AC:$AC,0)),1)</f>
        <v>315674.35</v>
      </c>
    </row>
    <row r="59">
      <c r="B59" s="1530" t="inlineStr">
        <is>
          <t>Service Op &amp; Assurance</t>
        </is>
      </c>
      <c r="C59" s="1530" t="str">
        <f>COUNTA($B$60:$B$80)&amp;IF(COUNTA($B$60:$B$80)=1," role"," roles")</f>
        <v>21 roles</v>
      </c>
      <c r="D59" s="1530" t="n"/>
      <c r="E59" s="1530" t="n"/>
      <c r="F59" s="1786">
        <f>SUM(F60:F80)</f>
        <v>3923469.38</v>
      </c>
      <c r="G59" s="1786">
        <f>SUM(G60:G80)</f>
        <v>3923469.38</v>
      </c>
    </row>
    <row r="60">
      <c r="B60" s="1531" t="str">
        <f>INDEX('REVIEW - Complete Role Mapping'!$B:$B,193)</f>
        <v>Ashley Mueller</v>
      </c>
      <c r="C60" s="1531" t="str">
        <f>INDEX('REVIEW - Complete Role Mapping'!$C:$C,193)</f>
        <v>Lead - Service Assurance</v>
      </c>
      <c r="D60" s="1531" t="str">
        <f>INDEX('REVIEW - Complete Role Mapping'!$AK:$AK,193)</f>
        <v>Filled</v>
      </c>
      <c r="E60" s="1548" t="inlineStr">
        <is>
          <t>Filled</t>
        </is>
      </c>
      <c r="F60" s="1770">
        <f>INDEX('REVIEW - Complete Role Mapping'!$AA:$AA,193)</f>
        <v>189974.796</v>
      </c>
      <c r="G60" s="1770">
        <f>$F60*IFERROR(INDEX(Lists!$AD:$AD,MATCH($E60,Lists!$AC:$AC,0)),1)</f>
        <v>189974.796</v>
      </c>
    </row>
    <row r="61">
      <c r="B61" s="1531" t="str">
        <f>INDEX('REVIEW - Complete Role Mapping'!$B:$B,194)</f>
        <v>Belinda Hoskens</v>
      </c>
      <c r="C61" s="1531" t="str">
        <f>INDEX('REVIEW - Complete Role Mapping'!$C:$C,194)</f>
        <v>Technology Support Engineer</v>
      </c>
      <c r="D61" s="1531" t="str">
        <f>INDEX('REVIEW - Complete Role Mapping'!$AK:$AK,194)</f>
        <v>Filled</v>
      </c>
      <c r="E61" s="1548" t="inlineStr">
        <is>
          <t>Filled</t>
        </is>
      </c>
      <c r="F61" s="1770">
        <f>INDEX('REVIEW - Complete Role Mapping'!$AA:$AA,194)</f>
        <v>162139.5</v>
      </c>
      <c r="G61" s="1770">
        <f>$F61*IFERROR(INDEX(Lists!$AD:$AD,MATCH($E61,Lists!$AC:$AC,0)),1)</f>
        <v>162139.5</v>
      </c>
    </row>
    <row r="62">
      <c r="B62" s="1531" t="str">
        <f>INDEX('REVIEW - Complete Role Mapping'!$B:$B,199)</f>
        <v>Chris Rojas</v>
      </c>
      <c r="C62" s="1531" t="str">
        <f>INDEX('REVIEW - Complete Role Mapping'!$C:$C,199)</f>
        <v>Manager, Customer Support Operations</v>
      </c>
      <c r="D62" s="1531" t="str">
        <f>INDEX('REVIEW - Complete Role Mapping'!$AK:$AK,199)</f>
        <v>Filled</v>
      </c>
      <c r="E62" s="1548" t="inlineStr">
        <is>
          <t>Filled</t>
        </is>
      </c>
      <c r="F62" s="1770">
        <f>INDEX('REVIEW - Complete Role Mapping'!$AA:$AA,199)</f>
        <v>243303.75</v>
      </c>
      <c r="G62" s="1770">
        <f>$F62*IFERROR(INDEX(Lists!$AD:$AD,MATCH($E62,Lists!$AC:$AC,0)),1)</f>
        <v>243303.75</v>
      </c>
    </row>
    <row r="63">
      <c r="B63" s="1531" t="str">
        <f>INDEX('REVIEW - Complete Role Mapping'!$B:$B,201)</f>
        <v>Daniel Jolley</v>
      </c>
      <c r="C63" s="1531" t="str">
        <f>INDEX('REVIEW - Complete Role Mapping'!$C:$C,201)</f>
        <v>Tech Support Technician</v>
      </c>
      <c r="D63" s="1531" t="str">
        <f>INDEX('REVIEW - Complete Role Mapping'!$AK:$AK,201)</f>
        <v>Filled</v>
      </c>
      <c r="E63" s="1548" t="inlineStr">
        <is>
          <t>Filled</t>
        </is>
      </c>
      <c r="F63" s="1770">
        <f>INDEX('REVIEW - Complete Role Mapping'!$AA:$AA,201)</f>
        <v>115851.5</v>
      </c>
      <c r="G63" s="1770">
        <f>$F63*IFERROR(INDEX(Lists!$AD:$AD,MATCH($E63,Lists!$AC:$AC,0)),1)</f>
        <v>115851.5</v>
      </c>
    </row>
    <row r="64">
      <c r="B64" s="1531" t="str">
        <f>INDEX('REVIEW - Complete Role Mapping'!$B:$B,202)</f>
        <v>Darren Koller</v>
      </c>
      <c r="C64" s="1531" t="str">
        <f>INDEX('REVIEW - Complete Role Mapping'!$C:$C,202)</f>
        <v>Manager, Service Management &amp; Major Incident Mgmt Lead</v>
      </c>
      <c r="D64" s="1531" t="str">
        <f>INDEX('REVIEW - Complete Role Mapping'!$AK:$AK,202)</f>
        <v>Filled</v>
      </c>
      <c r="E64" s="1548" t="inlineStr">
        <is>
          <t>Filled</t>
        </is>
      </c>
      <c r="F64" s="1770">
        <f>INDEX('REVIEW - Complete Role Mapping'!$AA:$AA,202)</f>
        <v>274943.25</v>
      </c>
      <c r="G64" s="1770">
        <f>$F64*IFERROR(INDEX(Lists!$AD:$AD,MATCH($E64,Lists!$AC:$AC,0)),1)</f>
        <v>274943.25</v>
      </c>
    </row>
    <row r="65">
      <c r="B65" s="1531" t="str">
        <f>INDEX('REVIEW - Complete Role Mapping'!$B:$B,205)</f>
        <v>Ethan Lamhert (FT)</v>
      </c>
      <c r="C65" s="1531" t="str">
        <f>INDEX('REVIEW - Complete Role Mapping'!$C:$C,205)</f>
        <v>Tech Support Technician</v>
      </c>
      <c r="D65" s="1531" t="str">
        <f>INDEX('REVIEW - Complete Role Mapping'!$AK:$AK,205)</f>
        <v>Filled</v>
      </c>
      <c r="E65" s="1548" t="inlineStr">
        <is>
          <t>Filled</t>
        </is>
      </c>
      <c r="F65" s="1770">
        <f>INDEX('REVIEW - Complete Role Mapping'!$AA:$AA,205)</f>
        <v>89758</v>
      </c>
      <c r="G65" s="1770">
        <f>$F65*IFERROR(INDEX(Lists!$AD:$AD,MATCH($E65,Lists!$AC:$AC,0)),1)</f>
        <v>89758</v>
      </c>
    </row>
    <row r="66">
      <c r="B66" s="1531" t="str">
        <f>INDEX('REVIEW - Complete Role Mapping'!$B:$B,207)</f>
        <v>Jack Jenkins</v>
      </c>
      <c r="C66" s="1531" t="str">
        <f>INDEX('REVIEW - Complete Role Mapping'!$C:$C,207)</f>
        <v>Asset Analyst</v>
      </c>
      <c r="D66" s="1531" t="str">
        <f>INDEX('REVIEW - Complete Role Mapping'!$AK:$AK,207)</f>
        <v>Filled</v>
      </c>
      <c r="E66" s="1548" t="inlineStr">
        <is>
          <t>Filled</t>
        </is>
      </c>
      <c r="F66" s="1770">
        <f>INDEX('REVIEW - Complete Role Mapping'!$AA:$AA,207)</f>
        <v>139008.65</v>
      </c>
      <c r="G66" s="1770">
        <f>$F66*IFERROR(INDEX(Lists!$AD:$AD,MATCH($E66,Lists!$AC:$AC,0)),1)</f>
        <v>139008.65</v>
      </c>
    </row>
    <row r="67">
      <c r="B67" s="1531" t="str">
        <f>INDEX('REVIEW - Complete Role Mapping'!$B:$B,209)</f>
        <v>Jas Mann</v>
      </c>
      <c r="C67" s="1531" t="str">
        <f>INDEX('REVIEW - Complete Role Mapping'!$C:$C,209)</f>
        <v>Technology Support Engineer</v>
      </c>
      <c r="D67" s="1531" t="str">
        <f>INDEX('REVIEW - Complete Role Mapping'!$AK:$AK,209)</f>
        <v>Filled</v>
      </c>
      <c r="E67" s="1548" t="inlineStr">
        <is>
          <t>Filled</t>
        </is>
      </c>
      <c r="F67" s="1770">
        <f>INDEX('REVIEW - Complete Role Mapping'!$AA:$AA,209)</f>
        <v>146885.5</v>
      </c>
      <c r="G67" s="1770">
        <f>$F67*IFERROR(INDEX(Lists!$AD:$AD,MATCH($E67,Lists!$AC:$AC,0)),1)</f>
        <v>146885.5</v>
      </c>
    </row>
    <row r="68">
      <c r="B68" s="1531" t="str">
        <f>INDEX('REVIEW - Complete Role Mapping'!$B:$B,211)</f>
        <v>Kaaviya Salai Manimudian</v>
      </c>
      <c r="C68" s="1531" t="str">
        <f>INDEX('REVIEW - Complete Role Mapping'!$C:$C,211)</f>
        <v>Graduate</v>
      </c>
      <c r="D68" s="1531" t="str">
        <f>INDEX('REVIEW - Complete Role Mapping'!$AK:$AK,211)</f>
        <v>Filled</v>
      </c>
      <c r="E68" s="1548" t="inlineStr">
        <is>
          <t>Filled</t>
        </is>
      </c>
      <c r="F68" s="1770">
        <f>INDEX('REVIEW - Complete Role Mapping'!$AA:$AA,211)</f>
        <v>110075</v>
      </c>
      <c r="G68" s="1770">
        <f>$F68*IFERROR(INDEX(Lists!$AD:$AD,MATCH($E68,Lists!$AC:$AC,0)),1)</f>
        <v>110075</v>
      </c>
    </row>
    <row r="69">
      <c r="B69" s="1531" t="str">
        <f>INDEX('REVIEW - Complete Role Mapping'!$B:$B,214)</f>
        <v>Lynda Niewidok</v>
      </c>
      <c r="C69" s="1531" t="str">
        <f>INDEX('REVIEW - Complete Role Mapping'!$C:$C,214)</f>
        <v>Lead - Service Desk</v>
      </c>
      <c r="D69" s="1531" t="str">
        <f>INDEX('REVIEW - Complete Role Mapping'!$AK:$AK,214)</f>
        <v>Filled</v>
      </c>
      <c r="E69" s="1548" t="inlineStr">
        <is>
          <t>Filled</t>
        </is>
      </c>
      <c r="F69" s="1770">
        <f>INDEX('REVIEW - Complete Role Mapping'!$AA:$AA,214)</f>
        <v>203988</v>
      </c>
      <c r="G69" s="1770">
        <f>$F69*IFERROR(INDEX(Lists!$AD:$AD,MATCH($E69,Lists!$AC:$AC,0)),1)</f>
        <v>203988</v>
      </c>
    </row>
    <row r="70">
      <c r="B70" s="1531" t="str">
        <f>INDEX('REVIEW - Complete Role Mapping'!$B:$B,215)</f>
        <v>Mark Pearson</v>
      </c>
      <c r="C70" s="1531" t="str">
        <f>INDEX('REVIEW - Complete Role Mapping'!$C:$C,215)</f>
        <v>Lead - Technology Support</v>
      </c>
      <c r="D70" s="1531" t="str">
        <f>INDEX('REVIEW - Complete Role Mapping'!$AK:$AK,215)</f>
        <v>Filled</v>
      </c>
      <c r="E70" s="1548" t="inlineStr">
        <is>
          <t>Filled</t>
        </is>
      </c>
      <c r="F70" s="1770">
        <f>INDEX('REVIEW - Complete Role Mapping'!$AA:$AA,215)</f>
        <v>203841.15</v>
      </c>
      <c r="G70" s="1770">
        <f>$F70*IFERROR(INDEX(Lists!$AD:$AD,MATCH($E70,Lists!$AC:$AC,0)),1)</f>
        <v>203841.15</v>
      </c>
    </row>
    <row r="71">
      <c r="B71" s="1531" t="str">
        <f>INDEX('REVIEW - Complete Role Mapping'!$B:$B,216)</f>
        <v>Mary-Grace Rivera</v>
      </c>
      <c r="C71" s="1531" t="str">
        <f>INDEX('REVIEW - Complete Role Mapping'!$C:$C,216)</f>
        <v>Lead, Service Management</v>
      </c>
      <c r="D71" s="1531" t="str">
        <f>INDEX('REVIEW - Complete Role Mapping'!$AK:$AK,216)</f>
        <v>Filled</v>
      </c>
      <c r="E71" s="1548" t="inlineStr">
        <is>
          <t>Filled</t>
        </is>
      </c>
      <c r="F71" s="1770">
        <f>INDEX('REVIEW - Complete Role Mapping'!$AA:$AA,216)</f>
        <v>180970.3</v>
      </c>
      <c r="G71" s="1770">
        <f>$F71*IFERROR(INDEX(Lists!$AD:$AD,MATCH($E71,Lists!$AC:$AC,0)),1)</f>
        <v>180970.3</v>
      </c>
    </row>
    <row r="72">
      <c r="B72" s="1531" t="str">
        <f>INDEX('REVIEW - Complete Role Mapping'!$B:$B,217)</f>
        <v>Mick Collins</v>
      </c>
      <c r="C72" s="1531" t="str">
        <f>INDEX('REVIEW - Complete Role Mapping'!$C:$C,217)</f>
        <v>Manager, Service Performance &amp; Assurance</v>
      </c>
      <c r="D72" s="1531" t="str">
        <f>INDEX('REVIEW - Complete Role Mapping'!$AK:$AK,217)</f>
        <v>Filled</v>
      </c>
      <c r="E72" s="1548" t="inlineStr">
        <is>
          <t>Filled</t>
        </is>
      </c>
      <c r="F72" s="1770">
        <f>INDEX('REVIEW - Complete Role Mapping'!$AA:$AA,217)</f>
        <v>272070.45</v>
      </c>
      <c r="G72" s="1770">
        <f>$F72*IFERROR(INDEX(Lists!$AD:$AD,MATCH($E72,Lists!$AC:$AC,0)),1)</f>
        <v>272070.45</v>
      </c>
    </row>
    <row r="73">
      <c r="B73" s="1531" t="str">
        <f>INDEX('REVIEW - Complete Role Mapping'!$B:$B,222)</f>
        <v>Rajini Onteddu Reddy</v>
      </c>
      <c r="C73" s="1531" t="str">
        <f>INDEX('REVIEW - Complete Role Mapping'!$C:$C,222)</f>
        <v>Head of Service Operations &amp; Assurance</v>
      </c>
      <c r="D73" s="1531" t="str">
        <f>INDEX('REVIEW - Complete Role Mapping'!$AK:$AK,222)</f>
        <v>Filled</v>
      </c>
      <c r="E73" s="1548" t="inlineStr">
        <is>
          <t>Filled</t>
        </is>
      </c>
      <c r="F73" s="1770">
        <f>INDEX('REVIEW - Complete Role Mapping'!$AA:$AA,222)</f>
        <v>400671.4</v>
      </c>
      <c r="G73" s="1770">
        <f>$F73*IFERROR(INDEX(Lists!$AD:$AD,MATCH($E73,Lists!$AC:$AC,0)),1)</f>
        <v>400671.4</v>
      </c>
    </row>
    <row r="74">
      <c r="B74" s="1531" t="str">
        <f>INDEX('REVIEW - Complete Role Mapping'!$B:$B,224)</f>
        <v>Remya Pookat</v>
      </c>
      <c r="C74" s="1531" t="str">
        <f>INDEX('REVIEW - Complete Role Mapping'!$C:$C,224)</f>
        <v>Lead - Change &amp; Release Management</v>
      </c>
      <c r="D74" s="1531" t="str">
        <f>INDEX('REVIEW - Complete Role Mapping'!$AK:$AK,224)</f>
        <v>Filled</v>
      </c>
      <c r="E74" s="1548" t="inlineStr">
        <is>
          <t>Filled</t>
        </is>
      </c>
      <c r="F74" s="1770">
        <f>INDEX('REVIEW - Complete Role Mapping'!$AA:$AA,224)</f>
        <v>220875.75</v>
      </c>
      <c r="G74" s="1770">
        <f>$F74*IFERROR(INDEX(Lists!$AD:$AD,MATCH($E74,Lists!$AC:$AC,0)),1)</f>
        <v>220875.75</v>
      </c>
    </row>
    <row r="75">
      <c r="B75" s="1531" t="str">
        <f>INDEX('REVIEW - Complete Role Mapping'!$B:$B,225)</f>
        <v>Ritika Salaria</v>
      </c>
      <c r="C75" s="1531" t="str">
        <f>INDEX('REVIEW - Complete Role Mapping'!$C:$C,225)</f>
        <v>Configuration Analyst</v>
      </c>
      <c r="D75" s="1531" t="str">
        <f>INDEX('REVIEW - Complete Role Mapping'!$AK:$AK,225)</f>
        <v>Filled</v>
      </c>
      <c r="E75" s="1548" t="inlineStr">
        <is>
          <t>Filled</t>
        </is>
      </c>
      <c r="F75" s="1770">
        <f>INDEX('REVIEW - Complete Role Mapping'!$AA:$AA,225)</f>
        <v>173106.6</v>
      </c>
      <c r="G75" s="1770">
        <f>$F75*IFERROR(INDEX(Lists!$AD:$AD,MATCH($E75,Lists!$AC:$AC,0)),1)</f>
        <v>173106.6</v>
      </c>
    </row>
    <row r="76">
      <c r="B76" s="1531" t="str">
        <f>INDEX('REVIEW - Complete Role Mapping'!$B:$B,229)</f>
        <v>Spoilagi Bhutwala</v>
      </c>
      <c r="C76" s="1531" t="str">
        <f>INDEX('REVIEW - Complete Role Mapping'!$C:$C,229)</f>
        <v>Tech Support Technician</v>
      </c>
      <c r="D76" s="1531" t="str">
        <f>INDEX('REVIEW - Complete Role Mapping'!$AK:$AK,229)</f>
        <v>Filled</v>
      </c>
      <c r="E76" s="1548" t="inlineStr">
        <is>
          <t>Filled</t>
        </is>
      </c>
      <c r="F76" s="1770">
        <f>INDEX('REVIEW - Complete Role Mapping'!$AA:$AA,229)</f>
        <v>97237.784</v>
      </c>
      <c r="G76" s="1770">
        <f>$F76*IFERROR(INDEX(Lists!$AD:$AD,MATCH($E76,Lists!$AC:$AC,0)),1)</f>
        <v>97237.784</v>
      </c>
    </row>
    <row r="77">
      <c r="B77" s="1531" t="str">
        <f>INDEX('REVIEW - Complete Role Mapping'!$B:$B,233)</f>
        <v>Vacant</v>
      </c>
      <c r="C77" s="1531" t="str">
        <f>INDEX('REVIEW - Complete Role Mapping'!$C:$C,233)</f>
        <v>Lead - Problem Management</v>
      </c>
      <c r="D77" s="1531" t="str">
        <f>INDEX('REVIEW - Complete Role Mapping'!$AK:$AK,233)</f>
        <v>Vacant</v>
      </c>
      <c r="E77" s="1548" t="inlineStr">
        <is>
          <t>Hire</t>
        </is>
      </c>
      <c r="F77" s="1770">
        <f>INDEX('REVIEW - Complete Role Mapping'!$AA:$AA,233)</f>
        <v>170489.75</v>
      </c>
      <c r="G77" s="1770">
        <f>$F77*IFERROR(INDEX(Lists!$AD:$AD,MATCH($E77,Lists!$AC:$AC,0)),1)</f>
        <v>170489.75</v>
      </c>
    </row>
    <row r="78">
      <c r="B78" s="1531" t="str">
        <f>INDEX('REVIEW - Complete Role Mapping'!$B:$B,234)</f>
        <v>Vacant</v>
      </c>
      <c r="C78" s="1531" t="str">
        <f>INDEX('REVIEW - Complete Role Mapping'!$C:$C,234)</f>
        <v>Lead - Asset &amp; Configuration</v>
      </c>
      <c r="D78" s="1531" t="str">
        <f>INDEX('REVIEW - Complete Role Mapping'!$AK:$AK,234)</f>
        <v>Vacant</v>
      </c>
      <c r="E78" s="1548" t="inlineStr">
        <is>
          <t>Hire</t>
        </is>
      </c>
      <c r="F78" s="1770">
        <f>INDEX('REVIEW - Complete Role Mapping'!$AA:$AA,234)</f>
        <v>202853.25</v>
      </c>
      <c r="G78" s="1770">
        <f>$F78*IFERROR(INDEX(Lists!$AD:$AD,MATCH($E78,Lists!$AC:$AC,0)),1)</f>
        <v>202853.25</v>
      </c>
    </row>
    <row r="79">
      <c r="B79" s="1531" t="str">
        <f>INDEX('REVIEW - Complete Role Mapping'!$B:$B,235)</f>
        <v>Vacant</v>
      </c>
      <c r="C79" s="1531" t="str">
        <f>INDEX('REVIEW - Complete Role Mapping'!$C:$C,235)</f>
        <v>Lead - Service Performance &amp; Insights</v>
      </c>
      <c r="D79" s="1531" t="str">
        <f>INDEX('REVIEW - Complete Role Mapping'!$AK:$AK,235)</f>
        <v>Vacant</v>
      </c>
      <c r="E79" s="1548" t="inlineStr">
        <is>
          <t>Hire</t>
        </is>
      </c>
      <c r="F79" s="1770">
        <f>INDEX('REVIEW - Complete Role Mapping'!$AA:$AA,235)</f>
        <v>202853.25</v>
      </c>
      <c r="G79" s="1770">
        <f>$F79*IFERROR(INDEX(Lists!$AD:$AD,MATCH($E79,Lists!$AC:$AC,0)),1)</f>
        <v>202853.25</v>
      </c>
    </row>
    <row r="80">
      <c r="B80" s="1531" t="str">
        <f>INDEX('REVIEW - Complete Role Mapping'!$B:$B,236)</f>
        <v>Vacant</v>
      </c>
      <c r="C80" s="1531" t="str">
        <f>INDEX('REVIEW - Complete Role Mapping'!$C:$C,236)</f>
        <v>Tech Support Technician</v>
      </c>
      <c r="D80" s="1531" t="str">
        <f>INDEX('REVIEW - Complete Role Mapping'!$AK:$AK,236)</f>
        <v>Vacant</v>
      </c>
      <c r="E80" s="1548" t="inlineStr">
        <is>
          <t>Hire</t>
        </is>
      </c>
      <c r="F80" s="1770">
        <f>INDEX('REVIEW - Complete Role Mapping'!$AA:$AA,236)</f>
        <v>122571.75</v>
      </c>
      <c r="G80" s="1770">
        <f>$F80*IFERROR(INDEX(Lists!$AD:$AD,MATCH($E80,Lists!$AC:$AC,0)),1)</f>
        <v>122571.75</v>
      </c>
    </row>
  </sheetData>
  <dataValidations count="1">
    <dataValidation sqref="E31 E32 E33 E34 E35 E37 E38 E40 E41 E42 E43 E44 E46 E47 E48 E49 E50 E51 E52 E53 E54 E55 E56 E57 E58 E60 E61 E62 E63 E64 E65 E66 E67 E68 E69 E70 E71 E72 E73 E74 E75 E76 E77 E78 E79 E80"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34.xml><?xml version="1.0" encoding="utf-8"?>
<worksheet xmlns="http://schemas.openxmlformats.org/spreadsheetml/2006/main">
  <sheetPr filterMode="0">
    <tabColor rgb="FFBF8F00"/>
    <outlinePr summaryBelow="1" summaryRight="1"/>
    <pageSetUpPr fitToPage="1"/>
  </sheetPr>
  <dimension ref="B2:Q5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election pane="topRight" activeCell="C1" activeCellId="0" sqref="C1"/>
      <selection pane="bottomLeft" activeCell="A7" activeCellId="0" sqref="A7"/>
      <selection pane="bottomRight" activeCell="A1" activeCellId="0" sqref="A1"/>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COE BP&amp;T - working copy</t>
        </is>
      </c>
    </row>
    <row r="3">
      <c r="B3" s="1525" t="inlineStr">
        <is>
          <t>Portfolio</t>
        </is>
      </c>
      <c r="C3" s="1526" t="inlineStr">
        <is>
          <t>COE BP&amp;T</t>
        </is>
      </c>
    </row>
    <row r="4" ht="19" customHeight="1" s="866">
      <c r="B4" s="1527" t="inlineStr">
        <is>
          <t>COE BP&amp;T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None</t>
        </is>
      </c>
      <c r="C8" s="1531" t="inlineStr">
        <is>
          <t>None - no squad here is priced by an archetype</t>
        </is>
      </c>
      <c r="D8" s="1539" t="str">
        <f>"-"</f>
        <v>-</v>
      </c>
      <c r="E8" s="1539" t="str">
        <f>"-"</f>
        <v>-</v>
      </c>
      <c r="F8" s="1539" t="str">
        <f>"-"</f>
        <v>-</v>
      </c>
      <c r="G8" s="1539" t="str">
        <f>"-"</f>
        <v>-</v>
      </c>
      <c r="H8" s="1539" t="str">
        <f>"-"</f>
        <v>-</v>
      </c>
      <c r="I8" s="1539" t="str">
        <f>"-"</f>
        <v>-</v>
      </c>
      <c r="J8" s="1539" t="str">
        <f>"-"</f>
        <v>-</v>
      </c>
      <c r="K8" s="1539" t="str">
        <f>"-"</f>
        <v>-</v>
      </c>
      <c r="L8" s="1539" t="str">
        <f>"-"</f>
        <v>-</v>
      </c>
      <c r="M8" s="1539" t="str">
        <f>"-"</f>
        <v>-</v>
      </c>
      <c r="N8" s="1539" t="str">
        <f>"-"</f>
        <v>-</v>
      </c>
      <c r="O8" s="1539" t="str">
        <f>"-"</f>
        <v>-</v>
      </c>
      <c r="P8" s="1539" t="str">
        <f>"-"</f>
        <v>-</v>
      </c>
      <c r="Q8" s="1539" t="str">
        <f>"-"</f>
        <v>-</v>
      </c>
    </row>
    <row r="9">
      <c r="B9" s="1535" t="inlineStr">
        <is>
          <t>Squads priced by an archetype total</t>
        </is>
      </c>
      <c r="C9" s="1535" t="n"/>
      <c r="D9" s="1535" t="n"/>
      <c r="E9" s="1784">
        <f>SUM(E8:E8)</f>
        <v>0</v>
      </c>
      <c r="F9" s="1772">
        <f>SUM(F8:F8)</f>
        <v>0</v>
      </c>
      <c r="G9" s="1772">
        <f>SUM(G8:G8)</f>
        <v>0</v>
      </c>
      <c r="H9" s="1772">
        <f>SUM(H8:H8)</f>
        <v>0</v>
      </c>
      <c r="I9" s="1772">
        <f>SUM(I8:I8)</f>
        <v>0</v>
      </c>
      <c r="J9" s="1772">
        <f>SUM(J8:J8)</f>
        <v>0</v>
      </c>
      <c r="K9" s="1772">
        <f>SUM(K8:K8)</f>
        <v>0</v>
      </c>
      <c r="L9" s="1772">
        <f>SUM(L8:L8)</f>
        <v>0</v>
      </c>
      <c r="M9" s="1771" t="str">
        <f>IF(COUNT(M8:M8)=1,SUM(M8:M8),"-")</f>
        <v>-</v>
      </c>
      <c r="N9" s="1771">
        <f>SUM(N8:N8)</f>
        <v>0</v>
      </c>
      <c r="O9" s="1771" t="str">
        <f>IF(ISNUMBER($M9),ROUND($N9-$M9,6),"-")</f>
        <v>-</v>
      </c>
      <c r="P9" s="1771">
        <f>SUM(P8:P8)</f>
        <v>0</v>
      </c>
      <c r="Q9" s="1771" t="str">
        <f>IF(ISNUMBER($M9),ROUND($P9-$M9,6),"-")</f>
        <v>-</v>
      </c>
    </row>
    <row r="10">
      <c r="B10" s="1530" t="inlineStr">
        <is>
          <t>Directly funded programmes and platforms</t>
        </is>
      </c>
      <c r="C10" s="1530" t="n"/>
      <c r="D10" s="1530" t="n"/>
      <c r="E10" s="1530" t="n"/>
      <c r="F10" s="1530" t="n"/>
      <c r="G10" s="1530" t="n"/>
      <c r="H10" s="1530" t="n"/>
      <c r="I10" s="1530" t="n"/>
      <c r="J10" s="1530" t="n"/>
      <c r="K10" s="1530" t="n"/>
      <c r="L10" s="1530" t="n"/>
      <c r="M10" s="1530" t="n"/>
      <c r="N10" s="1530" t="n"/>
      <c r="O10" s="1530" t="n"/>
      <c r="P10" s="1530" t="n"/>
      <c r="Q10" s="1530" t="n"/>
    </row>
    <row r="11">
      <c r="B11" s="1531" t="inlineStr">
        <is>
          <t>Commercial</t>
        </is>
      </c>
      <c r="C11" s="1531" t="str">
        <f>"-"</f>
        <v>-</v>
      </c>
      <c r="D11" s="1531" t="str">
        <f>"-"</f>
        <v>-</v>
      </c>
      <c r="E11" s="1540" t="str">
        <f>"-"</f>
        <v>-</v>
      </c>
      <c r="F11" s="1770">
        <f>COUNTA($B$29:$B$32)</f>
        <v>4</v>
      </c>
      <c r="G11" s="1770">
        <f>COUNTIFS($D$29:$D$32,"Filled")</f>
        <v>3</v>
      </c>
      <c r="H11" s="1770">
        <f>COUNTIFS($D$29:$D$32,"Vacant")</f>
        <v>1</v>
      </c>
      <c r="I11" s="1770">
        <f>COUNTIFS($D$29:$D$32,"Vacant",$E$29:$E$32,"Hire")</f>
        <v>1</v>
      </c>
      <c r="J11" s="1770">
        <f>COUNTIFS($E$29:$E$32,"Offshore")</f>
        <v>0</v>
      </c>
      <c r="K11" s="1770">
        <f>COUNTIFS($E$29:$E$32,"Hold")</f>
        <v>0</v>
      </c>
      <c r="L11" s="1770">
        <f>$F11-$K11</f>
        <v>4</v>
      </c>
      <c r="M11" s="1540" t="str">
        <f>"-"</f>
        <v>-</v>
      </c>
      <c r="N11" s="1769">
        <f>SUMIFS('REVIEW - Complete Role Mapping'!$AA$2:$AA$528,'REVIEW - Complete Role Mapping'!$AJ$2:$AJ$528,$C$3,'REVIEW - Complete Role Mapping'!$AT$2:$AT$528,$B11)/1000000</f>
        <v>0.979014192</v>
      </c>
      <c r="O11" s="1540" t="str">
        <f>"-"</f>
        <v>-</v>
      </c>
      <c r="P11" s="1769">
        <f>SUM($G$29:$G$32)/1000000</f>
        <v>0.979014192</v>
      </c>
      <c r="Q11" s="1540" t="str">
        <f>"-"</f>
        <v>-</v>
      </c>
    </row>
    <row r="12">
      <c r="B12" s="1531" t="inlineStr">
        <is>
          <t>TDD Business Partner</t>
        </is>
      </c>
      <c r="C12" s="1531" t="str">
        <f>"-"</f>
        <v>-</v>
      </c>
      <c r="D12" s="1531" t="str">
        <f>"-"</f>
        <v>-</v>
      </c>
      <c r="E12" s="1540" t="str">
        <f>"-"</f>
        <v>-</v>
      </c>
      <c r="F12" s="1770">
        <f>COUNTA($B$34:$B$39)</f>
        <v>6</v>
      </c>
      <c r="G12" s="1770">
        <f>COUNTIFS($D$34:$D$39,"Filled")</f>
        <v>6</v>
      </c>
      <c r="H12" s="1770">
        <f>COUNTIFS($D$34:$D$39,"Vacant")</f>
        <v>0</v>
      </c>
      <c r="I12" s="1770">
        <f>COUNTIFS($D$34:$D$39,"Vacant",$E$34:$E$39,"Hire")</f>
        <v>0</v>
      </c>
      <c r="J12" s="1770">
        <f>COUNTIFS($E$34:$E$39,"Offshore")</f>
        <v>0</v>
      </c>
      <c r="K12" s="1770">
        <f>COUNTIFS($E$34:$E$39,"Hold")</f>
        <v>0</v>
      </c>
      <c r="L12" s="1770">
        <f>$F12-$K12</f>
        <v>6</v>
      </c>
      <c r="M12" s="1540" t="str">
        <f>"-"</f>
        <v>-</v>
      </c>
      <c r="N12" s="1769">
        <f>SUMIFS('REVIEW - Complete Role Mapping'!$AA$2:$AA$528,'REVIEW - Complete Role Mapping'!$AJ$2:$AJ$528,$C$3,'REVIEW - Complete Role Mapping'!$AT$2:$AT$528,$B12)/1000000</f>
        <v>2.3135484</v>
      </c>
      <c r="O12" s="1540" t="str">
        <f>"-"</f>
        <v>-</v>
      </c>
      <c r="P12" s="1769">
        <f>SUM($G$34:$G$39)/1000000</f>
        <v>2.3135484</v>
      </c>
      <c r="Q12" s="1540" t="str">
        <f>"-"</f>
        <v>-</v>
      </c>
    </row>
    <row r="13">
      <c r="B13" s="1531" t="inlineStr">
        <is>
          <t>Transformation</t>
        </is>
      </c>
      <c r="C13" s="1531" t="str">
        <f>"-"</f>
        <v>-</v>
      </c>
      <c r="D13" s="1531" t="str">
        <f>"-"</f>
        <v>-</v>
      </c>
      <c r="E13" s="1540" t="str">
        <f>"-"</f>
        <v>-</v>
      </c>
      <c r="F13" s="1770">
        <f>COUNTA($B$41:$B$54)</f>
        <v>14</v>
      </c>
      <c r="G13" s="1770">
        <f>COUNTIFS($D$41:$D$54,"Filled")</f>
        <v>6</v>
      </c>
      <c r="H13" s="1770">
        <f>COUNTIFS($D$41:$D$54,"Vacant")</f>
        <v>8</v>
      </c>
      <c r="I13" s="1770">
        <f>COUNTIFS($D$41:$D$54,"Vacant",$E$41:$E$54,"Hire")</f>
        <v>8</v>
      </c>
      <c r="J13" s="1770">
        <f>COUNTIFS($E$41:$E$54,"Offshore")</f>
        <v>0</v>
      </c>
      <c r="K13" s="1770">
        <f>COUNTIFS($E$41:$E$54,"Hold")</f>
        <v>0</v>
      </c>
      <c r="L13" s="1770">
        <f>$F13-$K13</f>
        <v>14</v>
      </c>
      <c r="M13" s="1540" t="str">
        <f>"-"</f>
        <v>-</v>
      </c>
      <c r="N13" s="1769">
        <f>SUMIFS('REVIEW - Complete Role Mapping'!$AA$2:$AA$528,'REVIEW - Complete Role Mapping'!$AJ$2:$AJ$528,$C$3,'REVIEW - Complete Role Mapping'!$AT$2:$AT$528,$B13)/1000000</f>
        <v>3.10799923</v>
      </c>
      <c r="O13" s="1540" t="str">
        <f>"-"</f>
        <v>-</v>
      </c>
      <c r="P13" s="1769">
        <f>SUM($G$41:$G$54)/1000000</f>
        <v>3.10799923</v>
      </c>
      <c r="Q13" s="1540" t="str">
        <f>"-"</f>
        <v>-</v>
      </c>
    </row>
    <row r="14">
      <c r="B14" s="1535" t="inlineStr">
        <is>
          <t>Directly funded programmes and platforms total</t>
        </is>
      </c>
      <c r="C14" s="1535" t="n"/>
      <c r="D14" s="1535" t="n"/>
      <c r="E14" s="1784">
        <f>SUM(E11:E13)</f>
        <v>0</v>
      </c>
      <c r="F14" s="1772">
        <f>SUM(F11:F13)</f>
        <v>24</v>
      </c>
      <c r="G14" s="1772">
        <f>SUM(G11:G13)</f>
        <v>15</v>
      </c>
      <c r="H14" s="1772">
        <f>SUM(H11:H13)</f>
        <v>9</v>
      </c>
      <c r="I14" s="1772">
        <f>SUM(I11:I13)</f>
        <v>9</v>
      </c>
      <c r="J14" s="1772">
        <f>SUM(J11:J13)</f>
        <v>0</v>
      </c>
      <c r="K14" s="1772">
        <f>SUM(K11:K13)</f>
        <v>0</v>
      </c>
      <c r="L14" s="1772">
        <f>SUM(L11:L13)</f>
        <v>24</v>
      </c>
      <c r="M14" s="1771" t="str">
        <f>IF(COUNT(M11:M13)=3,SUM(M11:M13),"-")</f>
        <v>-</v>
      </c>
      <c r="N14" s="1771">
        <f>SUM(N11:N13)</f>
        <v>6.400561822</v>
      </c>
      <c r="O14" s="1771" t="str">
        <f>IF(ISNUMBER($M14),ROUND($N14-$M14,6),"-")</f>
        <v>-</v>
      </c>
      <c r="P14" s="1771">
        <f>SUM(P11:P13)</f>
        <v>6.400561822</v>
      </c>
      <c r="Q14" s="1771" t="str">
        <f>IF(ISNUMBER($M14),ROUND($P14-$M14,6),"-")</f>
        <v>-</v>
      </c>
    </row>
    <row r="15">
      <c r="B15" s="1530" t="inlineStr">
        <is>
          <t>Groups with no archetype and no funded figure</t>
        </is>
      </c>
      <c r="C15" s="1530" t="n"/>
      <c r="D15" s="1530" t="n"/>
      <c r="E15" s="1530" t="n"/>
      <c r="F15" s="1530" t="n"/>
      <c r="G15" s="1530" t="n"/>
      <c r="H15" s="1530" t="n"/>
      <c r="I15" s="1530" t="n"/>
      <c r="J15" s="1530" t="n"/>
      <c r="K15" s="1530" t="n"/>
      <c r="L15" s="1530" t="n"/>
      <c r="M15" s="1530" t="n"/>
      <c r="N15" s="1530" t="n"/>
      <c r="O15" s="1530" t="n"/>
      <c r="P15" s="1530" t="n"/>
      <c r="Q15" s="1530" t="n"/>
    </row>
    <row r="16">
      <c r="B16" s="1531" t="inlineStr">
        <is>
          <t>None</t>
        </is>
      </c>
      <c r="C16" s="1531" t="inlineStr">
        <is>
          <t>None - every group here has a figure to compare</t>
        </is>
      </c>
      <c r="D16" s="1539" t="str">
        <f>"-"</f>
        <v>-</v>
      </c>
      <c r="E16" s="1539" t="str">
        <f>"-"</f>
        <v>-</v>
      </c>
      <c r="F16" s="1539" t="str">
        <f>"-"</f>
        <v>-</v>
      </c>
      <c r="G16" s="1539" t="str">
        <f>"-"</f>
        <v>-</v>
      </c>
      <c r="H16" s="1539" t="str">
        <f>"-"</f>
        <v>-</v>
      </c>
      <c r="I16" s="1539" t="str">
        <f>"-"</f>
        <v>-</v>
      </c>
      <c r="J16" s="1539" t="str">
        <f>"-"</f>
        <v>-</v>
      </c>
      <c r="K16" s="1539" t="str">
        <f>"-"</f>
        <v>-</v>
      </c>
      <c r="L16" s="1539" t="str">
        <f>"-"</f>
        <v>-</v>
      </c>
      <c r="M16" s="1539" t="str">
        <f>"-"</f>
        <v>-</v>
      </c>
      <c r="N16" s="1539" t="str">
        <f>"-"</f>
        <v>-</v>
      </c>
      <c r="O16" s="1539" t="str">
        <f>"-"</f>
        <v>-</v>
      </c>
      <c r="P16" s="1539" t="str">
        <f>"-"</f>
        <v>-</v>
      </c>
      <c r="Q16" s="1539" t="str">
        <f>"-"</f>
        <v>-</v>
      </c>
    </row>
    <row r="17">
      <c r="B17" s="1535" t="inlineStr">
        <is>
          <t>Groups with no archetype and no funded figure total</t>
        </is>
      </c>
      <c r="C17" s="1535" t="n"/>
      <c r="D17" s="1535" t="n"/>
      <c r="E17" s="1784">
        <f>SUM(E16:E16)</f>
        <v>0</v>
      </c>
      <c r="F17" s="1772">
        <f>SUM(F16:F16)</f>
        <v>0</v>
      </c>
      <c r="G17" s="1772">
        <f>SUM(G16:G16)</f>
        <v>0</v>
      </c>
      <c r="H17" s="1772">
        <f>SUM(H16:H16)</f>
        <v>0</v>
      </c>
      <c r="I17" s="1772">
        <f>SUM(I16:I16)</f>
        <v>0</v>
      </c>
      <c r="J17" s="1772">
        <f>SUM(J16:J16)</f>
        <v>0</v>
      </c>
      <c r="K17" s="1772">
        <f>SUM(K16:K16)</f>
        <v>0</v>
      </c>
      <c r="L17" s="1772">
        <f>SUM(L16:L16)</f>
        <v>0</v>
      </c>
      <c r="M17" s="1771" t="str">
        <f>IF(COUNT(M16:M16)=1,SUM(M16:M16),"-")</f>
        <v>-</v>
      </c>
      <c r="N17" s="1771">
        <f>SUM(N16:N16)</f>
        <v>0</v>
      </c>
      <c r="O17" s="1771" t="str">
        <f>IF(ISNUMBER($M17),ROUND($N17-$M17,6),"-")</f>
        <v>-</v>
      </c>
      <c r="P17" s="1771">
        <f>SUM(P16:P16)</f>
        <v>0</v>
      </c>
      <c r="Q17" s="1771" t="str">
        <f>IF(ISNUMBER($M17),ROUND($P17-$M17,6),"-")</f>
        <v>-</v>
      </c>
    </row>
    <row r="18">
      <c r="B18" s="1530" t="inlineStr">
        <is>
          <t>Overhead roles</t>
        </is>
      </c>
      <c r="C18" s="1530" t="n"/>
      <c r="D18" s="1530" t="n"/>
      <c r="E18" s="1530" t="n"/>
      <c r="F18" s="1530" t="n"/>
      <c r="G18" s="1530" t="n"/>
      <c r="H18" s="1530" t="n"/>
      <c r="I18" s="1530" t="n"/>
      <c r="J18" s="1530" t="n"/>
      <c r="K18" s="1530" t="n"/>
      <c r="L18" s="1530" t="n"/>
      <c r="M18" s="1530" t="n"/>
      <c r="N18" s="1530" t="n"/>
      <c r="O18" s="1530" t="n"/>
      <c r="P18" s="1530" t="n"/>
      <c r="Q18" s="1530" t="n"/>
    </row>
    <row r="19">
      <c r="B19" s="1531" t="inlineStr">
        <is>
          <t>None</t>
        </is>
      </c>
      <c r="C19" s="1531" t="inlineStr">
        <is>
          <t>None - the COEs carry no overhead</t>
        </is>
      </c>
      <c r="D19" s="1539" t="str">
        <f>"-"</f>
        <v>-</v>
      </c>
      <c r="E19" s="1539" t="str">
        <f>"-"</f>
        <v>-</v>
      </c>
      <c r="F19" s="1539" t="str">
        <f>"-"</f>
        <v>-</v>
      </c>
      <c r="G19" s="1539" t="str">
        <f>"-"</f>
        <v>-</v>
      </c>
      <c r="H19" s="1539" t="str">
        <f>"-"</f>
        <v>-</v>
      </c>
      <c r="I19" s="1539" t="str">
        <f>"-"</f>
        <v>-</v>
      </c>
      <c r="J19" s="1539" t="str">
        <f>"-"</f>
        <v>-</v>
      </c>
      <c r="K19" s="1539" t="str">
        <f>"-"</f>
        <v>-</v>
      </c>
      <c r="L19" s="1539" t="str">
        <f>"-"</f>
        <v>-</v>
      </c>
      <c r="M19" s="1539" t="str">
        <f>"-"</f>
        <v>-</v>
      </c>
      <c r="N19" s="1539" t="str">
        <f>"-"</f>
        <v>-</v>
      </c>
      <c r="O19" s="1539" t="str">
        <f>"-"</f>
        <v>-</v>
      </c>
      <c r="P19" s="1539" t="str">
        <f>"-"</f>
        <v>-</v>
      </c>
      <c r="Q19" s="1539" t="str">
        <f>"-"</f>
        <v>-</v>
      </c>
    </row>
    <row r="20">
      <c r="B20" s="1535" t="inlineStr">
        <is>
          <t>Overhead roles total</t>
        </is>
      </c>
      <c r="C20" s="1535" t="n"/>
      <c r="D20" s="1535" t="n"/>
      <c r="E20" s="1784">
        <f>SUM(E19:E19)</f>
        <v>0</v>
      </c>
      <c r="F20" s="1772">
        <f>SUM(F19:F19)</f>
        <v>0</v>
      </c>
      <c r="G20" s="1772">
        <f>SUM(G19:G19)</f>
        <v>0</v>
      </c>
      <c r="H20" s="1772">
        <f>SUM(H19:H19)</f>
        <v>0</v>
      </c>
      <c r="I20" s="1772">
        <f>SUM(I19:I19)</f>
        <v>0</v>
      </c>
      <c r="J20" s="1772">
        <f>SUM(J19:J19)</f>
        <v>0</v>
      </c>
      <c r="K20" s="1772">
        <f>SUM(K19:K19)</f>
        <v>0</v>
      </c>
      <c r="L20" s="1772">
        <f>SUM(L19:L19)</f>
        <v>0</v>
      </c>
      <c r="M20" s="1771" t="str">
        <f>IF(COUNT(M19:M19)=1,SUM(M19:M19),"-")</f>
        <v>-</v>
      </c>
      <c r="N20" s="1771">
        <f>SUM(N19:N19)</f>
        <v>0</v>
      </c>
      <c r="O20" s="1771" t="str">
        <f>IF(ISNUMBER($M20),ROUND($N20-$M20,6),"-")</f>
        <v>-</v>
      </c>
      <c r="P20" s="1771">
        <f>SUM(P19:P19)</f>
        <v>0</v>
      </c>
      <c r="Q20" s="1771" t="str">
        <f>IF(ISNUMBER($M20),ROUND($P20-$M20,6),"-")</f>
        <v>-</v>
      </c>
    </row>
    <row r="21">
      <c r="B21" s="1541" t="inlineStr">
        <is>
          <t>Total portfolio</t>
        </is>
      </c>
      <c r="C21" s="1541" t="n"/>
      <c r="D21" s="1541" t="n"/>
      <c r="E21" s="1785">
        <f>N(E9)+N(E14)+N(E17)+N(E20)</f>
        <v>0</v>
      </c>
      <c r="F21" s="1774">
        <f>N(F9)+N(F14)+N(F17)+N(F20)</f>
        <v>24</v>
      </c>
      <c r="G21" s="1774">
        <f>N(G9)+N(G14)+N(G17)+N(G20)</f>
        <v>15</v>
      </c>
      <c r="H21" s="1774">
        <f>N(H9)+N(H14)+N(H17)+N(H20)</f>
        <v>9</v>
      </c>
      <c r="I21" s="1774">
        <f>N(I9)+N(I14)+N(I17)+N(I20)</f>
        <v>9</v>
      </c>
      <c r="J21" s="1774">
        <f>N(J9)+N(J14)+N(J17)+N(J20)</f>
        <v>0</v>
      </c>
      <c r="K21" s="1774">
        <f>N(K9)+N(K14)+N(K17)+N(K20)</f>
        <v>0</v>
      </c>
      <c r="L21" s="1774">
        <f>N(L9)+N(L14)+N(L17)+N(L20)</f>
        <v>24</v>
      </c>
      <c r="M21" s="1773" t="str">
        <f>"-"</f>
        <v>-</v>
      </c>
      <c r="N21" s="1773">
        <f>N(N9)+N(N14)+N(N17)+N(N20)</f>
        <v>6.400561822</v>
      </c>
      <c r="O21" s="1773" t="str">
        <f>"-"</f>
        <v>-</v>
      </c>
      <c r="P21" s="1773">
        <f>N(P9)+N(P14)+N(P17)+N(P20)</f>
        <v>6.400561822</v>
      </c>
      <c r="Q21" s="1773" t="str">
        <f>"-"</f>
        <v>-</v>
      </c>
    </row>
    <row r="23">
      <c r="B23" s="1526" t="inlineStr">
        <is>
          <t>Control - roles against the ledger, must be 0</t>
        </is>
      </c>
      <c r="F23" s="1778">
        <f>$F$21-COUNTIFS('REVIEW - Complete Role Mapping'!$AJ$2:$AJ$528,$C$3)</f>
        <v>0</v>
      </c>
    </row>
    <row r="24">
      <c r="B24" s="1526" t="inlineStr">
        <is>
          <t>Control - cost against the ledger ($m), must be 0</t>
        </is>
      </c>
      <c r="N24" s="1779">
        <f>ROUND($N$21-SUMIFS('REVIEW - Complete Role Mapping'!$AA$2:$AA$528,'REVIEW - Complete Role Mapping'!$AJ$2:$AJ$528,$C$3)/1000000,6)</f>
        <v>0</v>
      </c>
    </row>
    <row r="26" ht="19" customHeight="1" s="866">
      <c r="B26" s="1527" t="inlineStr">
        <is>
          <t>COE BP&amp;T FTE</t>
        </is>
      </c>
      <c r="C26" s="1528" t="n"/>
      <c r="D26" s="1528" t="n"/>
      <c r="E26" s="1528" t="n"/>
      <c r="F26" s="1528" t="n"/>
      <c r="G26" s="1528" t="n"/>
    </row>
    <row r="27" ht="34" customHeight="1" s="866">
      <c r="B27" s="1529" t="inlineStr">
        <is>
          <t>Name</t>
        </is>
      </c>
      <c r="C27" s="1529" t="inlineStr">
        <is>
          <t>Role</t>
        </is>
      </c>
      <c r="D27" s="1529" t="inlineStr">
        <is>
          <t>Status</t>
        </is>
      </c>
      <c r="E27" s="1529" t="inlineStr">
        <is>
          <t>Vacancy lever</t>
        </is>
      </c>
      <c r="F27" s="1529" t="inlineStr">
        <is>
          <t>Role cost ($)</t>
        </is>
      </c>
      <c r="G27" s="1529" t="inlineStr">
        <is>
          <t>Cost after decision ($)</t>
        </is>
      </c>
    </row>
    <row r="28">
      <c r="B28" s="1530" t="inlineStr">
        <is>
          <t>Commercial</t>
        </is>
      </c>
      <c r="C28" s="1530" t="str">
        <f>COUNTA($B$29:$B$32)&amp;IF(COUNTA($B$29:$B$32)=1," role"," roles")</f>
        <v>4 roles</v>
      </c>
      <c r="D28" s="1530" t="n"/>
      <c r="E28" s="1530" t="n"/>
      <c r="F28" s="1786">
        <f>SUM(F29:F32)</f>
        <v>979014.192</v>
      </c>
      <c r="G28" s="1786">
        <f>SUM(G29:G32)</f>
        <v>979014.192</v>
      </c>
    </row>
    <row r="29">
      <c r="B29" s="1531" t="str">
        <f>INDEX('REVIEW - Complete Role Mapping'!$B:$B,255)</f>
        <v>Briony Scott</v>
      </c>
      <c r="C29" s="1531" t="str">
        <f>INDEX('REVIEW - Complete Role Mapping'!$C:$C,255)</f>
        <v>Service &amp; Contract Specialist AU</v>
      </c>
      <c r="D29" s="1531" t="str">
        <f>INDEX('REVIEW - Complete Role Mapping'!$AK:$AK,255)</f>
        <v>Filled</v>
      </c>
      <c r="E29" s="1548" t="inlineStr">
        <is>
          <t>Filled</t>
        </is>
      </c>
      <c r="F29" s="1770">
        <f>INDEX('REVIEW - Complete Role Mapping'!$AA:$AA,255)</f>
        <v>205056</v>
      </c>
      <c r="G29" s="1770">
        <f>$F29*IFERROR(INDEX(Lists!$AD:$AD,MATCH($E29,Lists!$AC:$AC,0)),1)</f>
        <v>205056</v>
      </c>
    </row>
    <row r="30">
      <c r="B30" s="1531" t="str">
        <f>INDEX('REVIEW - Complete Role Mapping'!$B:$B,257)</f>
        <v>Helen Ngu</v>
      </c>
      <c r="C30" s="1531" t="str">
        <f>INDEX('REVIEW - Complete Role Mapping'!$C:$C,257)</f>
        <v>Service &amp; Contract Specialist NZ</v>
      </c>
      <c r="D30" s="1531" t="str">
        <f>INDEX('REVIEW - Complete Role Mapping'!$AK:$AK,257)</f>
        <v>Filled</v>
      </c>
      <c r="E30" s="1548" t="inlineStr">
        <is>
          <t>Filled</t>
        </is>
      </c>
      <c r="F30" s="1770">
        <f>INDEX('REVIEW - Complete Role Mapping'!$AA:$AA,257)</f>
        <v>151002.492</v>
      </c>
      <c r="G30" s="1770">
        <f>$F30*IFERROR(INDEX(Lists!$AD:$AD,MATCH($E30,Lists!$AC:$AC,0)),1)</f>
        <v>151002.492</v>
      </c>
    </row>
    <row r="31">
      <c r="B31" s="1531" t="str">
        <f>INDEX('REVIEW - Complete Role Mapping'!$B:$B,258)</f>
        <v>Jane Esclandra</v>
      </c>
      <c r="C31" s="1531" t="str">
        <f>INDEX('REVIEW - Complete Role Mapping'!$C:$C,258)</f>
        <v>Software Asset Specialist</v>
      </c>
      <c r="D31" s="1531" t="str">
        <f>INDEX('REVIEW - Complete Role Mapping'!$AK:$AK,258)</f>
        <v>Filled</v>
      </c>
      <c r="E31" s="1548" t="inlineStr">
        <is>
          <t>Filled</t>
        </is>
      </c>
      <c r="F31" s="1770">
        <f>INDEX('REVIEW - Complete Role Mapping'!$AA:$AA,258)</f>
        <v>183455.7</v>
      </c>
      <c r="G31" s="1770">
        <f>$F31*IFERROR(INDEX(Lists!$AD:$AD,MATCH($E31,Lists!$AC:$AC,0)),1)</f>
        <v>183455.7</v>
      </c>
    </row>
    <row r="32">
      <c r="B32" s="1531" t="str">
        <f>INDEX('REVIEW - Complete Role Mapping'!$B:$B,269)</f>
        <v>Vacant</v>
      </c>
      <c r="C32" s="1531" t="str">
        <f>INDEX('REVIEW - Complete Role Mapping'!$C:$C,269)</f>
        <v>Commercial Director</v>
      </c>
      <c r="D32" s="1531" t="str">
        <f>INDEX('REVIEW - Complete Role Mapping'!$AK:$AK,269)</f>
        <v>Vacant</v>
      </c>
      <c r="E32" s="1548" t="inlineStr">
        <is>
          <t>Hire</t>
        </is>
      </c>
      <c r="F32" s="1770">
        <f>INDEX('REVIEW - Complete Role Mapping'!$AA:$AA,269)</f>
        <v>439500</v>
      </c>
      <c r="G32" s="1770">
        <f>$F32*IFERROR(INDEX(Lists!$AD:$AD,MATCH($E32,Lists!$AC:$AC,0)),1)</f>
        <v>439500</v>
      </c>
    </row>
    <row r="33">
      <c r="B33" s="1530" t="inlineStr">
        <is>
          <t>TDD Business Partner</t>
        </is>
      </c>
      <c r="C33" s="1530" t="str">
        <f>COUNTA($B$34:$B$39)&amp;IF(COUNTA($B$34:$B$39)=1," role"," roles")</f>
        <v>6 roles</v>
      </c>
      <c r="D33" s="1530" t="n"/>
      <c r="E33" s="1530" t="n"/>
      <c r="F33" s="1786">
        <f>SUM(F34:F39)</f>
        <v>2313548.4</v>
      </c>
      <c r="G33" s="1786">
        <f>SUM(G34:G39)</f>
        <v>2313548.4</v>
      </c>
    </row>
    <row r="34">
      <c r="B34" s="1531" t="str">
        <f>INDEX('REVIEW - Complete Role Mapping'!$B:$B,256)</f>
        <v>Conli Mills</v>
      </c>
      <c r="C34" s="1531" t="str">
        <f>INDEX('REVIEW - Complete Role Mapping'!$C:$C,256)</f>
        <v>TDD BP - Infrastructure</v>
      </c>
      <c r="D34" s="1531" t="str">
        <f>INDEX('REVIEW - Complete Role Mapping'!$AK:$AK,256)</f>
        <v>Filled</v>
      </c>
      <c r="E34" s="1548" t="inlineStr">
        <is>
          <t>Filled</t>
        </is>
      </c>
      <c r="F34" s="1770">
        <f>INDEX('REVIEW - Complete Role Mapping'!$AA:$AA,256)</f>
        <v>297150</v>
      </c>
      <c r="G34" s="1770">
        <f>$F34*IFERROR(INDEX(Lists!$AD:$AD,MATCH($E34,Lists!$AC:$AC,0)),1)</f>
        <v>297150</v>
      </c>
    </row>
    <row r="35">
      <c r="B35" s="1531" t="str">
        <f>INDEX('REVIEW - Complete Role Mapping'!$B:$B,261)</f>
        <v>Malcolm Deare</v>
      </c>
      <c r="C35" s="1531" t="str">
        <f>INDEX('REVIEW - Complete Role Mapping'!$C:$C,261)</f>
        <v>TDD BP, Group Functions</v>
      </c>
      <c r="D35" s="1531" t="str">
        <f>INDEX('REVIEW - Complete Role Mapping'!$AK:$AK,261)</f>
        <v>Filled</v>
      </c>
      <c r="E35" s="1548" t="inlineStr">
        <is>
          <t>Filled</t>
        </is>
      </c>
      <c r="F35" s="1770">
        <f>INDEX('REVIEW - Complete Role Mapping'!$AA:$AA,261)</f>
        <v>298100</v>
      </c>
      <c r="G35" s="1770">
        <f>$F35*IFERROR(INDEX(Lists!$AD:$AD,MATCH($E35,Lists!$AC:$AC,0)),1)</f>
        <v>298100</v>
      </c>
    </row>
    <row r="36">
      <c r="B36" s="1531" t="str">
        <f>INDEX('REVIEW - Complete Role Mapping'!$B:$B,264)</f>
        <v>Neil Reilly</v>
      </c>
      <c r="C36" s="1531" t="str">
        <f>INDEX('REVIEW - Complete Role Mapping'!$C:$C,264)</f>
        <v>TDD BP - T&amp;S</v>
      </c>
      <c r="D36" s="1531" t="str">
        <f>INDEX('REVIEW - Complete Role Mapping'!$AK:$AK,264)</f>
        <v>Filled</v>
      </c>
      <c r="E36" s="1548" t="inlineStr">
        <is>
          <t>Filled</t>
        </is>
      </c>
      <c r="F36" s="1770">
        <f>INDEX('REVIEW - Complete Role Mapping'!$AA:$AA,264)</f>
        <v>666087.5</v>
      </c>
      <c r="G36" s="1770">
        <f>$F36*IFERROR(INDEX(Lists!$AD:$AD,MATCH($E36,Lists!$AC:$AC,0)),1)</f>
        <v>666087.5</v>
      </c>
    </row>
    <row r="37">
      <c r="B37" s="1531" t="str">
        <f>INDEX('REVIEW - Complete Role Mapping'!$B:$B,267)</f>
        <v>Shelley Crawford</v>
      </c>
      <c r="C37" s="1531" t="str">
        <f>INDEX('REVIEW - Complete Role Mapping'!$C:$C,267)</f>
        <v>TDD BP - Z</v>
      </c>
      <c r="D37" s="1531" t="str">
        <f>INDEX('REVIEW - Complete Role Mapping'!$AK:$AK,267)</f>
        <v>Filled</v>
      </c>
      <c r="E37" s="1548" t="inlineStr">
        <is>
          <t>Filled</t>
        </is>
      </c>
      <c r="F37" s="1770">
        <f>INDEX('REVIEW - Complete Role Mapping'!$AA:$AA,267)</f>
        <v>291422</v>
      </c>
      <c r="G37" s="1770">
        <f>$F37*IFERROR(INDEX(Lists!$AD:$AD,MATCH($E37,Lists!$AC:$AC,0)),1)</f>
        <v>291422</v>
      </c>
    </row>
    <row r="38">
      <c r="B38" s="1531" t="str">
        <f>INDEX('REVIEW - Complete Role Mapping'!$B:$B,268)</f>
        <v>Thomas Reid</v>
      </c>
      <c r="C38" s="1531" t="str">
        <f>INDEX('REVIEW - Complete Role Mapping'!$C:$C,268)</f>
        <v>TDD BP - Retail &amp; Customer - Store Digital</v>
      </c>
      <c r="D38" s="1531" t="str">
        <f>INDEX('REVIEW - Complete Role Mapping'!$AK:$AK,268)</f>
        <v>Filled</v>
      </c>
      <c r="E38" s="1548" t="inlineStr">
        <is>
          <t>Filled</t>
        </is>
      </c>
      <c r="F38" s="1770">
        <f>INDEX('REVIEW - Complete Role Mapping'!$AA:$AA,268)</f>
        <v>417425</v>
      </c>
      <c r="G38" s="1770">
        <f>$F38*IFERROR(INDEX(Lists!$AD:$AD,MATCH($E38,Lists!$AC:$AC,0)),1)</f>
        <v>417425</v>
      </c>
    </row>
    <row r="39">
      <c r="B39" s="1531" t="str">
        <f>INDEX('REVIEW - Complete Role Mapping'!$B:$B,278)</f>
        <v>Vaughn Scott</v>
      </c>
      <c r="C39" s="1531" t="str">
        <f>INDEX('REVIEW - Complete Role Mapping'!$C:$C,278)</f>
        <v>TDD BP - ES</v>
      </c>
      <c r="D39" s="1531" t="str">
        <f>INDEX('REVIEW - Complete Role Mapping'!$AK:$AK,278)</f>
        <v>Filled</v>
      </c>
      <c r="E39" s="1548" t="inlineStr">
        <is>
          <t>Filled</t>
        </is>
      </c>
      <c r="F39" s="1770">
        <f>INDEX('REVIEW - Complete Role Mapping'!$AA:$AA,278)</f>
        <v>343363.9</v>
      </c>
      <c r="G39" s="1770">
        <f>$F39*IFERROR(INDEX(Lists!$AD:$AD,MATCH($E39,Lists!$AC:$AC,0)),1)</f>
        <v>343363.9</v>
      </c>
    </row>
    <row r="40">
      <c r="B40" s="1530" t="inlineStr">
        <is>
          <t>Transformation</t>
        </is>
      </c>
      <c r="C40" s="1530" t="str">
        <f>COUNTA($B$41:$B$54)&amp;IF(COUNTA($B$41:$B$54)=1," role"," roles")</f>
        <v>14 roles</v>
      </c>
      <c r="D40" s="1530" t="n"/>
      <c r="E40" s="1530" t="n"/>
      <c r="F40" s="1786">
        <f>SUM(F41:F54)</f>
        <v>3107999.23</v>
      </c>
      <c r="G40" s="1786">
        <f>SUM(G41:G54)</f>
        <v>3107999.23</v>
      </c>
    </row>
    <row r="41">
      <c r="B41" s="1531" t="str">
        <f>INDEX('REVIEW - Complete Role Mapping'!$B:$B,259)</f>
        <v>Jeannie Chu</v>
      </c>
      <c r="C41" s="1531" t="str">
        <f>INDEX('REVIEW - Complete Role Mapping'!$C:$C,259)</f>
        <v>Snr Finance Support Administrator</v>
      </c>
      <c r="D41" s="1531" t="str">
        <f>INDEX('REVIEW - Complete Role Mapping'!$AK:$AK,259)</f>
        <v>Filled</v>
      </c>
      <c r="E41" s="1548" t="inlineStr">
        <is>
          <t>Filled</t>
        </is>
      </c>
      <c r="F41" s="1770">
        <f>INDEX('REVIEW - Complete Role Mapping'!$AA:$AA,259)</f>
        <v>147687.65</v>
      </c>
      <c r="G41" s="1770">
        <f>$F41*IFERROR(INDEX(Lists!$AD:$AD,MATCH($E41,Lists!$AC:$AC,0)),1)</f>
        <v>147687.65</v>
      </c>
    </row>
    <row r="42">
      <c r="B42" s="1531" t="str">
        <f>INDEX('REVIEW - Complete Role Mapping'!$B:$B,260)</f>
        <v>Jenny Chan</v>
      </c>
      <c r="C42" s="1531" t="str">
        <f>INDEX('REVIEW - Complete Role Mapping'!$C:$C,260)</f>
        <v>Project Finance Lead</v>
      </c>
      <c r="D42" s="1531" t="str">
        <f>INDEX('REVIEW - Complete Role Mapping'!$AK:$AK,260)</f>
        <v>Filled</v>
      </c>
      <c r="E42" s="1548" t="inlineStr">
        <is>
          <t>Filled</t>
        </is>
      </c>
      <c r="F42" s="1770">
        <f>INDEX('REVIEW - Complete Role Mapping'!$AA:$AA,260)</f>
        <v>206124</v>
      </c>
      <c r="G42" s="1770">
        <f>$F42*IFERROR(INDEX(Lists!$AD:$AD,MATCH($E42,Lists!$AC:$AC,0)),1)</f>
        <v>206124</v>
      </c>
    </row>
    <row r="43">
      <c r="B43" s="1531" t="str">
        <f>INDEX('REVIEW - Complete Role Mapping'!$B:$B,262)</f>
        <v>Maria Somera</v>
      </c>
      <c r="C43" s="1531" t="str">
        <f>INDEX('REVIEW - Complete Role Mapping'!$C:$C,262)</f>
        <v>Technology Finance Analyst</v>
      </c>
      <c r="D43" s="1531" t="str">
        <f>INDEX('REVIEW - Complete Role Mapping'!$AK:$AK,262)</f>
        <v>Filled</v>
      </c>
      <c r="E43" s="1548" t="inlineStr">
        <is>
          <t>Filled</t>
        </is>
      </c>
      <c r="F43" s="1770">
        <f>INDEX('REVIEW - Complete Role Mapping'!$AA:$AA,262)</f>
        <v>179313.4</v>
      </c>
      <c r="G43" s="1770">
        <f>$F43*IFERROR(INDEX(Lists!$AD:$AD,MATCH($E43,Lists!$AC:$AC,0)),1)</f>
        <v>179313.4</v>
      </c>
    </row>
    <row r="44">
      <c r="B44" s="1531" t="str">
        <f>INDEX('REVIEW - Complete Role Mapping'!$B:$B,263)</f>
        <v>Matt Saunders</v>
      </c>
      <c r="C44" s="1531" t="str">
        <f>INDEX('REVIEW - Complete Role Mapping'!$C:$C,263)</f>
        <v>Scrum Master</v>
      </c>
      <c r="D44" s="1531" t="str">
        <f>INDEX('REVIEW - Complete Role Mapping'!$AK:$AK,263)</f>
        <v>Filled</v>
      </c>
      <c r="E44" s="1548" t="inlineStr">
        <is>
          <t>Filled</t>
        </is>
      </c>
      <c r="F44" s="1770">
        <f>INDEX('REVIEW - Complete Role Mapping'!$AA:$AA,263)</f>
        <v>147754.8</v>
      </c>
      <c r="G44" s="1770">
        <f>$F44*IFERROR(INDEX(Lists!$AD:$AD,MATCH($E44,Lists!$AC:$AC,0)),1)</f>
        <v>147754.8</v>
      </c>
    </row>
    <row r="45">
      <c r="B45" s="1531" t="str">
        <f>INDEX('REVIEW - Complete Role Mapping'!$B:$B,265)</f>
        <v>Ruth Chou</v>
      </c>
      <c r="C45" s="1531" t="str">
        <f>INDEX('REVIEW - Complete Role Mapping'!$C:$C,265)</f>
        <v>Portfolio Reporting Manager</v>
      </c>
      <c r="D45" s="1531" t="str">
        <f>INDEX('REVIEW - Complete Role Mapping'!$AK:$AK,265)</f>
        <v>Filled</v>
      </c>
      <c r="E45" s="1548" t="inlineStr">
        <is>
          <t>Filled</t>
        </is>
      </c>
      <c r="F45" s="1770">
        <f>INDEX('REVIEW - Complete Role Mapping'!$AA:$AA,265)</f>
        <v>293316.85</v>
      </c>
      <c r="G45" s="1770">
        <f>$F45*IFERROR(INDEX(Lists!$AD:$AD,MATCH($E45,Lists!$AC:$AC,0)),1)</f>
        <v>293316.85</v>
      </c>
    </row>
    <row r="46">
      <c r="B46" s="1531" t="str">
        <f>INDEX('REVIEW - Complete Role Mapping'!$B:$B,266)</f>
        <v>Sam Chan</v>
      </c>
      <c r="C46" s="1531" t="str">
        <f>INDEX('REVIEW - Complete Role Mapping'!$C:$C,266)</f>
        <v>FinOps Manager</v>
      </c>
      <c r="D46" s="1531" t="str">
        <f>INDEX('REVIEW - Complete Role Mapping'!$AK:$AK,266)</f>
        <v>Filled</v>
      </c>
      <c r="E46" s="1548" t="inlineStr">
        <is>
          <t>Filled</t>
        </is>
      </c>
      <c r="F46" s="1770">
        <f>INDEX('REVIEW - Complete Role Mapping'!$AA:$AA,266)</f>
        <v>225788.55</v>
      </c>
      <c r="G46" s="1770">
        <f>$F46*IFERROR(INDEX(Lists!$AD:$AD,MATCH($E46,Lists!$AC:$AC,0)),1)</f>
        <v>225788.55</v>
      </c>
    </row>
    <row r="47">
      <c r="B47" s="1531" t="str">
        <f>INDEX('REVIEW - Complete Role Mapping'!$B:$B,270)</f>
        <v>Vacant</v>
      </c>
      <c r="C47" s="1531" t="str">
        <f>INDEX('REVIEW - Complete Role Mapping'!$C:$C,270)</f>
        <v>Head of Transformation</v>
      </c>
      <c r="D47" s="1531" t="str">
        <f>INDEX('REVIEW - Complete Role Mapping'!$AK:$AK,270)</f>
        <v>Vacant</v>
      </c>
      <c r="E47" s="1548" t="inlineStr">
        <is>
          <t>Hire</t>
        </is>
      </c>
      <c r="F47" s="1770">
        <f>INDEX('REVIEW - Complete Role Mapping'!$AA:$AA,270)</f>
        <v>367900</v>
      </c>
      <c r="G47" s="1770">
        <f>$F47*IFERROR(INDEX(Lists!$AD:$AD,MATCH($E47,Lists!$AC:$AC,0)),1)</f>
        <v>367900</v>
      </c>
    </row>
    <row r="48">
      <c r="B48" s="1531" t="str">
        <f>INDEX('REVIEW - Complete Role Mapping'!$B:$B,271)</f>
        <v>Vacant</v>
      </c>
      <c r="C48" s="1531" t="str">
        <f>INDEX('REVIEW - Complete Role Mapping'!$C:$C,271)</f>
        <v>Delivery Systems Analyst</v>
      </c>
      <c r="D48" s="1531" t="str">
        <f>INDEX('REVIEW - Complete Role Mapping'!$AK:$AK,271)</f>
        <v>Vacant</v>
      </c>
      <c r="E48" s="1548" t="inlineStr">
        <is>
          <t>Hire</t>
        </is>
      </c>
      <c r="F48" s="1770">
        <f>INDEX('REVIEW - Complete Role Mapping'!$AA:$AA,271)</f>
        <v>202853.25</v>
      </c>
      <c r="G48" s="1770">
        <f>$F48*IFERROR(INDEX(Lists!$AD:$AD,MATCH($E48,Lists!$AC:$AC,0)),1)</f>
        <v>202853.25</v>
      </c>
    </row>
    <row r="49">
      <c r="B49" s="1531" t="str">
        <f>INDEX('REVIEW - Complete Role Mapping'!$B:$B,272)</f>
        <v>Vacant</v>
      </c>
      <c r="C49" s="1531" t="str">
        <f>INDEX('REVIEW - Complete Role Mapping'!$C:$C,272)</f>
        <v>Business Analysis Practice Lead</v>
      </c>
      <c r="D49" s="1531" t="str">
        <f>INDEX('REVIEW - Complete Role Mapping'!$AK:$AK,272)</f>
        <v>Vacant</v>
      </c>
      <c r="E49" s="1548" t="inlineStr">
        <is>
          <t>Hire</t>
        </is>
      </c>
      <c r="F49" s="1770">
        <f>INDEX('REVIEW - Complete Role Mapping'!$AA:$AA,272)</f>
        <v>231689.25</v>
      </c>
      <c r="G49" s="1770">
        <f>$F49*IFERROR(INDEX(Lists!$AD:$AD,MATCH($E49,Lists!$AC:$AC,0)),1)</f>
        <v>231689.25</v>
      </c>
    </row>
    <row r="50">
      <c r="B50" s="1531" t="str">
        <f>INDEX('REVIEW - Complete Role Mapping'!$B:$B,273)</f>
        <v>Vacant</v>
      </c>
      <c r="C50" s="1531" t="str">
        <f>INDEX('REVIEW - Complete Role Mapping'!$C:$C,273)</f>
        <v>Delivery Assurance Manager</v>
      </c>
      <c r="D50" s="1531" t="str">
        <f>INDEX('REVIEW - Complete Role Mapping'!$AK:$AK,273)</f>
        <v>Vacant</v>
      </c>
      <c r="E50" s="1548" t="inlineStr">
        <is>
          <t>Hire</t>
        </is>
      </c>
      <c r="F50" s="1770">
        <f>INDEX('REVIEW - Complete Role Mapping'!$AA:$AA,273)</f>
        <v>275810.25</v>
      </c>
      <c r="G50" s="1770">
        <f>$F50*IFERROR(INDEX(Lists!$AD:$AD,MATCH($E50,Lists!$AC:$AC,0)),1)</f>
        <v>275810.25</v>
      </c>
    </row>
    <row r="51">
      <c r="B51" s="1531" t="str">
        <f>INDEX('REVIEW - Complete Role Mapping'!$B:$B,274)</f>
        <v>Vacant</v>
      </c>
      <c r="C51" s="1531" t="str">
        <f>INDEX('REVIEW - Complete Role Mapping'!$C:$C,274)</f>
        <v>Delivery Capacity &amp; Assurance Lead</v>
      </c>
      <c r="D51" s="1531" t="str">
        <f>INDEX('REVIEW - Complete Role Mapping'!$AK:$AK,274)</f>
        <v>Vacant</v>
      </c>
      <c r="E51" s="1548" t="inlineStr">
        <is>
          <t>Hire</t>
        </is>
      </c>
      <c r="F51" s="1770">
        <f>INDEX('REVIEW - Complete Role Mapping'!$AA:$AA,274)</f>
        <v>231689.25</v>
      </c>
      <c r="G51" s="1770">
        <f>$F51*IFERROR(INDEX(Lists!$AD:$AD,MATCH($E51,Lists!$AC:$AC,0)),1)</f>
        <v>231689.25</v>
      </c>
    </row>
    <row r="52">
      <c r="B52" s="1531" t="str">
        <f>INDEX('REVIEW - Complete Role Mapping'!$B:$B,275)</f>
        <v>Vacant</v>
      </c>
      <c r="C52" s="1531" t="str">
        <f>INDEX('REVIEW - Complete Role Mapping'!$C:$C,275)</f>
        <v>Delivery Excellence Manager</v>
      </c>
      <c r="D52" s="1531" t="str">
        <f>INDEX('REVIEW - Complete Role Mapping'!$AK:$AK,275)</f>
        <v>Vacant</v>
      </c>
      <c r="E52" s="1548" t="inlineStr">
        <is>
          <t>Hire</t>
        </is>
      </c>
      <c r="F52" s="1770">
        <f>INDEX('REVIEW - Complete Role Mapping'!$AA:$AA,275)</f>
        <v>275810.25</v>
      </c>
      <c r="G52" s="1770">
        <f>$F52*IFERROR(INDEX(Lists!$AD:$AD,MATCH($E52,Lists!$AC:$AC,0)),1)</f>
        <v>275810.25</v>
      </c>
    </row>
    <row r="53">
      <c r="B53" s="1531" t="str">
        <f>INDEX('REVIEW - Complete Role Mapping'!$B:$B,276)</f>
        <v>Vacant</v>
      </c>
      <c r="C53" s="1531" t="str">
        <f>INDEX('REVIEW - Complete Role Mapping'!$C:$C,276)</f>
        <v>Scrum Master</v>
      </c>
      <c r="D53" s="1531" t="str">
        <f>INDEX('REVIEW - Complete Role Mapping'!$AK:$AK,276)</f>
        <v>Vacant</v>
      </c>
      <c r="E53" s="1548" t="inlineStr">
        <is>
          <t>Hire</t>
        </is>
      </c>
      <c r="F53" s="1770">
        <f>INDEX('REVIEW - Complete Role Mapping'!$AA:$AA,276)</f>
        <v>151771.98</v>
      </c>
      <c r="G53" s="1770">
        <f>$F53*IFERROR(INDEX(Lists!$AD:$AD,MATCH($E53,Lists!$AC:$AC,0)),1)</f>
        <v>151771.98</v>
      </c>
    </row>
    <row r="54">
      <c r="B54" s="1531" t="str">
        <f>INDEX('REVIEW - Complete Role Mapping'!$B:$B,277)</f>
        <v>Vacant</v>
      </c>
      <c r="C54" s="1531" t="str">
        <f>INDEX('REVIEW - Complete Role Mapping'!$C:$C,277)</f>
        <v>Portfolio Analyst</v>
      </c>
      <c r="D54" s="1531" t="str">
        <f>INDEX('REVIEW - Complete Role Mapping'!$AK:$AK,277)</f>
        <v>Vacant</v>
      </c>
      <c r="E54" s="1548" t="inlineStr">
        <is>
          <t>Hire</t>
        </is>
      </c>
      <c r="F54" s="1770">
        <f>INDEX('REVIEW - Complete Role Mapping'!$AA:$AA,277)</f>
        <v>170489.75</v>
      </c>
      <c r="G54" s="1770">
        <f>$F54*IFERROR(INDEX(Lists!$AD:$AD,MATCH($E54,Lists!$AC:$AC,0)),1)</f>
        <v>170489.75</v>
      </c>
    </row>
  </sheetData>
  <dataValidations count="1">
    <dataValidation sqref="E29 E30 E31 E32 E34 E35 E36 E37 E38 E39 E41 E42 E43 E44 E45 E46 E47 E48 E49 E50 E51 E52 E53 E54"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35.xml><?xml version="1.0" encoding="utf-8"?>
<worksheet xmlns="http://schemas.openxmlformats.org/spreadsheetml/2006/main">
  <sheetPr filterMode="0">
    <tabColor rgb="FFBF8F00"/>
    <outlinePr summaryBelow="1" summaryRight="1"/>
    <pageSetUpPr fitToPage="1"/>
  </sheetPr>
  <dimension ref="B2:Q60"/>
  <sheetViews>
    <sheetView showFormulas="0" showGridLines="0" showRowColHeaders="1" showZeros="1" rightToLeft="0" tabSelected="0" showOutlineSymbols="1" defaultGridColor="1" view="normal" topLeftCell="A1" colorId="64" zoomScale="60" zoomScaleNormal="60" zoomScalePageLayoutView="100" workbookViewId="0">
      <selection pane="topLeft" activeCell="A1" activeCellId="0" sqref="A1"/>
      <selection pane="topRight" activeCell="C1" activeCellId="0" sqref="C1"/>
      <selection pane="bottomLeft" activeCell="A7" activeCellId="0" sqref="A7"/>
      <selection pane="bottomRight" activeCell="A9" activeCellId="0" sqref="A9"/>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COE SA&amp;D - working copy</t>
        </is>
      </c>
    </row>
    <row r="3">
      <c r="B3" s="1525" t="inlineStr">
        <is>
          <t>Portfolio</t>
        </is>
      </c>
      <c r="C3" s="1526" t="inlineStr">
        <is>
          <t>COE SA&amp;D</t>
        </is>
      </c>
    </row>
    <row r="4" ht="19" customHeight="1" s="866">
      <c r="B4" s="1527" t="inlineStr">
        <is>
          <t>COE SA&amp;D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None</t>
        </is>
      </c>
      <c r="C8" s="1531" t="inlineStr">
        <is>
          <t>None - no squad here is priced by an archetype</t>
        </is>
      </c>
      <c r="D8" s="1539" t="str">
        <f>"-"</f>
        <v>-</v>
      </c>
      <c r="E8" s="1539" t="str">
        <f>"-"</f>
        <v>-</v>
      </c>
      <c r="F8" s="1539" t="str">
        <f>"-"</f>
        <v>-</v>
      </c>
      <c r="G8" s="1539" t="str">
        <f>"-"</f>
        <v>-</v>
      </c>
      <c r="H8" s="1539" t="str">
        <f>"-"</f>
        <v>-</v>
      </c>
      <c r="I8" s="1539" t="str">
        <f>"-"</f>
        <v>-</v>
      </c>
      <c r="J8" s="1539" t="str">
        <f>"-"</f>
        <v>-</v>
      </c>
      <c r="K8" s="1539" t="str">
        <f>"-"</f>
        <v>-</v>
      </c>
      <c r="L8" s="1539" t="str">
        <f>"-"</f>
        <v>-</v>
      </c>
      <c r="M8" s="1539" t="str">
        <f>"-"</f>
        <v>-</v>
      </c>
      <c r="N8" s="1539" t="str">
        <f>"-"</f>
        <v>-</v>
      </c>
      <c r="O8" s="1539" t="str">
        <f>"-"</f>
        <v>-</v>
      </c>
      <c r="P8" s="1539" t="str">
        <f>"-"</f>
        <v>-</v>
      </c>
      <c r="Q8" s="1539" t="str">
        <f>"-"</f>
        <v>-</v>
      </c>
    </row>
    <row r="9">
      <c r="B9" s="1535" t="inlineStr">
        <is>
          <t>Squads priced by an archetype total</t>
        </is>
      </c>
      <c r="C9" s="1535" t="n"/>
      <c r="D9" s="1535" t="n"/>
      <c r="E9" s="1784">
        <f>SUM(E8:E8)</f>
        <v>0</v>
      </c>
      <c r="F9" s="1772">
        <f>SUM(F8:F8)</f>
        <v>0</v>
      </c>
      <c r="G9" s="1772">
        <f>SUM(G8:G8)</f>
        <v>0</v>
      </c>
      <c r="H9" s="1772">
        <f>SUM(H8:H8)</f>
        <v>0</v>
      </c>
      <c r="I9" s="1772">
        <f>SUM(I8:I8)</f>
        <v>0</v>
      </c>
      <c r="J9" s="1772">
        <f>SUM(J8:J8)</f>
        <v>0</v>
      </c>
      <c r="K9" s="1772">
        <f>SUM(K8:K8)</f>
        <v>0</v>
      </c>
      <c r="L9" s="1772">
        <f>SUM(L8:L8)</f>
        <v>0</v>
      </c>
      <c r="M9" s="1771" t="str">
        <f>IF(COUNT(M8:M8)=1,SUM(M8:M8),"-")</f>
        <v>-</v>
      </c>
      <c r="N9" s="1771">
        <f>SUM(N8:N8)</f>
        <v>0</v>
      </c>
      <c r="O9" s="1771" t="str">
        <f>IF(ISNUMBER($M9),ROUND($N9-$M9,6),"-")</f>
        <v>-</v>
      </c>
      <c r="P9" s="1771">
        <f>SUM(P8:P8)</f>
        <v>0</v>
      </c>
      <c r="Q9" s="1771" t="str">
        <f>IF(ISNUMBER($M9),ROUND($P9-$M9,6),"-")</f>
        <v>-</v>
      </c>
    </row>
    <row r="10">
      <c r="B10" s="1530" t="inlineStr">
        <is>
          <t>Directly funded programmes and platforms</t>
        </is>
      </c>
      <c r="C10" s="1530" t="n"/>
      <c r="D10" s="1530" t="n"/>
      <c r="E10" s="1530" t="n"/>
      <c r="F10" s="1530" t="n"/>
      <c r="G10" s="1530" t="n"/>
      <c r="H10" s="1530" t="n"/>
      <c r="I10" s="1530" t="n"/>
      <c r="J10" s="1530" t="n"/>
      <c r="K10" s="1530" t="n"/>
      <c r="L10" s="1530" t="n"/>
      <c r="M10" s="1530" t="n"/>
      <c r="N10" s="1530" t="n"/>
      <c r="O10" s="1530" t="n"/>
      <c r="P10" s="1530" t="n"/>
      <c r="Q10" s="1530" t="n"/>
    </row>
    <row r="11">
      <c r="B11" s="1531" t="inlineStr">
        <is>
          <t>Architecture</t>
        </is>
      </c>
      <c r="C11" s="1531" t="str">
        <f>"-"</f>
        <v>-</v>
      </c>
      <c r="D11" s="1531" t="str">
        <f>"-"</f>
        <v>-</v>
      </c>
      <c r="E11" s="1540" t="str">
        <f>"-"</f>
        <v>-</v>
      </c>
      <c r="F11" s="1770">
        <f>COUNTA($B$31:$B$37)</f>
        <v>7</v>
      </c>
      <c r="G11" s="1770">
        <f>COUNTIFS($D$31:$D$37,"Filled")</f>
        <v>7</v>
      </c>
      <c r="H11" s="1770">
        <f>COUNTIFS($D$31:$D$37,"Vacant")</f>
        <v>0</v>
      </c>
      <c r="I11" s="1770">
        <f>COUNTIFS($D$31:$D$37,"Vacant",$E$31:$E$37,"Hire")</f>
        <v>0</v>
      </c>
      <c r="J11" s="1770">
        <f>COUNTIFS($E$31:$E$37,"Offshore")</f>
        <v>0</v>
      </c>
      <c r="K11" s="1770">
        <f>COUNTIFS($E$31:$E$37,"Hold")</f>
        <v>0</v>
      </c>
      <c r="L11" s="1770">
        <f>$F11-$K11</f>
        <v>7</v>
      </c>
      <c r="M11" s="1540" t="str">
        <f>"-"</f>
        <v>-</v>
      </c>
      <c r="N11" s="1769">
        <f>SUMIFS('REVIEW - Complete Role Mapping'!$AA$2:$AA$528,'REVIEW - Complete Role Mapping'!$AJ$2:$AJ$528,$C$3,'REVIEW - Complete Role Mapping'!$AT$2:$AT$528,$B11)/1000000</f>
        <v>1.664746536</v>
      </c>
      <c r="O11" s="1540" t="str">
        <f>"-"</f>
        <v>-</v>
      </c>
      <c r="P11" s="1769">
        <f>SUM($G$31:$G$37)/1000000</f>
        <v>1.664746536</v>
      </c>
      <c r="Q11" s="1540" t="str">
        <f>"-"</f>
        <v>-</v>
      </c>
    </row>
    <row r="12">
      <c r="B12" s="1531" t="inlineStr">
        <is>
          <t>Data Platforms</t>
        </is>
      </c>
      <c r="C12" s="1531" t="str">
        <f>"-"</f>
        <v>-</v>
      </c>
      <c r="D12" s="1531" t="str">
        <f>"-"</f>
        <v>-</v>
      </c>
      <c r="E12" s="1540" t="str">
        <f>"-"</f>
        <v>-</v>
      </c>
      <c r="F12" s="1770">
        <f>COUNTA($B$39:$B$39)</f>
        <v>1</v>
      </c>
      <c r="G12" s="1770">
        <f>COUNTIFS($D$39:$D$39,"Filled")</f>
        <v>1</v>
      </c>
      <c r="H12" s="1770">
        <f>COUNTIFS($D$39:$D$39,"Vacant")</f>
        <v>0</v>
      </c>
      <c r="I12" s="1770">
        <f>COUNTIFS($D$39:$D$39,"Vacant",$E$39:$E$39,"Hire")</f>
        <v>0</v>
      </c>
      <c r="J12" s="1770">
        <f>COUNTIFS($E$39:$E$39,"Offshore")</f>
        <v>0</v>
      </c>
      <c r="K12" s="1770">
        <f>COUNTIFS($E$39:$E$39,"Hold")</f>
        <v>0</v>
      </c>
      <c r="L12" s="1770">
        <f>$F12-$K12</f>
        <v>1</v>
      </c>
      <c r="M12" s="1540" t="str">
        <f>"-"</f>
        <v>-</v>
      </c>
      <c r="N12" s="1769">
        <f>SUMIFS('REVIEW - Complete Role Mapping'!$AA$2:$AA$528,'REVIEW - Complete Role Mapping'!$AJ$2:$AJ$528,$C$3,'REVIEW - Complete Role Mapping'!$AT$2:$AT$528,$B12)/1000000</f>
        <v>0.2655849</v>
      </c>
      <c r="O12" s="1540" t="str">
        <f>"-"</f>
        <v>-</v>
      </c>
      <c r="P12" s="1769">
        <f>SUM($G$39:$G$39)/1000000</f>
        <v>0.2655849</v>
      </c>
      <c r="Q12" s="1540" t="str">
        <f>"-"</f>
        <v>-</v>
      </c>
    </row>
    <row r="13">
      <c r="B13" s="1531" t="inlineStr">
        <is>
          <t>Group Data</t>
        </is>
      </c>
      <c r="C13" s="1531" t="str">
        <f>"-"</f>
        <v>-</v>
      </c>
      <c r="D13" s="1531" t="str">
        <f>"-"</f>
        <v>-</v>
      </c>
      <c r="E13" s="1540" t="str">
        <f>"-"</f>
        <v>-</v>
      </c>
      <c r="F13" s="1770">
        <f>COUNTA($B$41:$B$49)</f>
        <v>9</v>
      </c>
      <c r="G13" s="1770">
        <f>COUNTIFS($D$41:$D$49,"Filled")</f>
        <v>7</v>
      </c>
      <c r="H13" s="1770">
        <f>COUNTIFS($D$41:$D$49,"Vacant")</f>
        <v>2</v>
      </c>
      <c r="I13" s="1770">
        <f>COUNTIFS($D$41:$D$49,"Vacant",$E$41:$E$49,"Hire")</f>
        <v>2</v>
      </c>
      <c r="J13" s="1770">
        <f>COUNTIFS($E$41:$E$49,"Offshore")</f>
        <v>0</v>
      </c>
      <c r="K13" s="1770">
        <f>COUNTIFS($E$41:$E$49,"Hold")</f>
        <v>0</v>
      </c>
      <c r="L13" s="1770">
        <f>$F13-$K13</f>
        <v>9</v>
      </c>
      <c r="M13" s="1540" t="str">
        <f>"-"</f>
        <v>-</v>
      </c>
      <c r="N13" s="1769">
        <f>SUMIFS('REVIEW - Complete Role Mapping'!$AA$2:$AA$528,'REVIEW - Complete Role Mapping'!$AJ$2:$AJ$528,$C$3,'REVIEW - Complete Role Mapping'!$AT$2:$AT$528,$B13)/1000000</f>
        <v>2.305292066</v>
      </c>
      <c r="O13" s="1540" t="str">
        <f>"-"</f>
        <v>-</v>
      </c>
      <c r="P13" s="1769">
        <f>SUM($G$41:$G$49)/1000000</f>
        <v>2.305292066</v>
      </c>
      <c r="Q13" s="1540" t="str">
        <f>"-"</f>
        <v>-</v>
      </c>
    </row>
    <row r="14">
      <c r="B14" s="1531" t="inlineStr">
        <is>
          <t>Leadership</t>
        </is>
      </c>
      <c r="C14" s="1531" t="str">
        <f>"-"</f>
        <v>-</v>
      </c>
      <c r="D14" s="1531" t="str">
        <f>"-"</f>
        <v>-</v>
      </c>
      <c r="E14" s="1540" t="str">
        <f>"-"</f>
        <v>-</v>
      </c>
      <c r="F14" s="1770">
        <f>COUNTA($B$51:$B$54)</f>
        <v>4</v>
      </c>
      <c r="G14" s="1770">
        <f>COUNTIFS($D$51:$D$54,"Filled")</f>
        <v>1</v>
      </c>
      <c r="H14" s="1770">
        <f>COUNTIFS($D$51:$D$54,"Vacant")</f>
        <v>3</v>
      </c>
      <c r="I14" s="1770">
        <f>COUNTIFS($D$51:$D$54,"Vacant",$E$51:$E$54,"Hire")</f>
        <v>3</v>
      </c>
      <c r="J14" s="1770">
        <f>COUNTIFS($E$51:$E$54,"Offshore")</f>
        <v>0</v>
      </c>
      <c r="K14" s="1770">
        <f>COUNTIFS($E$51:$E$54,"Hold")</f>
        <v>0</v>
      </c>
      <c r="L14" s="1770">
        <f>$F14-$K14</f>
        <v>4</v>
      </c>
      <c r="M14" s="1540" t="str">
        <f>"-"</f>
        <v>-</v>
      </c>
      <c r="N14" s="1769">
        <f>SUMIFS('REVIEW - Complete Role Mapping'!$AA$2:$AA$528,'REVIEW - Complete Role Mapping'!$AJ$2:$AJ$528,$C$3,'REVIEW - Complete Role Mapping'!$AT$2:$AT$528,$B14)/1000000</f>
        <v>1.2239818</v>
      </c>
      <c r="O14" s="1540" t="str">
        <f>"-"</f>
        <v>-</v>
      </c>
      <c r="P14" s="1769">
        <f>SUM($G$51:$G$54)/1000000</f>
        <v>1.2239818</v>
      </c>
      <c r="Q14" s="1540" t="str">
        <f>"-"</f>
        <v>-</v>
      </c>
    </row>
    <row r="15">
      <c r="B15" s="1531" t="inlineStr">
        <is>
          <t>Technology Strategy &amp; AI Capability</t>
        </is>
      </c>
      <c r="C15" s="1531" t="str">
        <f>"-"</f>
        <v>-</v>
      </c>
      <c r="D15" s="1531" t="str">
        <f>"-"</f>
        <v>-</v>
      </c>
      <c r="E15" s="1540" t="str">
        <f>"-"</f>
        <v>-</v>
      </c>
      <c r="F15" s="1770">
        <f>COUNTA($B$56:$B$60)</f>
        <v>5</v>
      </c>
      <c r="G15" s="1770">
        <f>COUNTIFS($D$56:$D$60,"Filled")</f>
        <v>1</v>
      </c>
      <c r="H15" s="1770">
        <f>COUNTIFS($D$56:$D$60,"Vacant")</f>
        <v>4</v>
      </c>
      <c r="I15" s="1770">
        <f>COUNTIFS($D$56:$D$60,"Vacant",$E$56:$E$60,"Hire")</f>
        <v>4</v>
      </c>
      <c r="J15" s="1770">
        <f>COUNTIFS($E$56:$E$60,"Offshore")</f>
        <v>0</v>
      </c>
      <c r="K15" s="1770">
        <f>COUNTIFS($E$56:$E$60,"Hold")</f>
        <v>0</v>
      </c>
      <c r="L15" s="1770">
        <f>$F15-$K15</f>
        <v>5</v>
      </c>
      <c r="M15" s="1540" t="str">
        <f>"-"</f>
        <v>-</v>
      </c>
      <c r="N15" s="1769">
        <f>SUMIFS('REVIEW - Complete Role Mapping'!$AA$2:$AA$528,'REVIEW - Complete Role Mapping'!$AJ$2:$AJ$528,$C$3,'REVIEW - Complete Role Mapping'!$AT$2:$AT$528,$B15)/1000000</f>
        <v>1.06988875</v>
      </c>
      <c r="O15" s="1540" t="str">
        <f>"-"</f>
        <v>-</v>
      </c>
      <c r="P15" s="1769">
        <f>SUM($G$56:$G$60)/1000000</f>
        <v>1.06988875</v>
      </c>
      <c r="Q15" s="1540" t="str">
        <f>"-"</f>
        <v>-</v>
      </c>
    </row>
    <row r="16">
      <c r="B16" s="1535" t="inlineStr">
        <is>
          <t>Directly funded programmes and platforms total</t>
        </is>
      </c>
      <c r="C16" s="1535" t="n"/>
      <c r="D16" s="1535" t="n"/>
      <c r="E16" s="1784">
        <f>SUM(E11:E15)</f>
        <v>0</v>
      </c>
      <c r="F16" s="1772">
        <f>SUM(F11:F15)</f>
        <v>26</v>
      </c>
      <c r="G16" s="1772">
        <f>SUM(G11:G15)</f>
        <v>17</v>
      </c>
      <c r="H16" s="1772">
        <f>SUM(H11:H15)</f>
        <v>9</v>
      </c>
      <c r="I16" s="1772">
        <f>SUM(I11:I15)</f>
        <v>9</v>
      </c>
      <c r="J16" s="1772">
        <f>SUM(J11:J15)</f>
        <v>0</v>
      </c>
      <c r="K16" s="1772">
        <f>SUM(K11:K15)</f>
        <v>0</v>
      </c>
      <c r="L16" s="1772">
        <f>SUM(L11:L15)</f>
        <v>26</v>
      </c>
      <c r="M16" s="1771" t="str">
        <f>IF(COUNT(M11:M15)=5,SUM(M11:M15),"-")</f>
        <v>-</v>
      </c>
      <c r="N16" s="1771">
        <f>SUM(N11:N15)</f>
        <v>6.529494052</v>
      </c>
      <c r="O16" s="1771" t="str">
        <f>IF(ISNUMBER($M16),ROUND($N16-$M16,6),"-")</f>
        <v>-</v>
      </c>
      <c r="P16" s="1771">
        <f>SUM(P11:P15)</f>
        <v>6.529494052</v>
      </c>
      <c r="Q16" s="1771" t="str">
        <f>IF(ISNUMBER($M16),ROUND($P16-$M16,6),"-")</f>
        <v>-</v>
      </c>
    </row>
    <row r="17">
      <c r="B17" s="1530" t="inlineStr">
        <is>
          <t>Groups with no archetype and no funded figure</t>
        </is>
      </c>
      <c r="C17" s="1530" t="n"/>
      <c r="D17" s="1530" t="n"/>
      <c r="E17" s="1530" t="n"/>
      <c r="F17" s="1530" t="n"/>
      <c r="G17" s="1530" t="n"/>
      <c r="H17" s="1530" t="n"/>
      <c r="I17" s="1530" t="n"/>
      <c r="J17" s="1530" t="n"/>
      <c r="K17" s="1530" t="n"/>
      <c r="L17" s="1530" t="n"/>
      <c r="M17" s="1530" t="n"/>
      <c r="N17" s="1530" t="n"/>
      <c r="O17" s="1530" t="n"/>
      <c r="P17" s="1530" t="n"/>
      <c r="Q17" s="1530" t="n"/>
    </row>
    <row r="18">
      <c r="B18" s="1531" t="inlineStr">
        <is>
          <t>None</t>
        </is>
      </c>
      <c r="C18" s="1531" t="inlineStr">
        <is>
          <t>None - every group here has a figure to compare</t>
        </is>
      </c>
      <c r="D18" s="1539" t="str">
        <f>"-"</f>
        <v>-</v>
      </c>
      <c r="E18" s="1539" t="str">
        <f>"-"</f>
        <v>-</v>
      </c>
      <c r="F18" s="1539" t="str">
        <f>"-"</f>
        <v>-</v>
      </c>
      <c r="G18" s="1539" t="str">
        <f>"-"</f>
        <v>-</v>
      </c>
      <c r="H18" s="1539" t="str">
        <f>"-"</f>
        <v>-</v>
      </c>
      <c r="I18" s="1539" t="str">
        <f>"-"</f>
        <v>-</v>
      </c>
      <c r="J18" s="1539" t="str">
        <f>"-"</f>
        <v>-</v>
      </c>
      <c r="K18" s="1539" t="str">
        <f>"-"</f>
        <v>-</v>
      </c>
      <c r="L18" s="1539" t="str">
        <f>"-"</f>
        <v>-</v>
      </c>
      <c r="M18" s="1539" t="str">
        <f>"-"</f>
        <v>-</v>
      </c>
      <c r="N18" s="1539" t="str">
        <f>"-"</f>
        <v>-</v>
      </c>
      <c r="O18" s="1539" t="str">
        <f>"-"</f>
        <v>-</v>
      </c>
      <c r="P18" s="1539" t="str">
        <f>"-"</f>
        <v>-</v>
      </c>
      <c r="Q18" s="1539" t="str">
        <f>"-"</f>
        <v>-</v>
      </c>
    </row>
    <row r="19">
      <c r="B19" s="1535" t="inlineStr">
        <is>
          <t>Groups with no archetype and no funded figure total</t>
        </is>
      </c>
      <c r="C19" s="1535" t="n"/>
      <c r="D19" s="1535" t="n"/>
      <c r="E19" s="1784">
        <f>SUM(E18:E18)</f>
        <v>0</v>
      </c>
      <c r="F19" s="1772">
        <f>SUM(F18:F18)</f>
        <v>0</v>
      </c>
      <c r="G19" s="1772">
        <f>SUM(G18:G18)</f>
        <v>0</v>
      </c>
      <c r="H19" s="1772">
        <f>SUM(H18:H18)</f>
        <v>0</v>
      </c>
      <c r="I19" s="1772">
        <f>SUM(I18:I18)</f>
        <v>0</v>
      </c>
      <c r="J19" s="1772">
        <f>SUM(J18:J18)</f>
        <v>0</v>
      </c>
      <c r="K19" s="1772">
        <f>SUM(K18:K18)</f>
        <v>0</v>
      </c>
      <c r="L19" s="1772">
        <f>SUM(L18:L18)</f>
        <v>0</v>
      </c>
      <c r="M19" s="1771" t="str">
        <f>IF(COUNT(M18:M18)=1,SUM(M18:M18),"-")</f>
        <v>-</v>
      </c>
      <c r="N19" s="1771">
        <f>SUM(N18:N18)</f>
        <v>0</v>
      </c>
      <c r="O19" s="1771" t="str">
        <f>IF(ISNUMBER($M19),ROUND($N19-$M19,6),"-")</f>
        <v>-</v>
      </c>
      <c r="P19" s="1771">
        <f>SUM(P18:P18)</f>
        <v>0</v>
      </c>
      <c r="Q19" s="1771" t="str">
        <f>IF(ISNUMBER($M19),ROUND($P19-$M19,6),"-")</f>
        <v>-</v>
      </c>
    </row>
    <row r="20">
      <c r="B20" s="1530" t="inlineStr">
        <is>
          <t>Overhead roles</t>
        </is>
      </c>
      <c r="C20" s="1530" t="n"/>
      <c r="D20" s="1530" t="n"/>
      <c r="E20" s="1530" t="n"/>
      <c r="F20" s="1530" t="n"/>
      <c r="G20" s="1530" t="n"/>
      <c r="H20" s="1530" t="n"/>
      <c r="I20" s="1530" t="n"/>
      <c r="J20" s="1530" t="n"/>
      <c r="K20" s="1530" t="n"/>
      <c r="L20" s="1530" t="n"/>
      <c r="M20" s="1530" t="n"/>
      <c r="N20" s="1530" t="n"/>
      <c r="O20" s="1530" t="n"/>
      <c r="P20" s="1530" t="n"/>
      <c r="Q20" s="1530" t="n"/>
    </row>
    <row r="21">
      <c r="B21" s="1531" t="inlineStr">
        <is>
          <t>None</t>
        </is>
      </c>
      <c r="C21" s="1531" t="inlineStr">
        <is>
          <t>None - the COEs carry no overhead</t>
        </is>
      </c>
      <c r="D21" s="1539" t="str">
        <f>"-"</f>
        <v>-</v>
      </c>
      <c r="E21" s="1539" t="str">
        <f>"-"</f>
        <v>-</v>
      </c>
      <c r="F21" s="1539" t="str">
        <f>"-"</f>
        <v>-</v>
      </c>
      <c r="G21" s="1539" t="str">
        <f>"-"</f>
        <v>-</v>
      </c>
      <c r="H21" s="1539" t="str">
        <f>"-"</f>
        <v>-</v>
      </c>
      <c r="I21" s="1539" t="str">
        <f>"-"</f>
        <v>-</v>
      </c>
      <c r="J21" s="1539" t="str">
        <f>"-"</f>
        <v>-</v>
      </c>
      <c r="K21" s="1539" t="str">
        <f>"-"</f>
        <v>-</v>
      </c>
      <c r="L21" s="1539" t="str">
        <f>"-"</f>
        <v>-</v>
      </c>
      <c r="M21" s="1539" t="str">
        <f>"-"</f>
        <v>-</v>
      </c>
      <c r="N21" s="1539" t="str">
        <f>"-"</f>
        <v>-</v>
      </c>
      <c r="O21" s="1539" t="str">
        <f>"-"</f>
        <v>-</v>
      </c>
      <c r="P21" s="1539" t="str">
        <f>"-"</f>
        <v>-</v>
      </c>
      <c r="Q21" s="1539" t="str">
        <f>"-"</f>
        <v>-</v>
      </c>
    </row>
    <row r="22">
      <c r="B22" s="1535" t="inlineStr">
        <is>
          <t>Overhead roles total</t>
        </is>
      </c>
      <c r="C22" s="1535" t="n"/>
      <c r="D22" s="1535" t="n"/>
      <c r="E22" s="1784">
        <f>SUM(E21:E21)</f>
        <v>0</v>
      </c>
      <c r="F22" s="1772">
        <f>SUM(F21:F21)</f>
        <v>0</v>
      </c>
      <c r="G22" s="1772">
        <f>SUM(G21:G21)</f>
        <v>0</v>
      </c>
      <c r="H22" s="1772">
        <f>SUM(H21:H21)</f>
        <v>0</v>
      </c>
      <c r="I22" s="1772">
        <f>SUM(I21:I21)</f>
        <v>0</v>
      </c>
      <c r="J22" s="1772">
        <f>SUM(J21:J21)</f>
        <v>0</v>
      </c>
      <c r="K22" s="1772">
        <f>SUM(K21:K21)</f>
        <v>0</v>
      </c>
      <c r="L22" s="1772">
        <f>SUM(L21:L21)</f>
        <v>0</v>
      </c>
      <c r="M22" s="1771" t="str">
        <f>IF(COUNT(M21:M21)=1,SUM(M21:M21),"-")</f>
        <v>-</v>
      </c>
      <c r="N22" s="1771">
        <f>SUM(N21:N21)</f>
        <v>0</v>
      </c>
      <c r="O22" s="1771" t="str">
        <f>IF(ISNUMBER($M22),ROUND($N22-$M22,6),"-")</f>
        <v>-</v>
      </c>
      <c r="P22" s="1771">
        <f>SUM(P21:P21)</f>
        <v>0</v>
      </c>
      <c r="Q22" s="1771" t="str">
        <f>IF(ISNUMBER($M22),ROUND($P22-$M22,6),"-")</f>
        <v>-</v>
      </c>
    </row>
    <row r="23">
      <c r="B23" s="1541" t="inlineStr">
        <is>
          <t>Total portfolio</t>
        </is>
      </c>
      <c r="C23" s="1541" t="n"/>
      <c r="D23" s="1541" t="n"/>
      <c r="E23" s="1785">
        <f>N(E9)+N(E16)+N(E19)+N(E22)</f>
        <v>0</v>
      </c>
      <c r="F23" s="1774">
        <f>N(F9)+N(F16)+N(F19)+N(F22)</f>
        <v>26</v>
      </c>
      <c r="G23" s="1774">
        <f>N(G9)+N(G16)+N(G19)+N(G22)</f>
        <v>17</v>
      </c>
      <c r="H23" s="1774">
        <f>N(H9)+N(H16)+N(H19)+N(H22)</f>
        <v>9</v>
      </c>
      <c r="I23" s="1774">
        <f>N(I9)+N(I16)+N(I19)+N(I22)</f>
        <v>9</v>
      </c>
      <c r="J23" s="1774">
        <f>N(J9)+N(J16)+N(J19)+N(J22)</f>
        <v>0</v>
      </c>
      <c r="K23" s="1774">
        <f>N(K9)+N(K16)+N(K19)+N(K22)</f>
        <v>0</v>
      </c>
      <c r="L23" s="1774">
        <f>N(L9)+N(L16)+N(L19)+N(L22)</f>
        <v>26</v>
      </c>
      <c r="M23" s="1773" t="str">
        <f>"-"</f>
        <v>-</v>
      </c>
      <c r="N23" s="1773">
        <f>N(N9)+N(N16)+N(N19)+N(N22)</f>
        <v>6.529494052</v>
      </c>
      <c r="O23" s="1773" t="str">
        <f>"-"</f>
        <v>-</v>
      </c>
      <c r="P23" s="1773">
        <f>N(P9)+N(P16)+N(P19)+N(P22)</f>
        <v>6.529494052</v>
      </c>
      <c r="Q23" s="1773" t="str">
        <f>"-"</f>
        <v>-</v>
      </c>
    </row>
    <row r="25">
      <c r="B25" s="1526" t="inlineStr">
        <is>
          <t>Control - roles against the ledger, must be 0</t>
        </is>
      </c>
      <c r="F25" s="1778">
        <f>$F$23-COUNTIFS('REVIEW - Complete Role Mapping'!$AJ$2:$AJ$528,$C$3)</f>
        <v>0</v>
      </c>
    </row>
    <row r="26">
      <c r="B26" s="1526" t="inlineStr">
        <is>
          <t>Control - cost against the ledger ($m), must be 0</t>
        </is>
      </c>
      <c r="N26" s="1779">
        <f>ROUND($N$23-SUMIFS('REVIEW - Complete Role Mapping'!$AA$2:$AA$528,'REVIEW - Complete Role Mapping'!$AJ$2:$AJ$528,$C$3)/1000000,6)</f>
        <v>0</v>
      </c>
    </row>
    <row r="28" ht="19" customHeight="1" s="866">
      <c r="B28" s="1527" t="inlineStr">
        <is>
          <t>COE SA&amp;D FTE</t>
        </is>
      </c>
      <c r="C28" s="1528" t="n"/>
      <c r="D28" s="1528" t="n"/>
      <c r="E28" s="1528" t="n"/>
      <c r="F28" s="1528" t="n"/>
      <c r="G28" s="1528" t="n"/>
    </row>
    <row r="29" ht="34" customHeight="1" s="866">
      <c r="B29" s="1529" t="inlineStr">
        <is>
          <t>Name</t>
        </is>
      </c>
      <c r="C29" s="1529" t="inlineStr">
        <is>
          <t>Role</t>
        </is>
      </c>
      <c r="D29" s="1529" t="inlineStr">
        <is>
          <t>Status</t>
        </is>
      </c>
      <c r="E29" s="1529" t="inlineStr">
        <is>
          <t>Vacancy lever</t>
        </is>
      </c>
      <c r="F29" s="1529" t="inlineStr">
        <is>
          <t>Role cost ($)</t>
        </is>
      </c>
      <c r="G29" s="1529" t="inlineStr">
        <is>
          <t>Cost after decision ($)</t>
        </is>
      </c>
    </row>
    <row r="30">
      <c r="B30" s="1530" t="inlineStr">
        <is>
          <t>Architecture</t>
        </is>
      </c>
      <c r="C30" s="1530" t="str">
        <f>COUNTA($B$31:$B$37)&amp;IF(COUNTA($B$31:$B$37)=1," role"," roles")</f>
        <v>7 roles</v>
      </c>
      <c r="D30" s="1530" t="n"/>
      <c r="E30" s="1530" t="n"/>
      <c r="F30" s="1786">
        <f>SUM(F31:F37)</f>
        <v>1664746.536</v>
      </c>
      <c r="G30" s="1786">
        <f>SUM(G31:G37)</f>
        <v>1664746.536</v>
      </c>
    </row>
    <row r="31">
      <c r="B31" s="1531" t="str">
        <f>INDEX('REVIEW - Complete Role Mapping'!$B:$B,282)</f>
        <v>Craig Ambrose</v>
      </c>
      <c r="C31" s="1531" t="str">
        <f>INDEX('REVIEW - Complete Role Mapping'!$C:$C,282)</f>
        <v>Domain Architect - Group Functions</v>
      </c>
      <c r="D31" s="1531" t="str">
        <f>INDEX('REVIEW - Complete Role Mapping'!$AK:$AK,282)</f>
        <v>Filled</v>
      </c>
      <c r="E31" s="1548" t="inlineStr">
        <is>
          <t>Filled</t>
        </is>
      </c>
      <c r="F31" s="1770">
        <f>INDEX('REVIEW - Complete Role Mapping'!$AA:$AA,282)</f>
        <v>242741.304</v>
      </c>
      <c r="G31" s="1770">
        <f>$F31*IFERROR(INDEX(Lists!$AD:$AD,MATCH($E31,Lists!$AC:$AC,0)),1)</f>
        <v>242741.304</v>
      </c>
    </row>
    <row r="32">
      <c r="B32" s="1531" t="str">
        <f>INDEX('REVIEW - Complete Role Mapping'!$B:$B,288)</f>
        <v>John Forde</v>
      </c>
      <c r="C32" s="1531" t="str">
        <f>INDEX('REVIEW - Complete Role Mapping'!$C:$C,288)</f>
        <v>Enterprise Architect</v>
      </c>
      <c r="D32" s="1531" t="str">
        <f>INDEX('REVIEW - Complete Role Mapping'!$AK:$AK,288)</f>
        <v>Filled</v>
      </c>
      <c r="E32" s="1548" t="inlineStr">
        <is>
          <t>Filled</t>
        </is>
      </c>
      <c r="F32" s="1770">
        <f>INDEX('REVIEW - Complete Role Mapping'!$AA:$AA,288)</f>
        <v>214270.248</v>
      </c>
      <c r="G32" s="1770">
        <f>$F32*IFERROR(INDEX(Lists!$AD:$AD,MATCH($E32,Lists!$AC:$AC,0)),1)</f>
        <v>214270.248</v>
      </c>
    </row>
    <row r="33">
      <c r="B33" s="1531" t="str">
        <f>INDEX('REVIEW - Complete Role Mapping'!$B:$B,292)</f>
        <v>Mike Gilbert</v>
      </c>
      <c r="C33" s="1531" t="str">
        <f>INDEX('REVIEW - Complete Role Mapping'!$C:$C,292)</f>
        <v>Domain Architect - CFE &amp; Infrastructure </v>
      </c>
      <c r="D33" s="1531" t="str">
        <f>INDEX('REVIEW - Complete Role Mapping'!$AK:$AK,292)</f>
        <v>Filled</v>
      </c>
      <c r="E33" s="1548" t="inlineStr">
        <is>
          <t>Filled</t>
        </is>
      </c>
      <c r="F33" s="1770">
        <f>INDEX('REVIEW - Complete Role Mapping'!$AA:$AA,292)</f>
        <v>236856.984</v>
      </c>
      <c r="G33" s="1770">
        <f>$F33*IFERROR(INDEX(Lists!$AD:$AD,MATCH($E33,Lists!$AC:$AC,0)),1)</f>
        <v>236856.984</v>
      </c>
    </row>
    <row r="34">
      <c r="B34" s="1531" t="str">
        <f>INDEX('REVIEW - Complete Role Mapping'!$B:$B,302)</f>
        <v>ring fenced</v>
      </c>
      <c r="C34" s="1531" t="str">
        <f>INDEX('REVIEW - Complete Role Mapping'!$C:$C,302)</f>
        <v>Enterprise Architect</v>
      </c>
      <c r="D34" s="1531" t="str">
        <f>INDEX('REVIEW - Complete Role Mapping'!$AK:$AK,302)</f>
        <v>Filled</v>
      </c>
      <c r="E34" s="1548" t="inlineStr">
        <is>
          <t>Filled</t>
        </is>
      </c>
      <c r="F34" s="1770">
        <f>INDEX('REVIEW - Complete Role Mapping'!$AA:$AA,302)</f>
        <v>275810.25</v>
      </c>
      <c r="G34" s="1770">
        <f>$F34*IFERROR(INDEX(Lists!$AD:$AD,MATCH($E34,Lists!$AC:$AC,0)),1)</f>
        <v>275810.25</v>
      </c>
    </row>
    <row r="35">
      <c r="B35" s="1531" t="str">
        <f>INDEX('REVIEW - Complete Role Mapping'!$B:$B,303)</f>
        <v>ring fenced</v>
      </c>
      <c r="C35" s="1531" t="str">
        <f>INDEX('REVIEW - Complete Role Mapping'!$C:$C,303)</f>
        <v>Domain Architect - Customer &amp; Digital Tech</v>
      </c>
      <c r="D35" s="1531" t="str">
        <f>INDEX('REVIEW - Complete Role Mapping'!$AK:$AK,303)</f>
        <v>Filled</v>
      </c>
      <c r="E35" s="1548" t="inlineStr">
        <is>
          <t>Filled</t>
        </is>
      </c>
      <c r="F35" s="1770">
        <f>INDEX('REVIEW - Complete Role Mapping'!$AA:$AA,303)</f>
        <v>231689.25</v>
      </c>
      <c r="G35" s="1770">
        <f>$F35*IFERROR(INDEX(Lists!$AD:$AD,MATCH($E35,Lists!$AC:$AC,0)),1)</f>
        <v>231689.25</v>
      </c>
    </row>
    <row r="36">
      <c r="B36" s="1531" t="str">
        <f>INDEX('REVIEW - Complete Role Mapping'!$B:$B,304)</f>
        <v>ring fenced</v>
      </c>
      <c r="C36" s="1531" t="str">
        <f>INDEX('REVIEW - Complete Role Mapping'!$C:$C,304)</f>
        <v>Domain Architect - Retail &amp; Z</v>
      </c>
      <c r="D36" s="1531" t="str">
        <f>INDEX('REVIEW - Complete Role Mapping'!$AK:$AK,304)</f>
        <v>Filled</v>
      </c>
      <c r="E36" s="1548" t="inlineStr">
        <is>
          <t>Filled</t>
        </is>
      </c>
      <c r="F36" s="1770">
        <f>INDEX('REVIEW - Complete Role Mapping'!$AA:$AA,304)</f>
        <v>231689.25</v>
      </c>
      <c r="G36" s="1770">
        <f>$F36*IFERROR(INDEX(Lists!$AD:$AD,MATCH($E36,Lists!$AC:$AC,0)),1)</f>
        <v>231689.25</v>
      </c>
    </row>
    <row r="37">
      <c r="B37" s="1531" t="str">
        <f>INDEX('REVIEW - Complete Role Mapping'!$B:$B,305)</f>
        <v>ring fenced</v>
      </c>
      <c r="C37" s="1531" t="str">
        <f>INDEX('REVIEW - Complete Role Mapping'!$C:$C,305)</f>
        <v>Domain Architect - TDD</v>
      </c>
      <c r="D37" s="1531" t="str">
        <f>INDEX('REVIEW - Complete Role Mapping'!$AK:$AK,305)</f>
        <v>Filled</v>
      </c>
      <c r="E37" s="1548" t="inlineStr">
        <is>
          <t>Filled</t>
        </is>
      </c>
      <c r="F37" s="1770">
        <f>INDEX('REVIEW - Complete Role Mapping'!$AA:$AA,305)</f>
        <v>231689.25</v>
      </c>
      <c r="G37" s="1770">
        <f>$F37*IFERROR(INDEX(Lists!$AD:$AD,MATCH($E37,Lists!$AC:$AC,0)),1)</f>
        <v>231689.25</v>
      </c>
    </row>
    <row r="38">
      <c r="B38" s="1530" t="inlineStr">
        <is>
          <t>Data Platforms</t>
        </is>
      </c>
      <c r="C38" s="1530" t="str">
        <f>COUNTA($B$39:$B$39)&amp;IF(COUNTA($B$39:$B$39)=1," role"," roles")</f>
        <v>1 role</v>
      </c>
      <c r="D38" s="1530" t="n"/>
      <c r="E38" s="1530" t="n"/>
      <c r="F38" s="1786">
        <f>SUM(F39:F39)</f>
        <v>265584.9</v>
      </c>
      <c r="G38" s="1786">
        <f>SUM(G39:G39)</f>
        <v>265584.9</v>
      </c>
    </row>
    <row r="39">
      <c r="B39" s="1531" t="str">
        <f>INDEX('REVIEW - Complete Role Mapping'!$B:$B,293)</f>
        <v>Milan Patel</v>
      </c>
      <c r="C39" s="1531" t="str">
        <f>INDEX('REVIEW - Complete Role Mapping'!$C:$C,293)</f>
        <v>Platform Architect</v>
      </c>
      <c r="D39" s="1531" t="str">
        <f>INDEX('REVIEW - Complete Role Mapping'!$AK:$AK,293)</f>
        <v>Filled</v>
      </c>
      <c r="E39" s="1548" t="inlineStr">
        <is>
          <t>Filled</t>
        </is>
      </c>
      <c r="F39" s="1770">
        <f>INDEX('REVIEW - Complete Role Mapping'!$AA:$AA,293)</f>
        <v>265584.9</v>
      </c>
      <c r="G39" s="1770">
        <f>$F39*IFERROR(INDEX(Lists!$AD:$AD,MATCH($E39,Lists!$AC:$AC,0)),1)</f>
        <v>265584.9</v>
      </c>
    </row>
    <row r="40">
      <c r="B40" s="1530" t="inlineStr">
        <is>
          <t>Group Data</t>
        </is>
      </c>
      <c r="C40" s="1530" t="str">
        <f>COUNTA($B$41:$B$49)&amp;IF(COUNTA($B$41:$B$49)=1," role"," roles")</f>
        <v>9 roles</v>
      </c>
      <c r="D40" s="1530" t="n"/>
      <c r="E40" s="1530" t="n"/>
      <c r="F40" s="1786">
        <f>SUM(F41:F49)</f>
        <v>2305292.066</v>
      </c>
      <c r="G40" s="1786">
        <f>SUM(G41:G49)</f>
        <v>2305292.066</v>
      </c>
    </row>
    <row r="41">
      <c r="B41" s="1531" t="str">
        <f>INDEX('REVIEW - Complete Role Mapping'!$B:$B,283)</f>
        <v>Deepali Mahajan</v>
      </c>
      <c r="C41" s="1531" t="str">
        <f>INDEX('REVIEW - Complete Role Mapping'!$C:$C,283)</f>
        <v>Data Operations Manager</v>
      </c>
      <c r="D41" s="1531" t="str">
        <f>INDEX('REVIEW - Complete Role Mapping'!$AK:$AK,283)</f>
        <v>Filled</v>
      </c>
      <c r="E41" s="1548" t="inlineStr">
        <is>
          <t>Filled</t>
        </is>
      </c>
      <c r="F41" s="1770">
        <f>INDEX('REVIEW - Complete Role Mapping'!$AA:$AA,283)</f>
        <v>295918.45</v>
      </c>
      <c r="G41" s="1770">
        <f>$F41*IFERROR(INDEX(Lists!$AD:$AD,MATCH($E41,Lists!$AC:$AC,0)),1)</f>
        <v>295918.45</v>
      </c>
    </row>
    <row r="42">
      <c r="B42" s="1531" t="str">
        <f>INDEX('REVIEW - Complete Role Mapping'!$B:$B,291)</f>
        <v>Lynn Yiew</v>
      </c>
      <c r="C42" s="1531" t="str">
        <f>INDEX('REVIEW - Complete Role Mapping'!$C:$C,291)</f>
        <v>Data Governance Specialist</v>
      </c>
      <c r="D42" s="1531" t="str">
        <f>INDEX('REVIEW - Complete Role Mapping'!$AK:$AK,291)</f>
        <v>Filled</v>
      </c>
      <c r="E42" s="1548" t="inlineStr">
        <is>
          <t>Filled</t>
        </is>
      </c>
      <c r="F42" s="1770">
        <f>INDEX('REVIEW - Complete Role Mapping'!$AA:$AA,291)</f>
        <v>149746.416</v>
      </c>
      <c r="G42" s="1770">
        <f>$F42*IFERROR(INDEX(Lists!$AD:$AD,MATCH($E42,Lists!$AC:$AC,0)),1)</f>
        <v>149746.416</v>
      </c>
    </row>
    <row r="43">
      <c r="B43" s="1531" t="str">
        <f>INDEX('REVIEW - Complete Role Mapping'!$B:$B,294)</f>
        <v>Mitchell Clarke</v>
      </c>
      <c r="C43" s="1531" t="str">
        <f>INDEX('REVIEW - Complete Role Mapping'!$C:$C,294)</f>
        <v>Snr Data Governance Specialist</v>
      </c>
      <c r="D43" s="1531" t="str">
        <f>INDEX('REVIEW - Complete Role Mapping'!$AK:$AK,294)</f>
        <v>Filled</v>
      </c>
      <c r="E43" s="1548" t="inlineStr">
        <is>
          <t>Filled</t>
        </is>
      </c>
      <c r="F43" s="1770">
        <f>INDEX('REVIEW - Complete Role Mapping'!$AA:$AA,294)</f>
        <v>225988.8</v>
      </c>
      <c r="G43" s="1770">
        <f>$F43*IFERROR(INDEX(Lists!$AD:$AD,MATCH($E43,Lists!$AC:$AC,0)),1)</f>
        <v>225988.8</v>
      </c>
    </row>
    <row r="44">
      <c r="B44" s="1531" t="str">
        <f>INDEX('REVIEW - Complete Role Mapping'!$B:$B,299)</f>
        <v>Raymond Bai</v>
      </c>
      <c r="C44" s="1531" t="str">
        <f>INDEX('REVIEW - Complete Role Mapping'!$C:$C,299)</f>
        <v>Data Adoption Specialist</v>
      </c>
      <c r="D44" s="1531" t="str">
        <f>INDEX('REVIEW - Complete Role Mapping'!$AK:$AK,299)</f>
        <v>Filled</v>
      </c>
      <c r="E44" s="1548" t="inlineStr">
        <is>
          <t>Filled</t>
        </is>
      </c>
      <c r="F44" s="1770">
        <f>INDEX('REVIEW - Complete Role Mapping'!$AA:$AA,299)</f>
        <v>175872.9</v>
      </c>
      <c r="G44" s="1770">
        <f>$F44*IFERROR(INDEX(Lists!$AD:$AD,MATCH($E44,Lists!$AC:$AC,0)),1)</f>
        <v>175872.9</v>
      </c>
    </row>
    <row r="45">
      <c r="B45" s="1531" t="str">
        <f>INDEX('REVIEW - Complete Role Mapping'!$B:$B,300)</f>
        <v>Renosh Matthew Thomas</v>
      </c>
      <c r="C45" s="1531" t="str">
        <f>INDEX('REVIEW - Complete Role Mapping'!$C:$C,300)</f>
        <v>Data Enablement Lead</v>
      </c>
      <c r="D45" s="1531" t="str">
        <f>INDEX('REVIEW - Complete Role Mapping'!$AK:$AK,300)</f>
        <v>Filled</v>
      </c>
      <c r="E45" s="1548" t="inlineStr">
        <is>
          <t>Filled</t>
        </is>
      </c>
      <c r="F45" s="1770">
        <f>INDEX('REVIEW - Complete Role Mapping'!$AA:$AA,300)</f>
        <v>227056.8</v>
      </c>
      <c r="G45" s="1770">
        <f>$F45*IFERROR(INDEX(Lists!$AD:$AD,MATCH($E45,Lists!$AC:$AC,0)),1)</f>
        <v>227056.8</v>
      </c>
    </row>
    <row r="46">
      <c r="B46" s="1531" t="str">
        <f>INDEX('REVIEW - Complete Role Mapping'!$B:$B,301)</f>
        <v>Rihan Schalkwyk</v>
      </c>
      <c r="C46" s="1531" t="str">
        <f>INDEX('REVIEW - Complete Role Mapping'!$C:$C,301)</f>
        <v>Senior Business Analyst</v>
      </c>
      <c r="D46" s="1531" t="str">
        <f>INDEX('REVIEW - Complete Role Mapping'!$AK:$AK,301)</f>
        <v>Filled</v>
      </c>
      <c r="E46" s="1548" t="inlineStr">
        <is>
          <t>Filled</t>
        </is>
      </c>
      <c r="F46" s="1770">
        <f>INDEX('REVIEW - Complete Role Mapping'!$AA:$AA,301)</f>
        <v>249124.35</v>
      </c>
      <c r="G46" s="1770">
        <f>$F46*IFERROR(INDEX(Lists!$AD:$AD,MATCH($E46,Lists!$AC:$AC,0)),1)</f>
        <v>249124.35</v>
      </c>
    </row>
    <row r="47">
      <c r="B47" s="1531" t="str">
        <f>INDEX('REVIEW - Complete Role Mapping'!$B:$B,309)</f>
        <v>Sanjay Tikoo</v>
      </c>
      <c r="C47" s="1531" t="str">
        <f>INDEX('REVIEW - Complete Role Mapping'!$C:$C,309)</f>
        <v>Principal, Data Architecture &amp; Governance</v>
      </c>
      <c r="D47" s="1531" t="str">
        <f>INDEX('REVIEW - Complete Role Mapping'!$AK:$AK,309)</f>
        <v>Filled</v>
      </c>
      <c r="E47" s="1548" t="inlineStr">
        <is>
          <t>Filled</t>
        </is>
      </c>
      <c r="F47" s="1770">
        <f>INDEX('REVIEW - Complete Role Mapping'!$AA:$AA,309)</f>
        <v>389125</v>
      </c>
      <c r="G47" s="1770">
        <f>$F47*IFERROR(INDEX(Lists!$AD:$AD,MATCH($E47,Lists!$AC:$AC,0)),1)</f>
        <v>389125</v>
      </c>
    </row>
    <row r="48">
      <c r="B48" s="1531" t="str">
        <f>INDEX('REVIEW - Complete Role Mapping'!$B:$B,313)</f>
        <v>Vacant</v>
      </c>
      <c r="C48" s="1531" t="str">
        <f>INDEX('REVIEW - Complete Role Mapping'!$C:$C,313)</f>
        <v>Service Transition Lead</v>
      </c>
      <c r="D48" s="1531" t="str">
        <f>INDEX('REVIEW - Complete Role Mapping'!$AK:$AK,313)</f>
        <v>Vacant</v>
      </c>
      <c r="E48" s="1548" t="inlineStr">
        <is>
          <t>Hire</t>
        </is>
      </c>
      <c r="F48" s="1770">
        <f>INDEX('REVIEW - Complete Role Mapping'!$AA:$AA,313)</f>
        <v>202853.25</v>
      </c>
      <c r="G48" s="1770">
        <f>$F48*IFERROR(INDEX(Lists!$AD:$AD,MATCH($E48,Lists!$AC:$AC,0)),1)</f>
        <v>202853.25</v>
      </c>
    </row>
    <row r="49">
      <c r="B49" s="1531" t="str">
        <f>INDEX('REVIEW - Complete Role Mapping'!$B:$B,321)</f>
        <v>Vacant</v>
      </c>
      <c r="C49" s="1531" t="str">
        <f>INDEX('REVIEW - Complete Role Mapping'!$C:$C,321)</f>
        <v>Data Governance Lead</v>
      </c>
      <c r="D49" s="1531" t="str">
        <f>INDEX('REVIEW - Complete Role Mapping'!$AK:$AK,321)</f>
        <v>Vacant</v>
      </c>
      <c r="E49" s="1548" t="inlineStr">
        <is>
          <t>Hire</t>
        </is>
      </c>
      <c r="F49" s="1770">
        <f>INDEX('REVIEW - Complete Role Mapping'!$AA:$AA,321)</f>
        <v>389606.1</v>
      </c>
      <c r="G49" s="1770">
        <f>$F49*IFERROR(INDEX(Lists!$AD:$AD,MATCH($E49,Lists!$AC:$AC,0)),1)</f>
        <v>389606.1</v>
      </c>
    </row>
    <row r="50">
      <c r="B50" s="1530" t="inlineStr">
        <is>
          <t>Leadership</t>
        </is>
      </c>
      <c r="C50" s="1530" t="str">
        <f>COUNTA($B$51:$B$54)&amp;IF(COUNTA($B$51:$B$54)=1," role"," roles")</f>
        <v>4 roles</v>
      </c>
      <c r="D50" s="1530" t="n"/>
      <c r="E50" s="1530" t="n"/>
      <c r="F50" s="1786">
        <f>SUM(F51:F54)</f>
        <v>1223981.8</v>
      </c>
      <c r="G50" s="1786">
        <f>SUM(G51:G54)</f>
        <v>1223981.8</v>
      </c>
    </row>
    <row r="51">
      <c r="B51" s="1531" t="str">
        <f>INDEX('REVIEW - Complete Role Mapping'!$B:$B,287)</f>
        <v>Joel Vijayakumar</v>
      </c>
      <c r="C51" s="1531" t="str">
        <f>INDEX('REVIEW - Complete Role Mapping'!$C:$C,287)</f>
        <v>Delivery Manager, Strategy, Architecture &amp; Data</v>
      </c>
      <c r="D51" s="1531" t="str">
        <f>INDEX('REVIEW - Complete Role Mapping'!$AK:$AK,287)</f>
        <v>Filled</v>
      </c>
      <c r="E51" s="1548" t="inlineStr">
        <is>
          <t>Filled</t>
        </is>
      </c>
      <c r="F51" s="1770">
        <f>INDEX('REVIEW - Complete Role Mapping'!$AA:$AA,287)</f>
        <v>369088.6</v>
      </c>
      <c r="G51" s="1770">
        <f>$F51*IFERROR(INDEX(Lists!$AD:$AD,MATCH($E51,Lists!$AC:$AC,0)),1)</f>
        <v>369088.6</v>
      </c>
    </row>
    <row r="52">
      <c r="B52" s="1531" t="str">
        <f>INDEX('REVIEW - Complete Role Mapping'!$B:$B,322)</f>
        <v>Vacant</v>
      </c>
      <c r="C52" s="1531" t="str">
        <f>INDEX('REVIEW - Complete Role Mapping'!$C:$C,322)</f>
        <v>Head of Architecture</v>
      </c>
      <c r="D52" s="1531" t="str">
        <f>INDEX('REVIEW - Complete Role Mapping'!$AK:$AK,322)</f>
        <v>Vacant</v>
      </c>
      <c r="E52" s="1548" t="inlineStr">
        <is>
          <t>Hire</t>
        </is>
      </c>
      <c r="F52" s="1770">
        <f>INDEX('REVIEW - Complete Role Mapping'!$AA:$AA,322)</f>
        <v>334972.95</v>
      </c>
      <c r="G52" s="1770">
        <f>$F52*IFERROR(INDEX(Lists!$AD:$AD,MATCH($E52,Lists!$AC:$AC,0)),1)</f>
        <v>334972.95</v>
      </c>
    </row>
    <row r="53">
      <c r="B53" s="1531" t="str">
        <f>INDEX('REVIEW - Complete Role Mapping'!$B:$B,323)</f>
        <v>Vacant</v>
      </c>
      <c r="C53" s="1531" t="str">
        <f>INDEX('REVIEW - Complete Role Mapping'!$C:$C,323)</f>
        <v>Head of Technology Strategy &amp; AI Capability</v>
      </c>
      <c r="D53" s="1531" t="str">
        <f>INDEX('REVIEW - Complete Role Mapping'!$AK:$AK,323)</f>
        <v>Vacant</v>
      </c>
      <c r="E53" s="1548" t="inlineStr">
        <is>
          <t>Hire</t>
        </is>
      </c>
      <c r="F53" s="1770">
        <f>INDEX('REVIEW - Complete Role Mapping'!$AA:$AA,323)</f>
        <v>333020.25</v>
      </c>
      <c r="G53" s="1770">
        <f>$F53*IFERROR(INDEX(Lists!$AD:$AD,MATCH($E53,Lists!$AC:$AC,0)),1)</f>
        <v>333020.25</v>
      </c>
    </row>
    <row r="54">
      <c r="B54" s="1531" t="str">
        <f>INDEX('REVIEW - Complete Role Mapping'!$B:$B,324)</f>
        <v>Vacant</v>
      </c>
      <c r="C54" s="1531" t="str">
        <f>INDEX('REVIEW - Complete Role Mapping'!$C:$C,324)</f>
        <v>Senior Communications Advisor</v>
      </c>
      <c r="D54" s="1531" t="str">
        <f>INDEX('REVIEW - Complete Role Mapping'!$AK:$AK,324)</f>
        <v>Vacant</v>
      </c>
      <c r="E54" s="1548" t="inlineStr">
        <is>
          <t>Hire</t>
        </is>
      </c>
      <c r="F54" s="1770">
        <f>INDEX('REVIEW - Complete Role Mapping'!$AA:$AA,324)</f>
        <v>186900</v>
      </c>
      <c r="G54" s="1770">
        <f>$F54*IFERROR(INDEX(Lists!$AD:$AD,MATCH($E54,Lists!$AC:$AC,0)),1)</f>
        <v>186900</v>
      </c>
    </row>
    <row r="55">
      <c r="B55" s="1530" t="inlineStr">
        <is>
          <t>Technology Strategy &amp; AI Capability</t>
        </is>
      </c>
      <c r="C55" s="1530" t="str">
        <f>COUNTA($B$56:$B$60)&amp;IF(COUNTA($B$56:$B$60)=1," role"," roles")</f>
        <v>5 roles</v>
      </c>
      <c r="D55" s="1530" t="n"/>
      <c r="E55" s="1530" t="n"/>
      <c r="F55" s="1786">
        <f>SUM(F56:F60)</f>
        <v>1069888.75</v>
      </c>
      <c r="G55" s="1786">
        <f>SUM(G56:G60)</f>
        <v>1069888.75</v>
      </c>
    </row>
    <row r="56">
      <c r="B56" s="1531" t="str">
        <f>INDEX('REVIEW - Complete Role Mapping'!$B:$B,306)</f>
        <v>Roger Blazey</v>
      </c>
      <c r="C56" s="1531" t="str">
        <f>INDEX('REVIEW - Complete Role Mapping'!$C:$C,306)</f>
        <v>Architect (AI Innovation)</v>
      </c>
      <c r="D56" s="1531" t="str">
        <f>INDEX('REVIEW - Complete Role Mapping'!$AK:$AK,306)</f>
        <v>Filled</v>
      </c>
      <c r="E56" s="1548" t="inlineStr">
        <is>
          <t>Filled</t>
        </is>
      </c>
      <c r="F56" s="1770">
        <f>INDEX('REVIEW - Complete Role Mapping'!$AA:$AA,306)</f>
        <v>250245.75</v>
      </c>
      <c r="G56" s="1770">
        <f>$F56*IFERROR(INDEX(Lists!$AD:$AD,MATCH($E56,Lists!$AC:$AC,0)),1)</f>
        <v>250245.75</v>
      </c>
    </row>
    <row r="57">
      <c r="B57" s="1531" t="str">
        <f>INDEX('REVIEW - Complete Role Mapping'!$B:$B,325)</f>
        <v>Vacant</v>
      </c>
      <c r="C57" s="1531" t="str">
        <f>INDEX('REVIEW - Complete Role Mapping'!$C:$C,325)</f>
        <v>AI Capability Lead</v>
      </c>
      <c r="D57" s="1531" t="str">
        <f>INDEX('REVIEW - Complete Role Mapping'!$AK:$AK,325)</f>
        <v>Vacant</v>
      </c>
      <c r="E57" s="1548" t="inlineStr">
        <is>
          <t>Hire</t>
        </is>
      </c>
      <c r="F57" s="1770">
        <f>INDEX('REVIEW - Complete Role Mapping'!$AA:$AA,325)</f>
        <v>275810.25</v>
      </c>
      <c r="G57" s="1770">
        <f>$F57*IFERROR(INDEX(Lists!$AD:$AD,MATCH($E57,Lists!$AC:$AC,0)),1)</f>
        <v>275810.25</v>
      </c>
    </row>
    <row r="58">
      <c r="B58" s="1531" t="str">
        <f>INDEX('REVIEW - Complete Role Mapping'!$B:$B,326)</f>
        <v>Vacant</v>
      </c>
      <c r="C58" s="1531" t="str">
        <f>INDEX('REVIEW - Complete Role Mapping'!$C:$C,326)</f>
        <v>Enterprise Process Lead</v>
      </c>
      <c r="D58" s="1531" t="str">
        <f>INDEX('REVIEW - Complete Role Mapping'!$AK:$AK,326)</f>
        <v>Vacant</v>
      </c>
      <c r="E58" s="1548" t="inlineStr">
        <is>
          <t>Hire</t>
        </is>
      </c>
      <c r="F58" s="1770">
        <f>INDEX('REVIEW - Complete Role Mapping'!$AA:$AA,326)</f>
        <v>202853.25</v>
      </c>
      <c r="G58" s="1770">
        <f>$F58*IFERROR(INDEX(Lists!$AD:$AD,MATCH($E58,Lists!$AC:$AC,0)),1)</f>
        <v>202853.25</v>
      </c>
    </row>
    <row r="59">
      <c r="B59" s="1531" t="str">
        <f>INDEX('REVIEW - Complete Role Mapping'!$B:$B,327)</f>
        <v>Vacant</v>
      </c>
      <c r="C59" s="1531" t="str">
        <f>INDEX('REVIEW - Complete Role Mapping'!$C:$C,327)</f>
        <v>EnterpriseProcess Analyst</v>
      </c>
      <c r="D59" s="1531" t="str">
        <f>INDEX('REVIEW - Complete Role Mapping'!$AK:$AK,327)</f>
        <v>Vacant</v>
      </c>
      <c r="E59" s="1548" t="inlineStr">
        <is>
          <t>Hire</t>
        </is>
      </c>
      <c r="F59" s="1770">
        <f>INDEX('REVIEW - Complete Role Mapping'!$AA:$AA,327)</f>
        <v>170489.75</v>
      </c>
      <c r="G59" s="1770">
        <f>$F59*IFERROR(INDEX(Lists!$AD:$AD,MATCH($E59,Lists!$AC:$AC,0)),1)</f>
        <v>170489.75</v>
      </c>
    </row>
    <row r="60">
      <c r="B60" s="1531" t="str">
        <f>INDEX('REVIEW - Complete Role Mapping'!$B:$B,328)</f>
        <v>Vacant</v>
      </c>
      <c r="C60" s="1531" t="str">
        <f>INDEX('REVIEW - Complete Role Mapping'!$C:$C,328)</f>
        <v>Strategy Analyst</v>
      </c>
      <c r="D60" s="1531" t="str">
        <f>INDEX('REVIEW - Complete Role Mapping'!$AK:$AK,328)</f>
        <v>Vacant</v>
      </c>
      <c r="E60" s="1548" t="inlineStr">
        <is>
          <t>Hire</t>
        </is>
      </c>
      <c r="F60" s="1770">
        <f>INDEX('REVIEW - Complete Role Mapping'!$AA:$AA,328)</f>
        <v>170489.75</v>
      </c>
      <c r="G60" s="1770">
        <f>$F60*IFERROR(INDEX(Lists!$AD:$AD,MATCH($E60,Lists!$AC:$AC,0)),1)</f>
        <v>170489.75</v>
      </c>
    </row>
  </sheetData>
  <dataValidations count="1">
    <dataValidation sqref="E31 E32 E33 E34 E35 E36 E37 E39 E41 E42 E43 E44 E45 E46 E47 E48 E49 E51 E52 E53 E54 E56 E57 E58 E59 E60"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36.xml><?xml version="1.0" encoding="utf-8"?>
<worksheet xmlns="http://schemas.openxmlformats.org/spreadsheetml/2006/main">
  <sheetPr filterMode="0">
    <tabColor rgb="FFBF8F00"/>
    <outlinePr summaryBelow="1" summaryRight="1"/>
    <pageSetUpPr fitToPage="1"/>
  </sheetPr>
  <dimension ref="B2:Q4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election pane="topRight" activeCell="C1" activeCellId="0" sqref="C1"/>
      <selection pane="bottomLeft" activeCell="A7" activeCellId="0" sqref="A7"/>
      <selection pane="bottomRight" activeCell="L19" activeCellId="0" sqref="L19"/>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EGI - working copy</t>
        </is>
      </c>
    </row>
    <row r="3">
      <c r="B3" s="1525" t="inlineStr">
        <is>
          <t>Portfolio</t>
        </is>
      </c>
      <c r="C3" s="1526" t="inlineStr">
        <is>
          <t>EGI</t>
        </is>
      </c>
    </row>
    <row r="4" ht="19" customHeight="1" s="866">
      <c r="B4" s="1527" t="inlineStr">
        <is>
          <t>EGI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None</t>
        </is>
      </c>
      <c r="C8" s="1531" t="inlineStr">
        <is>
          <t>None - no squad here is priced by an archetype</t>
        </is>
      </c>
      <c r="D8" s="1539" t="str">
        <f>"-"</f>
        <v>-</v>
      </c>
      <c r="E8" s="1539" t="str">
        <f>"-"</f>
        <v>-</v>
      </c>
      <c r="F8" s="1539" t="str">
        <f>"-"</f>
        <v>-</v>
      </c>
      <c r="G8" s="1539" t="str">
        <f>"-"</f>
        <v>-</v>
      </c>
      <c r="H8" s="1539" t="str">
        <f>"-"</f>
        <v>-</v>
      </c>
      <c r="I8" s="1539" t="str">
        <f>"-"</f>
        <v>-</v>
      </c>
      <c r="J8" s="1539" t="str">
        <f>"-"</f>
        <v>-</v>
      </c>
      <c r="K8" s="1539" t="str">
        <f>"-"</f>
        <v>-</v>
      </c>
      <c r="L8" s="1539" t="str">
        <f>"-"</f>
        <v>-</v>
      </c>
      <c r="M8" s="1539" t="str">
        <f>"-"</f>
        <v>-</v>
      </c>
      <c r="N8" s="1539" t="str">
        <f>"-"</f>
        <v>-</v>
      </c>
      <c r="O8" s="1539" t="str">
        <f>"-"</f>
        <v>-</v>
      </c>
      <c r="P8" s="1539" t="str">
        <f>"-"</f>
        <v>-</v>
      </c>
      <c r="Q8" s="1539" t="str">
        <f>"-"</f>
        <v>-</v>
      </c>
    </row>
    <row r="9">
      <c r="B9" s="1535" t="inlineStr">
        <is>
          <t>Squads priced by an archetype total</t>
        </is>
      </c>
      <c r="C9" s="1535" t="n"/>
      <c r="D9" s="1535" t="n"/>
      <c r="E9" s="1784">
        <f>SUM(E8:E8)</f>
        <v>0</v>
      </c>
      <c r="F9" s="1772">
        <f>SUM(F8:F8)</f>
        <v>0</v>
      </c>
      <c r="G9" s="1772">
        <f>SUM(G8:G8)</f>
        <v>0</v>
      </c>
      <c r="H9" s="1772">
        <f>SUM(H8:H8)</f>
        <v>0</v>
      </c>
      <c r="I9" s="1772">
        <f>SUM(I8:I8)</f>
        <v>0</v>
      </c>
      <c r="J9" s="1772">
        <f>SUM(J8:J8)</f>
        <v>0</v>
      </c>
      <c r="K9" s="1772">
        <f>SUM(K8:K8)</f>
        <v>0</v>
      </c>
      <c r="L9" s="1772">
        <f>SUM(L8:L8)</f>
        <v>0</v>
      </c>
      <c r="M9" s="1771" t="str">
        <f>IF(COUNT(M8:M8)=1,SUM(M8:M8),"-")</f>
        <v>-</v>
      </c>
      <c r="N9" s="1771">
        <f>SUM(N8:N8)</f>
        <v>0</v>
      </c>
      <c r="O9" s="1771" t="str">
        <f>IF(ISNUMBER($M9),ROUND($N9-$M9,6),"-")</f>
        <v>-</v>
      </c>
      <c r="P9" s="1771">
        <f>SUM(P8:P8)</f>
        <v>0</v>
      </c>
      <c r="Q9" s="1771" t="str">
        <f>IF(ISNUMBER($M9),ROUND($P9-$M9,6),"-")</f>
        <v>-</v>
      </c>
    </row>
    <row r="10">
      <c r="B10" s="1530" t="inlineStr">
        <is>
          <t>Directly funded programmes and platforms</t>
        </is>
      </c>
      <c r="C10" s="1530" t="n"/>
      <c r="D10" s="1530" t="n"/>
      <c r="E10" s="1530" t="n"/>
      <c r="F10" s="1530" t="n"/>
      <c r="G10" s="1530" t="n"/>
      <c r="H10" s="1530" t="n"/>
      <c r="I10" s="1530" t="n"/>
      <c r="J10" s="1530" t="n"/>
      <c r="K10" s="1530" t="n"/>
      <c r="L10" s="1530" t="n"/>
      <c r="M10" s="1530" t="n"/>
      <c r="N10" s="1530" t="n"/>
      <c r="O10" s="1530" t="n"/>
      <c r="P10" s="1530" t="n"/>
      <c r="Q10" s="1530" t="n"/>
    </row>
    <row r="11">
      <c r="B11" s="1531" t="inlineStr">
        <is>
          <t>EGI</t>
        </is>
      </c>
      <c r="C11" s="1531" t="str">
        <f>"-"</f>
        <v>-</v>
      </c>
      <c r="D11" s="1531" t="str">
        <f>"-"</f>
        <v>-</v>
      </c>
      <c r="E11" s="1540" t="str">
        <f>"-"</f>
        <v>-</v>
      </c>
      <c r="F11" s="1770">
        <f>COUNTA($B$27:$B$43)</f>
        <v>17</v>
      </c>
      <c r="G11" s="1770">
        <f>COUNTIFS($D$27:$D$43,"Filled")</f>
        <v>17</v>
      </c>
      <c r="H11" s="1770">
        <f>COUNTIFS($D$27:$D$43,"Vacant")</f>
        <v>0</v>
      </c>
      <c r="I11" s="1770">
        <f>COUNTIFS($D$27:$D$43,"Vacant",$E$27:$E$43,"Hire")</f>
        <v>0</v>
      </c>
      <c r="J11" s="1770">
        <f>COUNTIFS($E$27:$E$43,"Offshore")</f>
        <v>0</v>
      </c>
      <c r="K11" s="1770">
        <f>COUNTIFS($E$27:$E$43,"Hold")</f>
        <v>0</v>
      </c>
      <c r="L11" s="1770">
        <f>$F11-$K11</f>
        <v>17</v>
      </c>
      <c r="M11" s="1540" t="str">
        <f>"-"</f>
        <v>-</v>
      </c>
      <c r="N11" s="1769">
        <f>SUMIFS('REVIEW - Complete Role Mapping'!$AA$2:$AA$528,'REVIEW - Complete Role Mapping'!$AJ$2:$AJ$528,$C$3,'REVIEW - Complete Role Mapping'!$AT$2:$AT$528,$B11)/1000000</f>
        <v>4.94341935</v>
      </c>
      <c r="O11" s="1540" t="str">
        <f>"-"</f>
        <v>-</v>
      </c>
      <c r="P11" s="1769">
        <f>SUM($G$27:$G$43)/1000000</f>
        <v>4.94341935</v>
      </c>
      <c r="Q11" s="1540" t="str">
        <f>"-"</f>
        <v>-</v>
      </c>
    </row>
    <row r="12">
      <c r="B12" s="1535" t="inlineStr">
        <is>
          <t>Directly funded programmes and platforms total</t>
        </is>
      </c>
      <c r="C12" s="1535" t="n"/>
      <c r="D12" s="1535" t="n"/>
      <c r="E12" s="1784">
        <f>SUM(E11:E11)</f>
        <v>0</v>
      </c>
      <c r="F12" s="1772">
        <f>SUM(F11:F11)</f>
        <v>17</v>
      </c>
      <c r="G12" s="1772">
        <f>SUM(G11:G11)</f>
        <v>17</v>
      </c>
      <c r="H12" s="1772">
        <f>SUM(H11:H11)</f>
        <v>0</v>
      </c>
      <c r="I12" s="1772">
        <f>SUM(I11:I11)</f>
        <v>0</v>
      </c>
      <c r="J12" s="1772">
        <f>SUM(J11:J11)</f>
        <v>0</v>
      </c>
      <c r="K12" s="1772">
        <f>SUM(K11:K11)</f>
        <v>0</v>
      </c>
      <c r="L12" s="1772">
        <f>SUM(L11:L11)</f>
        <v>17</v>
      </c>
      <c r="M12" s="1771" t="str">
        <f>IF(COUNT(M11:M11)=1,SUM(M11:M11),"-")</f>
        <v>-</v>
      </c>
      <c r="N12" s="1771">
        <f>SUM(N11:N11)</f>
        <v>4.94341935</v>
      </c>
      <c r="O12" s="1771" t="str">
        <f>IF(ISNUMBER($M12),ROUND($N12-$M12,6),"-")</f>
        <v>-</v>
      </c>
      <c r="P12" s="1771">
        <f>SUM(P11:P11)</f>
        <v>4.94341935</v>
      </c>
      <c r="Q12" s="1771" t="str">
        <f>IF(ISNUMBER($M12),ROUND($P12-$M12,6),"-")</f>
        <v>-</v>
      </c>
    </row>
    <row r="13">
      <c r="B13" s="1530" t="inlineStr">
        <is>
          <t>Groups with no archetype and no funded figure</t>
        </is>
      </c>
      <c r="C13" s="1530" t="n"/>
      <c r="D13" s="1530" t="n"/>
      <c r="E13" s="1530" t="n"/>
      <c r="F13" s="1530" t="n"/>
      <c r="G13" s="1530" t="n"/>
      <c r="H13" s="1530" t="n"/>
      <c r="I13" s="1530" t="n"/>
      <c r="J13" s="1530" t="n"/>
      <c r="K13" s="1530" t="n"/>
      <c r="L13" s="1530" t="n"/>
      <c r="M13" s="1530" t="n"/>
      <c r="N13" s="1530" t="n"/>
      <c r="O13" s="1530" t="n"/>
      <c r="P13" s="1530" t="n"/>
      <c r="Q13" s="1530" t="n"/>
    </row>
    <row r="14">
      <c r="B14" s="1531" t="inlineStr">
        <is>
          <t>None</t>
        </is>
      </c>
      <c r="C14" s="1531" t="inlineStr">
        <is>
          <t>None - every group here has a figure to compare</t>
        </is>
      </c>
      <c r="D14" s="1539" t="str">
        <f>"-"</f>
        <v>-</v>
      </c>
      <c r="E14" s="1539" t="str">
        <f>"-"</f>
        <v>-</v>
      </c>
      <c r="F14" s="1539" t="str">
        <f>"-"</f>
        <v>-</v>
      </c>
      <c r="G14" s="1539" t="str">
        <f>"-"</f>
        <v>-</v>
      </c>
      <c r="H14" s="1539" t="str">
        <f>"-"</f>
        <v>-</v>
      </c>
      <c r="I14" s="1539" t="str">
        <f>"-"</f>
        <v>-</v>
      </c>
      <c r="J14" s="1539" t="str">
        <f>"-"</f>
        <v>-</v>
      </c>
      <c r="K14" s="1539" t="str">
        <f>"-"</f>
        <v>-</v>
      </c>
      <c r="L14" s="1539" t="str">
        <f>"-"</f>
        <v>-</v>
      </c>
      <c r="M14" s="1539" t="str">
        <f>"-"</f>
        <v>-</v>
      </c>
      <c r="N14" s="1539" t="str">
        <f>"-"</f>
        <v>-</v>
      </c>
      <c r="O14" s="1539" t="str">
        <f>"-"</f>
        <v>-</v>
      </c>
      <c r="P14" s="1539" t="str">
        <f>"-"</f>
        <v>-</v>
      </c>
      <c r="Q14" s="1539" t="str">
        <f>"-"</f>
        <v>-</v>
      </c>
    </row>
    <row r="15">
      <c r="B15" s="1535" t="inlineStr">
        <is>
          <t>Groups with no archetype and no funded figure total</t>
        </is>
      </c>
      <c r="C15" s="1535" t="n"/>
      <c r="D15" s="1535" t="n"/>
      <c r="E15" s="1784">
        <f>SUM(E14:E14)</f>
        <v>0</v>
      </c>
      <c r="F15" s="1772">
        <f>SUM(F14:F14)</f>
        <v>0</v>
      </c>
      <c r="G15" s="1772">
        <f>SUM(G14:G14)</f>
        <v>0</v>
      </c>
      <c r="H15" s="1772">
        <f>SUM(H14:H14)</f>
        <v>0</v>
      </c>
      <c r="I15" s="1772">
        <f>SUM(I14:I14)</f>
        <v>0</v>
      </c>
      <c r="J15" s="1772">
        <f>SUM(J14:J14)</f>
        <v>0</v>
      </c>
      <c r="K15" s="1772">
        <f>SUM(K14:K14)</f>
        <v>0</v>
      </c>
      <c r="L15" s="1772">
        <f>SUM(L14:L14)</f>
        <v>0</v>
      </c>
      <c r="M15" s="1771" t="str">
        <f>IF(COUNT(M14:M14)=1,SUM(M14:M14),"-")</f>
        <v>-</v>
      </c>
      <c r="N15" s="1771">
        <f>SUM(N14:N14)</f>
        <v>0</v>
      </c>
      <c r="O15" s="1771" t="str">
        <f>IF(ISNUMBER($M15),ROUND($N15-$M15,6),"-")</f>
        <v>-</v>
      </c>
      <c r="P15" s="1771">
        <f>SUM(P14:P14)</f>
        <v>0</v>
      </c>
      <c r="Q15" s="1771" t="str">
        <f>IF(ISNUMBER($M15),ROUND($P15-$M15,6),"-")</f>
        <v>-</v>
      </c>
    </row>
    <row r="16">
      <c r="B16" s="1530" t="inlineStr">
        <is>
          <t>Overhead roles</t>
        </is>
      </c>
      <c r="C16" s="1530" t="n"/>
      <c r="D16" s="1530" t="n"/>
      <c r="E16" s="1530" t="n"/>
      <c r="F16" s="1530" t="n"/>
      <c r="G16" s="1530" t="n"/>
      <c r="H16" s="1530" t="n"/>
      <c r="I16" s="1530" t="n"/>
      <c r="J16" s="1530" t="n"/>
      <c r="K16" s="1530" t="n"/>
      <c r="L16" s="1530" t="n"/>
      <c r="M16" s="1530" t="n"/>
      <c r="N16" s="1530" t="n"/>
      <c r="O16" s="1530" t="n"/>
      <c r="P16" s="1530" t="n"/>
      <c r="Q16" s="1530" t="n"/>
    </row>
    <row r="17">
      <c r="B17" s="1531" t="inlineStr">
        <is>
          <t>None</t>
        </is>
      </c>
      <c r="C17" s="1531" t="inlineStr">
        <is>
          <t>None - the COEs carry no overhead</t>
        </is>
      </c>
      <c r="D17" s="1539" t="str">
        <f>"-"</f>
        <v>-</v>
      </c>
      <c r="E17" s="1539" t="str">
        <f>"-"</f>
        <v>-</v>
      </c>
      <c r="F17" s="1539" t="str">
        <f>"-"</f>
        <v>-</v>
      </c>
      <c r="G17" s="1539" t="str">
        <f>"-"</f>
        <v>-</v>
      </c>
      <c r="H17" s="1539" t="str">
        <f>"-"</f>
        <v>-</v>
      </c>
      <c r="I17" s="1539" t="str">
        <f>"-"</f>
        <v>-</v>
      </c>
      <c r="J17" s="1539" t="str">
        <f>"-"</f>
        <v>-</v>
      </c>
      <c r="K17" s="1539" t="str">
        <f>"-"</f>
        <v>-</v>
      </c>
      <c r="L17" s="1539" t="str">
        <f>"-"</f>
        <v>-</v>
      </c>
      <c r="M17" s="1539" t="str">
        <f>"-"</f>
        <v>-</v>
      </c>
      <c r="N17" s="1539" t="str">
        <f>"-"</f>
        <v>-</v>
      </c>
      <c r="O17" s="1539" t="str">
        <f>"-"</f>
        <v>-</v>
      </c>
      <c r="P17" s="1539" t="str">
        <f>"-"</f>
        <v>-</v>
      </c>
      <c r="Q17" s="1539" t="str">
        <f>"-"</f>
        <v>-</v>
      </c>
    </row>
    <row r="18">
      <c r="B18" s="1535" t="inlineStr">
        <is>
          <t>Overhead roles total</t>
        </is>
      </c>
      <c r="C18" s="1535" t="n"/>
      <c r="D18" s="1535" t="n"/>
      <c r="E18" s="1784">
        <f>SUM(E17:E17)</f>
        <v>0</v>
      </c>
      <c r="F18" s="1772">
        <f>SUM(F17:F17)</f>
        <v>0</v>
      </c>
      <c r="G18" s="1772">
        <f>SUM(G17:G17)</f>
        <v>0</v>
      </c>
      <c r="H18" s="1772">
        <f>SUM(H17:H17)</f>
        <v>0</v>
      </c>
      <c r="I18" s="1772">
        <f>SUM(I17:I17)</f>
        <v>0</v>
      </c>
      <c r="J18" s="1772">
        <f>SUM(J17:J17)</f>
        <v>0</v>
      </c>
      <c r="K18" s="1772">
        <f>SUM(K17:K17)</f>
        <v>0</v>
      </c>
      <c r="L18" s="1772">
        <f>SUM(L17:L17)</f>
        <v>0</v>
      </c>
      <c r="M18" s="1771" t="str">
        <f>IF(COUNT(M17:M17)=1,SUM(M17:M17),"-")</f>
        <v>-</v>
      </c>
      <c r="N18" s="1771">
        <f>SUM(N17:N17)</f>
        <v>0</v>
      </c>
      <c r="O18" s="1771" t="str">
        <f>IF(ISNUMBER($M18),ROUND($N18-$M18,6),"-")</f>
        <v>-</v>
      </c>
      <c r="P18" s="1771">
        <f>SUM(P17:P17)</f>
        <v>0</v>
      </c>
      <c r="Q18" s="1771" t="str">
        <f>IF(ISNUMBER($M18),ROUND($P18-$M18,6),"-")</f>
        <v>-</v>
      </c>
    </row>
    <row r="19">
      <c r="B19" s="1541" t="inlineStr">
        <is>
          <t>Total portfolio</t>
        </is>
      </c>
      <c r="C19" s="1541" t="n"/>
      <c r="D19" s="1541" t="n"/>
      <c r="E19" s="1785">
        <f>N(E9)+N(E12)+N(E15)+N(E18)</f>
        <v>0</v>
      </c>
      <c r="F19" s="1774">
        <f>N(F9)+N(F12)+N(F15)+N(F18)</f>
        <v>17</v>
      </c>
      <c r="G19" s="1774">
        <f>N(G9)+N(G12)+N(G15)+N(G18)</f>
        <v>17</v>
      </c>
      <c r="H19" s="1774">
        <f>N(H9)+N(H12)+N(H15)+N(H18)</f>
        <v>0</v>
      </c>
      <c r="I19" s="1774">
        <f>N(I9)+N(I12)+N(I15)+N(I18)</f>
        <v>0</v>
      </c>
      <c r="J19" s="1774">
        <f>N(J9)+N(J12)+N(J15)+N(J18)</f>
        <v>0</v>
      </c>
      <c r="K19" s="1774">
        <f>N(K9)+N(K12)+N(K15)+N(K18)</f>
        <v>0</v>
      </c>
      <c r="L19" s="1774">
        <f>N(L9)+N(L12)+N(L15)+N(L18)</f>
        <v>17</v>
      </c>
      <c r="M19" s="1773" t="str">
        <f>"-"</f>
        <v>-</v>
      </c>
      <c r="N19" s="1773">
        <f>N(N9)+N(N12)+N(N15)+N(N18)</f>
        <v>4.94341935</v>
      </c>
      <c r="O19" s="1773" t="str">
        <f>"-"</f>
        <v>-</v>
      </c>
      <c r="P19" s="1773">
        <f>N(P9)+N(P12)+N(P15)+N(P18)</f>
        <v>4.94341935</v>
      </c>
      <c r="Q19" s="1773" t="str">
        <f>"-"</f>
        <v>-</v>
      </c>
    </row>
    <row r="21">
      <c r="B21" s="1526" t="inlineStr">
        <is>
          <t>Control - roles against the ledger, must be 0</t>
        </is>
      </c>
      <c r="F21" s="1778">
        <f>$F$19-COUNTIFS('REVIEW - Complete Role Mapping'!$AJ$2:$AJ$528,$C$3)</f>
        <v>0</v>
      </c>
    </row>
    <row r="22">
      <c r="B22" s="1526" t="inlineStr">
        <is>
          <t>Control - cost against the ledger ($m), must be 0</t>
        </is>
      </c>
      <c r="N22" s="1779">
        <f>ROUND($N$19-SUMIFS('REVIEW - Complete Role Mapping'!$AA$2:$AA$528,'REVIEW - Complete Role Mapping'!$AJ$2:$AJ$528,$C$3)/1000000,6)</f>
        <v>0</v>
      </c>
    </row>
    <row r="24" ht="19" customHeight="1" s="866">
      <c r="B24" s="1527" t="inlineStr">
        <is>
          <t>EGI FTE</t>
        </is>
      </c>
      <c r="C24" s="1528" t="n"/>
      <c r="D24" s="1528" t="n"/>
      <c r="E24" s="1528" t="n"/>
      <c r="F24" s="1528" t="n"/>
      <c r="G24" s="1528" t="n"/>
    </row>
    <row r="25" ht="34" customHeight="1" s="866">
      <c r="B25" s="1529" t="inlineStr">
        <is>
          <t>Name</t>
        </is>
      </c>
      <c r="C25" s="1529" t="inlineStr">
        <is>
          <t>Role</t>
        </is>
      </c>
      <c r="D25" s="1529" t="inlineStr">
        <is>
          <t>Status</t>
        </is>
      </c>
      <c r="E25" s="1529" t="inlineStr">
        <is>
          <t>Vacancy lever</t>
        </is>
      </c>
      <c r="F25" s="1529" t="inlineStr">
        <is>
          <t>Role cost ($)</t>
        </is>
      </c>
      <c r="G25" s="1529" t="inlineStr">
        <is>
          <t>Cost after decision ($)</t>
        </is>
      </c>
    </row>
    <row r="26">
      <c r="B26" s="1530" t="inlineStr">
        <is>
          <t>EGI</t>
        </is>
      </c>
      <c r="C26" s="1530" t="str">
        <f>COUNTA($B$27:$B$43)&amp;IF(COUNTA($B$27:$B$43)=1," role"," roles")</f>
        <v>17 roles</v>
      </c>
      <c r="D26" s="1530" t="n"/>
      <c r="E26" s="1530" t="n"/>
      <c r="F26" s="1786">
        <f>SUM(F27:F43)</f>
        <v>4943419.35</v>
      </c>
      <c r="G26" s="1786">
        <f>SUM(G27:G43)</f>
        <v>4943419.35</v>
      </c>
    </row>
    <row r="27">
      <c r="B27" s="1531" t="str">
        <f>INDEX('REVIEW - Complete Role Mapping'!$B:$B,239)</f>
        <v>Ahmed Yehya</v>
      </c>
      <c r="C27" s="1531" t="str">
        <f>INDEX('REVIEW - Complete Role Mapping'!$C:$C,239)</f>
        <v>TDD Strategic Delivery</v>
      </c>
      <c r="D27" s="1531" t="str">
        <f>INDEX('REVIEW - Complete Role Mapping'!$AK:$AK,239)</f>
        <v>Filled</v>
      </c>
      <c r="E27" s="1548" t="inlineStr">
        <is>
          <t>Filled</t>
        </is>
      </c>
      <c r="F27" s="1770">
        <f>INDEX('REVIEW - Complete Role Mapping'!$AA:$AA,239)</f>
        <v>277500</v>
      </c>
      <c r="G27" s="1770">
        <f>$F27*IFERROR(INDEX(Lists!$AD:$AD,MATCH($E27,Lists!$AC:$AC,0)),1)</f>
        <v>277500</v>
      </c>
    </row>
    <row r="28">
      <c r="B28" s="1531" t="str">
        <f>INDEX('REVIEW - Complete Role Mapping'!$B:$B,240)</f>
        <v>Anthony Huynh</v>
      </c>
      <c r="C28" s="1531" t="str">
        <f>INDEX('REVIEW - Complete Role Mapping'!$C:$C,240)</f>
        <v>Strategic Delivery Consultant</v>
      </c>
      <c r="D28" s="1531" t="str">
        <f>INDEX('REVIEW - Complete Role Mapping'!$AK:$AK,240)</f>
        <v>Filled</v>
      </c>
      <c r="E28" s="1548" t="inlineStr">
        <is>
          <t>Filled</t>
        </is>
      </c>
      <c r="F28" s="1770">
        <f>INDEX('REVIEW - Complete Role Mapping'!$AA:$AA,240)</f>
        <v>301254</v>
      </c>
      <c r="G28" s="1770">
        <f>$F28*IFERROR(INDEX(Lists!$AD:$AD,MATCH($E28,Lists!$AC:$AC,0)),1)</f>
        <v>301254</v>
      </c>
    </row>
    <row r="29">
      <c r="B29" s="1531" t="str">
        <f>INDEX('REVIEW - Complete Role Mapping'!$B:$B,241)</f>
        <v>Areum Kim Lee</v>
      </c>
      <c r="C29" s="1531" t="str">
        <f>INDEX('REVIEW - Complete Role Mapping'!$C:$C,241)</f>
        <v>Program Manager (PEP13-EGI-UKG)</v>
      </c>
      <c r="D29" s="1531" t="str">
        <f>INDEX('REVIEW - Complete Role Mapping'!$AK:$AK,241)</f>
        <v>Filled</v>
      </c>
      <c r="E29" s="1548" t="inlineStr">
        <is>
          <t>Filled</t>
        </is>
      </c>
      <c r="F29" s="1770">
        <f>INDEX('REVIEW - Complete Role Mapping'!$AA:$AA,241)</f>
        <v>343158.72</v>
      </c>
      <c r="G29" s="1770">
        <f>$F29*IFERROR(INDEX(Lists!$AD:$AD,MATCH($E29,Lists!$AC:$AC,0)),1)</f>
        <v>343158.72</v>
      </c>
    </row>
    <row r="30">
      <c r="B30" s="1531" t="str">
        <f>INDEX('REVIEW - Complete Role Mapping'!$B:$B,242)</f>
        <v>Ernesto Pereira</v>
      </c>
      <c r="C30" s="1531" t="str">
        <f>INDEX('REVIEW - Complete Role Mapping'!$C:$C,242)</f>
        <v>Project Manger</v>
      </c>
      <c r="D30" s="1531" t="str">
        <f>INDEX('REVIEW - Complete Role Mapping'!$AK:$AK,242)</f>
        <v>Filled</v>
      </c>
      <c r="E30" s="1548" t="inlineStr">
        <is>
          <t>Filled</t>
        </is>
      </c>
      <c r="F30" s="1770">
        <f>INDEX('REVIEW - Complete Role Mapping'!$AA:$AA,242)</f>
        <v>222000</v>
      </c>
      <c r="G30" s="1770">
        <f>$F30*IFERROR(INDEX(Lists!$AD:$AD,MATCH($E30,Lists!$AC:$AC,0)),1)</f>
        <v>222000</v>
      </c>
    </row>
    <row r="31">
      <c r="B31" s="1531" t="str">
        <f>INDEX('REVIEW - Complete Role Mapping'!$B:$B,243)</f>
        <v>Harish Dasari</v>
      </c>
      <c r="C31" s="1531" t="str">
        <f>INDEX('REVIEW - Complete Role Mapping'!$C:$C,243)</f>
        <v>Business Analyst (SAP Payroll)</v>
      </c>
      <c r="D31" s="1531" t="str">
        <f>INDEX('REVIEW - Complete Role Mapping'!$AK:$AK,243)</f>
        <v>Filled</v>
      </c>
      <c r="E31" s="1548" t="inlineStr">
        <is>
          <t>Filled</t>
        </is>
      </c>
      <c r="F31" s="1770">
        <f>INDEX('REVIEW - Complete Role Mapping'!$AA:$AA,243)</f>
        <v>244200</v>
      </c>
      <c r="G31" s="1770">
        <f>$F31*IFERROR(INDEX(Lists!$AD:$AD,MATCH($E31,Lists!$AC:$AC,0)),1)</f>
        <v>244200</v>
      </c>
    </row>
    <row r="32">
      <c r="B32" s="1531" t="str">
        <f>INDEX('REVIEW - Complete Role Mapping'!$B:$B,244)</f>
        <v>James Munt</v>
      </c>
      <c r="C32" s="1531" t="str">
        <f>INDEX('REVIEW - Complete Role Mapping'!$C:$C,244)</f>
        <v>Program Manager Tech &amp; P&amp;C</v>
      </c>
      <c r="D32" s="1531" t="str">
        <f>INDEX('REVIEW - Complete Role Mapping'!$AK:$AK,244)</f>
        <v>Filled</v>
      </c>
      <c r="E32" s="1548" t="inlineStr">
        <is>
          <t>Filled</t>
        </is>
      </c>
      <c r="F32" s="1770">
        <f>INDEX('REVIEW - Complete Role Mapping'!$AA:$AA,244)</f>
        <v>266400</v>
      </c>
      <c r="G32" s="1770">
        <f>$F32*IFERROR(INDEX(Lists!$AD:$AD,MATCH($E32,Lists!$AC:$AC,0)),1)</f>
        <v>266400</v>
      </c>
    </row>
    <row r="33">
      <c r="B33" s="1531" t="str">
        <f>INDEX('REVIEW - Complete Role Mapping'!$B:$B,245)</f>
        <v>Jason McNamara</v>
      </c>
      <c r="C33" s="1531" t="str">
        <f>INDEX('REVIEW - Complete Role Mapping'!$C:$C,245)</f>
        <v>Project Manager Retail</v>
      </c>
      <c r="D33" s="1531" t="str">
        <f>INDEX('REVIEW - Complete Role Mapping'!$AK:$AK,245)</f>
        <v>Filled</v>
      </c>
      <c r="E33" s="1548" t="inlineStr">
        <is>
          <t>Filled</t>
        </is>
      </c>
      <c r="F33" s="1770">
        <f>INDEX('REVIEW - Complete Role Mapping'!$AA:$AA,245)</f>
        <v>488400</v>
      </c>
      <c r="G33" s="1770">
        <f>$F33*IFERROR(INDEX(Lists!$AD:$AD,MATCH($E33,Lists!$AC:$AC,0)),1)</f>
        <v>488400</v>
      </c>
    </row>
    <row r="34">
      <c r="B34" s="1531" t="str">
        <f>INDEX('REVIEW - Complete Role Mapping'!$B:$B,246)</f>
        <v>Jason Sipkovic</v>
      </c>
      <c r="C34" s="1531" t="str">
        <f>INDEX('REVIEW - Complete Role Mapping'!$C:$C,246)</f>
        <v>strategic program architect</v>
      </c>
      <c r="D34" s="1531" t="str">
        <f>INDEX('REVIEW - Complete Role Mapping'!$AK:$AK,246)</f>
        <v>Filled</v>
      </c>
      <c r="E34" s="1548" t="inlineStr">
        <is>
          <t>Filled</t>
        </is>
      </c>
      <c r="F34" s="1770">
        <f>INDEX('REVIEW - Complete Role Mapping'!$AA:$AA,246)</f>
        <v>333000</v>
      </c>
      <c r="G34" s="1770">
        <f>$F34*IFERROR(INDEX(Lists!$AD:$AD,MATCH($E34,Lists!$AC:$AC,0)),1)</f>
        <v>333000</v>
      </c>
    </row>
    <row r="35">
      <c r="B35" s="1531" t="str">
        <f>INDEX('REVIEW - Complete Role Mapping'!$B:$B,247)</f>
        <v>Kanika Narula</v>
      </c>
      <c r="C35" s="1531" t="str">
        <f>INDEX('REVIEW - Complete Role Mapping'!$C:$C,247)</f>
        <v>Business Analyst Digital</v>
      </c>
      <c r="D35" s="1531" t="str">
        <f>INDEX('REVIEW - Complete Role Mapping'!$AK:$AK,247)</f>
        <v>Filled</v>
      </c>
      <c r="E35" s="1548" t="inlineStr">
        <is>
          <t>Filled</t>
        </is>
      </c>
      <c r="F35" s="1770">
        <f>INDEX('REVIEW - Complete Role Mapping'!$AA:$AA,247)</f>
        <v>239502.48</v>
      </c>
      <c r="G35" s="1770">
        <f>$F35*IFERROR(INDEX(Lists!$AD:$AD,MATCH($E35,Lists!$AC:$AC,0)),1)</f>
        <v>239502.48</v>
      </c>
    </row>
    <row r="36">
      <c r="B36" s="1531" t="str">
        <f>INDEX('REVIEW - Complete Role Mapping'!$B:$B,248)</f>
        <v>Karl Reyneke</v>
      </c>
      <c r="C36" s="1531" t="str">
        <f>INDEX('REVIEW - Complete Role Mapping'!$C:$C,248)</f>
        <v>Strategic Delivery Consultant</v>
      </c>
      <c r="D36" s="1531" t="str">
        <f>INDEX('REVIEW - Complete Role Mapping'!$AK:$AK,248)</f>
        <v>Filled</v>
      </c>
      <c r="E36" s="1548" t="inlineStr">
        <is>
          <t>Filled</t>
        </is>
      </c>
      <c r="F36" s="1770">
        <f>INDEX('REVIEW - Complete Role Mapping'!$AA:$AA,248)</f>
        <v>299700</v>
      </c>
      <c r="G36" s="1770">
        <f>$F36*IFERROR(INDEX(Lists!$AD:$AD,MATCH($E36,Lists!$AC:$AC,0)),1)</f>
        <v>299700</v>
      </c>
    </row>
    <row r="37">
      <c r="B37" s="1531" t="str">
        <f>INDEX('REVIEW - Complete Role Mapping'!$B:$B,249)</f>
        <v>michelle Siegman</v>
      </c>
      <c r="C37" s="1531" t="str">
        <f>INDEX('REVIEW - Complete Role Mapping'!$C:$C,249)</f>
        <v>Strategic Delivery Consultant</v>
      </c>
      <c r="D37" s="1531" t="str">
        <f>INDEX('REVIEW - Complete Role Mapping'!$AK:$AK,249)</f>
        <v>Filled</v>
      </c>
      <c r="E37" s="1548" t="inlineStr">
        <is>
          <t>Filled</t>
        </is>
      </c>
      <c r="F37" s="1770">
        <f>INDEX('REVIEW - Complete Role Mapping'!$AA:$AA,249)</f>
        <v>230436</v>
      </c>
      <c r="G37" s="1770">
        <f>$F37*IFERROR(INDEX(Lists!$AD:$AD,MATCH($E37,Lists!$AC:$AC,0)),1)</f>
        <v>230436</v>
      </c>
    </row>
    <row r="38">
      <c r="B38" s="1531" t="str">
        <f>INDEX('REVIEW - Complete Role Mapping'!$B:$B,250)</f>
        <v>Moitri Pal</v>
      </c>
      <c r="C38" s="1531" t="str">
        <f>INDEX('REVIEW - Complete Role Mapping'!$C:$C,250)</f>
        <v>Portfolio Mnager</v>
      </c>
      <c r="D38" s="1531" t="str">
        <f>INDEX('REVIEW - Complete Role Mapping'!$AK:$AK,250)</f>
        <v>Filled</v>
      </c>
      <c r="E38" s="1548" t="inlineStr">
        <is>
          <t>Filled</t>
        </is>
      </c>
      <c r="F38" s="1770">
        <f>INDEX('REVIEW - Complete Role Mapping'!$AA:$AA,250)</f>
        <v>325464.15</v>
      </c>
      <c r="G38" s="1770">
        <f>$F38*IFERROR(INDEX(Lists!$AD:$AD,MATCH($E38,Lists!$AC:$AC,0)),1)</f>
        <v>325464.15</v>
      </c>
    </row>
    <row r="39">
      <c r="B39" s="1531" t="str">
        <f>INDEX('REVIEW - Complete Role Mapping'!$B:$B,251)</f>
        <v>Niall Greene</v>
      </c>
      <c r="C39" s="1531" t="str">
        <f>INDEX('REVIEW - Complete Role Mapping'!$C:$C,251)</f>
        <v>Project Manager (PEP13-EGI-UKG)</v>
      </c>
      <c r="D39" s="1531" t="str">
        <f>INDEX('REVIEW - Complete Role Mapping'!$AK:$AK,251)</f>
        <v>Filled</v>
      </c>
      <c r="E39" s="1548" t="inlineStr">
        <is>
          <t>Filled</t>
        </is>
      </c>
      <c r="F39" s="1770">
        <f>INDEX('REVIEW - Complete Role Mapping'!$AA:$AA,251)</f>
        <v>244200</v>
      </c>
      <c r="G39" s="1770">
        <f>$F39*IFERROR(INDEX(Lists!$AD:$AD,MATCH($E39,Lists!$AC:$AC,0)),1)</f>
        <v>244200</v>
      </c>
    </row>
    <row r="40">
      <c r="B40" s="1531" t="str">
        <f>INDEX('REVIEW - Complete Role Mapping'!$B:$B,252)</f>
        <v>Paul Hassey</v>
      </c>
      <c r="C40" s="1531" t="str">
        <f>INDEX('REVIEW - Complete Role Mapping'!$C:$C,252)</f>
        <v>Program Architect</v>
      </c>
      <c r="D40" s="1531" t="str">
        <f>INDEX('REVIEW - Complete Role Mapping'!$AK:$AK,252)</f>
        <v>Filled</v>
      </c>
      <c r="E40" s="1548" t="inlineStr">
        <is>
          <t>Filled</t>
        </is>
      </c>
      <c r="F40" s="1770">
        <f>INDEX('REVIEW - Complete Role Mapping'!$AA:$AA,252)</f>
        <v>310800</v>
      </c>
      <c r="G40" s="1770">
        <f>$F40*IFERROR(INDEX(Lists!$AD:$AD,MATCH($E40,Lists!$AC:$AC,0)),1)</f>
        <v>310800</v>
      </c>
    </row>
    <row r="41">
      <c r="B41" s="1531" t="str">
        <f>INDEX('REVIEW - Complete Role Mapping'!$B:$B,253)</f>
        <v>vijay Solanki</v>
      </c>
      <c r="C41" s="1531" t="str">
        <f>INDEX('REVIEW - Complete Role Mapping'!$C:$C,253)</f>
        <v>Project Manager Deployment</v>
      </c>
      <c r="D41" s="1531" t="str">
        <f>INDEX('REVIEW - Complete Role Mapping'!$AK:$AK,253)</f>
        <v>Filled</v>
      </c>
      <c r="E41" s="1548" t="inlineStr">
        <is>
          <t>Filled</t>
        </is>
      </c>
      <c r="F41" s="1770">
        <f>INDEX('REVIEW - Complete Role Mapping'!$AA:$AA,253)</f>
        <v>266400</v>
      </c>
      <c r="G41" s="1770">
        <f>$F41*IFERROR(INDEX(Lists!$AD:$AD,MATCH($E41,Lists!$AC:$AC,0)),1)</f>
        <v>266400</v>
      </c>
    </row>
    <row r="42">
      <c r="B42" s="1531" t="str">
        <f>INDEX('REVIEW - Complete Role Mapping'!$B:$B,254)</f>
        <v>Winnie Fernandes</v>
      </c>
      <c r="C42" s="1531" t="str">
        <f>INDEX('REVIEW - Complete Role Mapping'!$C:$C,254)</f>
        <v>Delivery Lead - Integration</v>
      </c>
      <c r="D42" s="1531" t="str">
        <f>INDEX('REVIEW - Complete Role Mapping'!$AK:$AK,254)</f>
        <v>Filled</v>
      </c>
      <c r="E42" s="1548" t="inlineStr">
        <is>
          <t>Filled</t>
        </is>
      </c>
      <c r="F42" s="1770">
        <f>INDEX('REVIEW - Complete Role Mapping'!$AA:$AA,254)</f>
        <v>273504</v>
      </c>
      <c r="G42" s="1770">
        <f>$F42*IFERROR(INDEX(Lists!$AD:$AD,MATCH($E42,Lists!$AC:$AC,0)),1)</f>
        <v>273504</v>
      </c>
    </row>
    <row r="43">
      <c r="B43" s="1531" t="str">
        <f>INDEX('REVIEW - Complete Role Mapping'!$B:$B,446)</f>
        <v>Ashish Gupte</v>
      </c>
      <c r="C43" s="1531" t="str">
        <f>INDEX('REVIEW - Complete Role Mapping'!$C:$C,446)</f>
        <v>DeveloperSAP ECC</v>
      </c>
      <c r="D43" s="1531" t="str">
        <f>INDEX('REVIEW - Complete Role Mapping'!$AK:$AK,446)</f>
        <v>Filled</v>
      </c>
      <c r="E43" s="1548" t="inlineStr">
        <is>
          <t>Filled</t>
        </is>
      </c>
      <c r="F43" s="1770">
        <f>INDEX('REVIEW - Complete Role Mapping'!$AA:$AA,446)</f>
        <v>277500</v>
      </c>
      <c r="G43" s="1770">
        <f>$F43*IFERROR(INDEX(Lists!$AD:$AD,MATCH($E43,Lists!$AC:$AC,0)),1)</f>
        <v>277500</v>
      </c>
    </row>
  </sheetData>
  <dataValidations count="1">
    <dataValidation sqref="E27 E28 E29 E30 E31 E32 E33 E34 E35 E36 E37 E38 E39 E40 E41 E42 E43"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37.xml><?xml version="1.0" encoding="utf-8"?>
<worksheet xmlns="http://schemas.openxmlformats.org/spreadsheetml/2006/main">
  <sheetPr filterMode="0">
    <tabColor rgb="FF002F6C"/>
    <outlinePr summaryBelow="1" summaryRight="1"/>
    <pageSetUpPr fitToPage="0"/>
  </sheetPr>
  <dimension ref="B2:B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4.25" zeroHeight="0" outlineLevelRow="0"/>
  <cols>
    <col width="2" customWidth="1" style="865" min="1" max="1"/>
    <col width="60" customWidth="1" style="865" min="2" max="2"/>
  </cols>
  <sheetData>
    <row r="2" ht="21" customHeight="1" s="866">
      <c r="B2" s="1450" t="inlineStr">
        <is>
          <t>SUMMARIES  &gt;&gt;&gt;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tabColor rgb="FF002F6C"/>
    <outlinePr summaryBelow="1" summaryRight="1"/>
    <pageSetUpPr fitToPage="1"/>
  </sheetPr>
  <dimension ref="B2:K46"/>
  <sheetViews>
    <sheetView showFormulas="0" showGridLines="0" showRowColHeaders="1" showZeros="1" rightToLeft="0" tabSelected="0" showOutlineSymbols="1" defaultGridColor="1" view="normal" topLeftCell="A1" colorId="64" zoomScale="110" zoomScaleNormal="110" zoomScalePageLayoutView="100" workbookViewId="0">
      <selection pane="topLeft" activeCell="A1" activeCellId="0" sqref="A1"/>
      <selection pane="topRight" activeCell="C1" activeCellId="0" sqref="C1"/>
      <selection pane="bottomLeft" activeCell="A8" activeCellId="0" sqref="A8"/>
      <selection pane="bottomRight" activeCell="C7" activeCellId="0" sqref="C7"/>
    </sheetView>
  </sheetViews>
  <sheetFormatPr baseColWidth="8" defaultColWidth="8.54296875" defaultRowHeight="14.25" zeroHeight="0" outlineLevelRow="0"/>
  <cols>
    <col width="2" customWidth="1" style="866" min="1" max="1"/>
    <col width="34" customWidth="1" style="866" min="2" max="2"/>
    <col width="24" customWidth="1" style="866" min="3" max="3"/>
    <col width="15" customWidth="1" style="866" min="4" max="4"/>
    <col width="14" customWidth="1" style="866" min="5" max="5"/>
    <col width="17" customWidth="1" style="866" min="6" max="6"/>
    <col width="17" customWidth="1" style="866" min="7" max="7"/>
    <col width="9" customWidth="1" style="866" min="8" max="8"/>
    <col width="8" customWidth="1" style="866" min="9" max="9"/>
    <col width="8" customWidth="1" style="866" min="10" max="10"/>
    <col width="14" customWidth="1" style="866" min="11" max="11"/>
  </cols>
  <sheetData>
    <row r="2">
      <c r="B2" s="1524" t="inlineStr">
        <is>
          <t>TDD cost bridge - archetype cost to actual cost</t>
        </is>
      </c>
    </row>
    <row r="4" ht="19" customHeight="1" s="866">
      <c r="B4" s="1527" t="inlineStr">
        <is>
          <t>How the organisation gets from its archetype cost to what it actually costs</t>
        </is>
      </c>
      <c r="C4" s="1528" t="n"/>
      <c r="D4" s="1528" t="n"/>
      <c r="E4" s="1528" t="n"/>
      <c r="F4" s="1528" t="n"/>
      <c r="G4" s="1528" t="n"/>
      <c r="H4" s="1528" t="n"/>
      <c r="I4" s="1528" t="n"/>
      <c r="J4" s="1528" t="n"/>
      <c r="K4" s="1528" t="n"/>
    </row>
    <row r="5" ht="48" customHeight="1" s="866">
      <c r="B5" s="1529" t="inlineStr">
        <is>
          <t>Line</t>
        </is>
      </c>
      <c r="C5" s="1529" t="inlineStr">
        <is>
          <t>Portfolio</t>
        </is>
      </c>
      <c r="D5" s="1529" t="inlineStr">
        <is>
          <t>Archetype cost ($m)</t>
        </is>
      </c>
      <c r="E5" s="1529" t="inlineStr">
        <is>
          <t>Actual cost ($m)</t>
        </is>
      </c>
      <c r="F5" s="1529" t="inlineStr">
        <is>
          <t>Variance to archetype ($m)</t>
        </is>
      </c>
      <c r="G5" s="1529" t="inlineStr">
        <is>
          <t>Cost after decisions ($m)</t>
        </is>
      </c>
      <c r="H5" s="1529" t="inlineStr">
        <is>
          <t>Total roles</t>
        </is>
      </c>
      <c r="I5" s="1529" t="inlineStr">
        <is>
          <t>Filled</t>
        </is>
      </c>
      <c r="J5" s="1529" t="inlineStr">
        <is>
          <t>Vacant</t>
        </is>
      </c>
      <c r="K5" s="1529" t="inlineStr">
        <is>
          <t>Total roles after decisions</t>
        </is>
      </c>
    </row>
    <row r="6">
      <c r="B6" s="1530" t="inlineStr">
        <is>
          <t>Squads priced by an archetype - detail on 3.3</t>
        </is>
      </c>
      <c r="C6" s="1530" t="n"/>
      <c r="D6" s="1530" t="n"/>
      <c r="E6" s="1530" t="n"/>
      <c r="F6" s="1530" t="n"/>
      <c r="G6" s="1530" t="n"/>
      <c r="H6" s="1530" t="n"/>
      <c r="I6" s="1530" t="n"/>
      <c r="J6" s="1530" t="n"/>
      <c r="K6" s="1530" t="n"/>
    </row>
    <row r="7">
      <c r="B7" s="1531" t="inlineStr">
        <is>
          <t>Ampol Retail</t>
        </is>
      </c>
      <c r="C7" s="1531" t="inlineStr">
        <is>
          <t>Ampol Retail</t>
        </is>
      </c>
      <c r="D7" s="1769">
        <f>'2.1 Ampol Retail'!$M$15</f>
        <v>9.88</v>
      </c>
      <c r="E7" s="1769">
        <f>'2.1 Ampol Retail'!$N$15</f>
        <v>9.113524162</v>
      </c>
      <c r="F7" s="1769">
        <f>IFERROR(ROUND($E7-$D7,6),"-")</f>
        <v>-0.766476</v>
      </c>
      <c r="G7" s="1769">
        <f>'2.1 Ampol Retail'!$P$15</f>
        <v>9.113524162</v>
      </c>
      <c r="H7" s="1770">
        <f>'2.1 Ampol Retail'!$F$15</f>
        <v>48</v>
      </c>
      <c r="I7" s="1770">
        <f>'2.1 Ampol Retail'!$G$15</f>
        <v>26</v>
      </c>
      <c r="J7" s="1770">
        <f>'2.1 Ampol Retail'!$H$15</f>
        <v>22</v>
      </c>
      <c r="K7" s="1770">
        <f>'2.1 Ampol Retail'!$L$15</f>
        <v>48</v>
      </c>
    </row>
    <row r="8">
      <c r="B8" s="1531" t="inlineStr">
        <is>
          <t>Customer</t>
        </is>
      </c>
      <c r="C8" s="1531" t="inlineStr">
        <is>
          <t>Customer</t>
        </is>
      </c>
      <c r="D8" s="1769">
        <f>'2.2 Customer'!$M$15</f>
        <v>12.06</v>
      </c>
      <c r="E8" s="1769">
        <f>'2.2 Customer'!$N$15</f>
        <v>12.097508946</v>
      </c>
      <c r="F8" s="1769">
        <f>IFERROR(ROUND($E8-$D8,6),"-")</f>
        <v>0.037509</v>
      </c>
      <c r="G8" s="1769">
        <f>'2.2 Customer'!$P$15</f>
        <v>12.097508946</v>
      </c>
      <c r="H8" s="1770">
        <f>'2.2 Customer'!$F$15</f>
        <v>60</v>
      </c>
      <c r="I8" s="1770">
        <f>'2.2 Customer'!$G$15</f>
        <v>49</v>
      </c>
      <c r="J8" s="1770">
        <f>'2.2 Customer'!$H$15</f>
        <v>11</v>
      </c>
      <c r="K8" s="1770">
        <f>'2.2 Customer'!$L$15</f>
        <v>60</v>
      </c>
    </row>
    <row r="9">
      <c r="B9" s="1531" t="inlineStr">
        <is>
          <t>Enterprise Data</t>
        </is>
      </c>
      <c r="C9" s="1531" t="inlineStr">
        <is>
          <t>Enterprise Data</t>
        </is>
      </c>
      <c r="D9" s="1769">
        <f>'2.3 Enterprise Data'!$M$11</f>
        <v>4.3</v>
      </c>
      <c r="E9" s="1769">
        <f>'2.3 Enterprise Data'!$N$11</f>
        <v>5.357369326</v>
      </c>
      <c r="F9" s="1769">
        <f>IFERROR(ROUND($E9-$D9,6),"-")</f>
        <v>1.057369</v>
      </c>
      <c r="G9" s="1769">
        <f>'2.3 Enterprise Data'!$P$11</f>
        <v>5.357369326</v>
      </c>
      <c r="H9" s="1770">
        <f>'2.3 Enterprise Data'!$F$11</f>
        <v>25</v>
      </c>
      <c r="I9" s="1770">
        <f>'2.3 Enterprise Data'!$G$11</f>
        <v>16</v>
      </c>
      <c r="J9" s="1770">
        <f>'2.3 Enterprise Data'!$H$11</f>
        <v>9</v>
      </c>
      <c r="K9" s="1770">
        <f>'2.3 Enterprise Data'!$L$11</f>
        <v>25</v>
      </c>
    </row>
    <row r="10">
      <c r="B10" s="1531" t="inlineStr">
        <is>
          <t>TDD Group Functions</t>
        </is>
      </c>
      <c r="C10" s="1531" t="inlineStr">
        <is>
          <t>TDD Group Functions</t>
        </is>
      </c>
      <c r="D10" s="1769">
        <f>'2.4 TDD Group Functions'!$M$12</f>
        <v>5.7</v>
      </c>
      <c r="E10" s="1769">
        <f>'2.4 TDD Group Functions'!$N$12</f>
        <v>7.5106297224</v>
      </c>
      <c r="F10" s="1769">
        <f>IFERROR(ROUND($E10-$D10,6),"-")</f>
        <v>1.81063</v>
      </c>
      <c r="G10" s="1769">
        <f>'2.4 TDD Group Functions'!$P$12</f>
        <v>7.5106297224</v>
      </c>
      <c r="H10" s="1770">
        <f>'2.4 TDD Group Functions'!$F$12</f>
        <v>36</v>
      </c>
      <c r="I10" s="1770">
        <f>'2.4 TDD Group Functions'!$G$12</f>
        <v>27</v>
      </c>
      <c r="J10" s="1770">
        <f>'2.4 TDD Group Functions'!$H$12</f>
        <v>9</v>
      </c>
      <c r="K10" s="1770">
        <f>'2.4 TDD Group Functions'!$L$12</f>
        <v>36</v>
      </c>
    </row>
    <row r="11">
      <c r="B11" s="1531" t="inlineStr">
        <is>
          <t>P&amp;C</t>
        </is>
      </c>
      <c r="C11" s="1531" t="inlineStr">
        <is>
          <t>P&amp;C</t>
        </is>
      </c>
      <c r="D11" s="1769">
        <f>'2.5 P&amp;C'!$M$10</f>
        <v>3.5</v>
      </c>
      <c r="E11" s="1769">
        <f>'2.5 P&amp;C'!$N$10</f>
        <v>3.02960608</v>
      </c>
      <c r="F11" s="1769">
        <f>IFERROR(ROUND($E11-$D11,6),"-")</f>
        <v>-0.470394</v>
      </c>
      <c r="G11" s="1769">
        <f>'2.5 P&amp;C'!$P$10</f>
        <v>3.02960608</v>
      </c>
      <c r="H11" s="1770">
        <f>'2.5 P&amp;C'!$F$10</f>
        <v>14</v>
      </c>
      <c r="I11" s="1770">
        <f>'2.5 P&amp;C'!$G$10</f>
        <v>6</v>
      </c>
      <c r="J11" s="1770">
        <f>'2.5 P&amp;C'!$H$10</f>
        <v>8</v>
      </c>
      <c r="K11" s="1770">
        <f>'2.5 P&amp;C'!$L$10</f>
        <v>14</v>
      </c>
    </row>
    <row r="12">
      <c r="B12" s="1531" t="inlineStr">
        <is>
          <t>Finance</t>
        </is>
      </c>
      <c r="C12" s="1531" t="inlineStr">
        <is>
          <t>Finance</t>
        </is>
      </c>
      <c r="D12" s="1769">
        <f>'2.6 Finance'!$M$10</f>
        <v>2.8</v>
      </c>
      <c r="E12" s="1769">
        <f>'2.6 Finance'!$N$10</f>
        <v>3.279327216</v>
      </c>
      <c r="F12" s="1769">
        <f>IFERROR(ROUND($E12-$D12,6),"-")</f>
        <v>0.479327</v>
      </c>
      <c r="G12" s="1769">
        <f>'2.6 Finance'!$P$10</f>
        <v>3.279327216</v>
      </c>
      <c r="H12" s="1770">
        <f>'2.6 Finance'!$F$10</f>
        <v>15</v>
      </c>
      <c r="I12" s="1770">
        <f>'2.6 Finance'!$G$10</f>
        <v>7</v>
      </c>
      <c r="J12" s="1770">
        <f>'2.6 Finance'!$H$10</f>
        <v>8</v>
      </c>
      <c r="K12" s="1770">
        <f>'2.6 Finance'!$L$10</f>
        <v>15</v>
      </c>
    </row>
    <row r="13">
      <c r="B13" s="1531" t="inlineStr">
        <is>
          <t>Infrastructure</t>
        </is>
      </c>
      <c r="C13" s="1531" t="inlineStr">
        <is>
          <t>Infrastructure</t>
        </is>
      </c>
      <c r="D13" s="1769">
        <f>'2.7 Infrastructure'!$M$12</f>
        <v>6.4</v>
      </c>
      <c r="E13" s="1769">
        <f>'2.7 Infrastructure'!$N$12</f>
        <v>6.30063899</v>
      </c>
      <c r="F13" s="1769">
        <f>IFERROR(ROUND($E13-$D13,6),"-")</f>
        <v>-0.099361</v>
      </c>
      <c r="G13" s="1769">
        <f>'2.7 Infrastructure'!$P$12</f>
        <v>6.30063899</v>
      </c>
      <c r="H13" s="1770">
        <f>'2.7 Infrastructure'!$F$12</f>
        <v>31</v>
      </c>
      <c r="I13" s="1770">
        <f>'2.7 Infrastructure'!$G$12</f>
        <v>22</v>
      </c>
      <c r="J13" s="1770">
        <f>'2.7 Infrastructure'!$H$12</f>
        <v>9</v>
      </c>
      <c r="K13" s="1770">
        <f>'2.7 Infrastructure'!$L$12</f>
        <v>31</v>
      </c>
    </row>
    <row r="14">
      <c r="B14" s="1531" t="inlineStr">
        <is>
          <t>Energy Solutions &amp; B2B</t>
        </is>
      </c>
      <c r="C14" s="1531" t="inlineStr">
        <is>
          <t>Energy Solutions &amp; B2B</t>
        </is>
      </c>
      <c r="D14" s="1769">
        <f>'2.8 Energy Solutions &amp; B2B'!$M$11</f>
        <v>7.9</v>
      </c>
      <c r="E14" s="1769">
        <f>'2.8 Energy Solutions &amp; B2B'!$N$11</f>
        <v>5.327874328</v>
      </c>
      <c r="F14" s="1769">
        <f>IFERROR(ROUND($E14-$D14,6),"-")</f>
        <v>-2.572126</v>
      </c>
      <c r="G14" s="1769">
        <f>'2.8 Energy Solutions &amp; B2B'!$P$11</f>
        <v>5.327874328</v>
      </c>
      <c r="H14" s="1770">
        <f>'2.8 Energy Solutions &amp; B2B'!$F$11</f>
        <v>29</v>
      </c>
      <c r="I14" s="1770">
        <f>'2.8 Energy Solutions &amp; B2B'!$G$11</f>
        <v>22</v>
      </c>
      <c r="J14" s="1770">
        <f>'2.8 Energy Solutions &amp; B2B'!$H$11</f>
        <v>7</v>
      </c>
      <c r="K14" s="1770">
        <f>'2.8 Energy Solutions &amp; B2B'!$L$11</f>
        <v>29</v>
      </c>
    </row>
    <row r="15">
      <c r="B15" s="1531" t="inlineStr">
        <is>
          <t>Commercial Fuels</t>
        </is>
      </c>
      <c r="C15" s="1531" t="inlineStr">
        <is>
          <t>Commercial Fuels</t>
        </is>
      </c>
      <c r="D15" s="1769">
        <f>'2.9 Commercial Fuels'!$M$11</f>
        <v>4.88</v>
      </c>
      <c r="E15" s="1769">
        <f>'2.9 Commercial Fuels'!$N$11</f>
        <v>5.8445681607</v>
      </c>
      <c r="F15" s="1769">
        <f>IFERROR(ROUND($E15-$D15,6),"-")</f>
        <v>0.964568</v>
      </c>
      <c r="G15" s="1769">
        <f>'2.9 Commercial Fuels'!$P$11</f>
        <v>5.8445681607</v>
      </c>
      <c r="H15" s="1770">
        <f>'2.9 Commercial Fuels'!$F$11</f>
        <v>24</v>
      </c>
      <c r="I15" s="1770">
        <f>'2.9 Commercial Fuels'!$G$11</f>
        <v>17</v>
      </c>
      <c r="J15" s="1770">
        <f>'2.9 Commercial Fuels'!$H$11</f>
        <v>7</v>
      </c>
      <c r="K15" s="1770">
        <f>'2.9 Commercial Fuels'!$L$11</f>
        <v>24</v>
      </c>
    </row>
    <row r="16">
      <c r="B16" s="1531" t="inlineStr">
        <is>
          <t>Z Retail</t>
        </is>
      </c>
      <c r="C16" s="1531" t="inlineStr">
        <is>
          <t>Z Retail</t>
        </is>
      </c>
      <c r="D16" s="1769">
        <f>'2.10 Z Retail'!$M$12</f>
        <v>6.78</v>
      </c>
      <c r="E16" s="1769">
        <f>'2.10 Z Retail'!$N$12</f>
        <v>6.119950684</v>
      </c>
      <c r="F16" s="1769">
        <f>IFERROR(ROUND($E16-$D16,6),"-")</f>
        <v>-0.660049</v>
      </c>
      <c r="G16" s="1769">
        <f>'2.10 Z Retail'!$P$12</f>
        <v>6.119950684</v>
      </c>
      <c r="H16" s="1770">
        <f>'2.10 Z Retail'!$F$12</f>
        <v>34</v>
      </c>
      <c r="I16" s="1770">
        <f>'2.10 Z Retail'!$G$12</f>
        <v>29</v>
      </c>
      <c r="J16" s="1770">
        <f>'2.10 Z Retail'!$H$12</f>
        <v>5</v>
      </c>
      <c r="K16" s="1770">
        <f>'2.10 Z Retail'!$L$12</f>
        <v>34</v>
      </c>
    </row>
    <row r="17">
      <c r="B17" s="1535" t="inlineStr">
        <is>
          <t>Squads priced by an archetype</t>
        </is>
      </c>
      <c r="C17" s="1535" t="n"/>
      <c r="D17" s="1771">
        <f>IF(COUNT($D7,$D8,$D9,$D10,$D11,$D12,$D13,$D14,$D15,$D16)=10,SUM($D7,$D8,$D9,$D10,$D11,$D12,$D13,$D14,$D15,$D16),"-")</f>
        <v>64.2</v>
      </c>
      <c r="E17" s="1771">
        <f>N(E7)+N(E8)+N(E9)+N(E10)+N(E11)+N(E12)+N(E13)+N(E14)+N(E15)+N(E16)</f>
        <v>63.9809976151</v>
      </c>
      <c r="F17" s="1771">
        <f>IF(ISNUMBER($D17),ROUND($E17-$D17,6),"-")</f>
        <v>-0.219002</v>
      </c>
      <c r="G17" s="1771">
        <f>N(G7)+N(G8)+N(G9)+N(G10)+N(G11)+N(G12)+N(G13)+N(G14)+N(G15)+N(G16)</f>
        <v>63.9809976151</v>
      </c>
      <c r="H17" s="1772">
        <f>N(H7)+N(H8)+N(H9)+N(H10)+N(H11)+N(H12)+N(H13)+N(H14)+N(H15)+N(H16)</f>
        <v>316</v>
      </c>
      <c r="I17" s="1772">
        <f>N(I7)+N(I8)+N(I9)+N(I10)+N(I11)+N(I12)+N(I13)+N(I14)+N(I15)+N(I16)</f>
        <v>221</v>
      </c>
      <c r="J17" s="1772">
        <f>N(J7)+N(J8)+N(J9)+N(J10)+N(J11)+N(J12)+N(J13)+N(J14)+N(J15)+N(J16)</f>
        <v>95</v>
      </c>
      <c r="K17" s="1772">
        <f>N(K7)+N(K8)+N(K9)+N(K10)+N(K11)+N(K12)+N(K13)+N(K14)+N(K15)+N(K16)</f>
        <v>316</v>
      </c>
    </row>
    <row r="18">
      <c r="B18" s="1530" t="inlineStr">
        <is>
          <t>Directly funded programmes and platforms - funded on the 1.x tab</t>
        </is>
      </c>
      <c r="C18" s="1530" t="n"/>
      <c r="D18" s="1530" t="n"/>
      <c r="E18" s="1530" t="n"/>
      <c r="F18" s="1530" t="n"/>
      <c r="G18" s="1530" t="n"/>
      <c r="H18" s="1530" t="n"/>
      <c r="I18" s="1530" t="n"/>
      <c r="J18" s="1530" t="n"/>
      <c r="K18" s="1530" t="n"/>
    </row>
    <row r="19">
      <c r="B19" s="1531" t="inlineStr">
        <is>
          <t>AmPOS</t>
        </is>
      </c>
      <c r="C19" s="1531" t="inlineStr">
        <is>
          <t>Ampol Retail</t>
        </is>
      </c>
      <c r="D19" s="1769">
        <f>'2.1 Ampol Retail'!$M$17</f>
        <v>1.404089</v>
      </c>
      <c r="E19" s="1769">
        <f>'2.1 Ampol Retail'!$N$17</f>
        <v>2.115029718</v>
      </c>
      <c r="F19" s="1769">
        <f>IFERROR(ROUND($E19-$D19,6),"-")</f>
        <v>0.710941</v>
      </c>
      <c r="G19" s="1769">
        <f>'2.1 Ampol Retail'!$P$17</f>
        <v>2.115029718</v>
      </c>
      <c r="H19" s="1770">
        <f>'2.1 Ampol Retail'!$F$17</f>
        <v>10</v>
      </c>
      <c r="I19" s="1770">
        <f>'2.1 Ampol Retail'!$G$17</f>
        <v>10</v>
      </c>
      <c r="J19" s="1770">
        <f>'2.1 Ampol Retail'!$H$17</f>
        <v>0</v>
      </c>
      <c r="K19" s="1770">
        <f>'2.1 Ampol Retail'!$L$17</f>
        <v>10</v>
      </c>
    </row>
    <row r="20">
      <c r="B20" s="1531" t="inlineStr">
        <is>
          <t>EGI Retail</t>
        </is>
      </c>
      <c r="C20" s="1531" t="inlineStr">
        <is>
          <t>Ampol Retail</t>
        </is>
      </c>
      <c r="D20" s="1769">
        <f>'2.1 Ampol Retail'!$M$18</f>
        <v>1.52</v>
      </c>
      <c r="E20" s="1769">
        <f>'2.1 Ampol Retail'!$N$18</f>
        <v>1.221357614</v>
      </c>
      <c r="F20" s="1769">
        <f>IFERROR(ROUND($E20-$D20,6),"-")</f>
        <v>-0.298642</v>
      </c>
      <c r="G20" s="1769">
        <f>'2.1 Ampol Retail'!$P$18</f>
        <v>1.221357614</v>
      </c>
      <c r="H20" s="1770">
        <f>'2.1 Ampol Retail'!$F$18</f>
        <v>6</v>
      </c>
      <c r="I20" s="1770">
        <f>'2.1 Ampol Retail'!$G$18</f>
        <v>6</v>
      </c>
      <c r="J20" s="1770">
        <f>'2.1 Ampol Retail'!$H$18</f>
        <v>0</v>
      </c>
      <c r="K20" s="1770">
        <f>'2.1 Ampol Retail'!$L$18</f>
        <v>6</v>
      </c>
    </row>
    <row r="21">
      <c r="B21" s="1531" t="inlineStr">
        <is>
          <t>EGI TDD</t>
        </is>
      </c>
      <c r="C21" s="1531" t="inlineStr">
        <is>
          <t>Ampol Retail</t>
        </is>
      </c>
      <c r="D21" s="1769" t="str">
        <f>'2.1 Ampol Retail'!$M$19</f>
        <v>-</v>
      </c>
      <c r="E21" s="1769">
        <f>'2.1 Ampol Retail'!$N$19</f>
        <v>0.2997</v>
      </c>
      <c r="F21" s="1769" t="str">
        <f>IFERROR(ROUND($E21-$D21,6),"-")</f>
        <v>-</v>
      </c>
      <c r="G21" s="1769">
        <f>'2.1 Ampol Retail'!$P$19</f>
        <v>0.2997</v>
      </c>
      <c r="H21" s="1770">
        <f>'2.1 Ampol Retail'!$F$19</f>
        <v>1</v>
      </c>
      <c r="I21" s="1770">
        <f>'2.1 Ampol Retail'!$G$19</f>
        <v>1</v>
      </c>
      <c r="J21" s="1770">
        <f>'2.1 Ampol Retail'!$H$19</f>
        <v>0</v>
      </c>
      <c r="K21" s="1770">
        <f>'2.1 Ampol Retail'!$L$19</f>
        <v>1</v>
      </c>
    </row>
    <row r="22">
      <c r="B22" s="1531" t="inlineStr">
        <is>
          <t>EGI Customer</t>
        </is>
      </c>
      <c r="C22" s="1531" t="inlineStr">
        <is>
          <t>Customer</t>
        </is>
      </c>
      <c r="D22" s="1769" t="str">
        <f>'2.2 Customer'!$M$17</f>
        <v>-</v>
      </c>
      <c r="E22" s="1769">
        <f>'2.2 Customer'!$N$17</f>
        <v>2.208135308</v>
      </c>
      <c r="F22" s="1769" t="str">
        <f>IFERROR(ROUND($E22-$D22,6),"-")</f>
        <v>-</v>
      </c>
      <c r="G22" s="1769">
        <f>'2.2 Customer'!$P$17</f>
        <v>2.208135308</v>
      </c>
      <c r="H22" s="1770">
        <f>'2.2 Customer'!$F$17</f>
        <v>10</v>
      </c>
      <c r="I22" s="1770">
        <f>'2.2 Customer'!$G$17</f>
        <v>10</v>
      </c>
      <c r="J22" s="1770">
        <f>'2.2 Customer'!$H$17</f>
        <v>0</v>
      </c>
      <c r="K22" s="1770">
        <f>'2.2 Customer'!$L$17</f>
        <v>10</v>
      </c>
    </row>
    <row r="23">
      <c r="B23" s="1531" t="inlineStr">
        <is>
          <t>EGI TDD</t>
        </is>
      </c>
      <c r="C23" s="1531" t="inlineStr">
        <is>
          <t>TDD Group Functions</t>
        </is>
      </c>
      <c r="D23" s="1769" t="str">
        <f>'2.4 TDD Group Functions'!$M$14</f>
        <v>-</v>
      </c>
      <c r="E23" s="1769">
        <f>'2.4 TDD Group Functions'!$N$14</f>
        <v>1.02484851</v>
      </c>
      <c r="F23" s="1769" t="str">
        <f>IFERROR(ROUND($E23-$D23,6),"-")</f>
        <v>-</v>
      </c>
      <c r="G23" s="1769">
        <f>'2.4 TDD Group Functions'!$P$14</f>
        <v>1.02484851</v>
      </c>
      <c r="H23" s="1770">
        <f>'2.4 TDD Group Functions'!$F$14</f>
        <v>4</v>
      </c>
      <c r="I23" s="1770">
        <f>'2.4 TDD Group Functions'!$G$14</f>
        <v>4</v>
      </c>
      <c r="J23" s="1770">
        <f>'2.4 TDD Group Functions'!$H$14</f>
        <v>0</v>
      </c>
      <c r="K23" s="1770">
        <f>'2.4 TDD Group Functions'!$L$14</f>
        <v>4</v>
      </c>
    </row>
    <row r="24">
      <c r="B24" s="1531" t="inlineStr">
        <is>
          <t>EGI P&amp;C</t>
        </is>
      </c>
      <c r="C24" s="1531" t="inlineStr">
        <is>
          <t>P&amp;C</t>
        </is>
      </c>
      <c r="D24" s="1769" t="str">
        <f>'2.5 P&amp;C'!$M$12</f>
        <v>-</v>
      </c>
      <c r="E24" s="1769">
        <f>'2.5 P&amp;C'!$N$12</f>
        <v>0.238965</v>
      </c>
      <c r="F24" s="1769" t="str">
        <f>IFERROR(ROUND($E24-$D24,6),"-")</f>
        <v>-</v>
      </c>
      <c r="G24" s="1769">
        <f>'2.5 P&amp;C'!$P$12</f>
        <v>0.238965</v>
      </c>
      <c r="H24" s="1770">
        <f>'2.5 P&amp;C'!$F$12</f>
        <v>1</v>
      </c>
      <c r="I24" s="1770">
        <f>'2.5 P&amp;C'!$G$12</f>
        <v>1</v>
      </c>
      <c r="J24" s="1770">
        <f>'2.5 P&amp;C'!$H$12</f>
        <v>0</v>
      </c>
      <c r="K24" s="1770">
        <f>'2.5 P&amp;C'!$L$12</f>
        <v>1</v>
      </c>
    </row>
    <row r="25">
      <c r="B25" s="1531" t="inlineStr">
        <is>
          <t>EGI Finance</t>
        </is>
      </c>
      <c r="C25" s="1531" t="inlineStr">
        <is>
          <t>Finance</t>
        </is>
      </c>
      <c r="D25" s="1769" t="str">
        <f>'2.6 Finance'!$M$12</f>
        <v>-</v>
      </c>
      <c r="E25" s="1769">
        <f>'2.6 Finance'!$N$12</f>
        <v>0.24172845</v>
      </c>
      <c r="F25" s="1769" t="str">
        <f>IFERROR(ROUND($E25-$D25,6),"-")</f>
        <v>-</v>
      </c>
      <c r="G25" s="1769">
        <f>'2.6 Finance'!$P$12</f>
        <v>0.24172845</v>
      </c>
      <c r="H25" s="1770">
        <f>'2.6 Finance'!$F$12</f>
        <v>1</v>
      </c>
      <c r="I25" s="1770">
        <f>'2.6 Finance'!$G$12</f>
        <v>1</v>
      </c>
      <c r="J25" s="1770">
        <f>'2.6 Finance'!$H$12</f>
        <v>0</v>
      </c>
      <c r="K25" s="1770">
        <f>'2.6 Finance'!$L$12</f>
        <v>1</v>
      </c>
    </row>
    <row r="26">
      <c r="B26" s="1531" t="inlineStr">
        <is>
          <t>CTRM</t>
        </is>
      </c>
      <c r="C26" s="1531" t="inlineStr">
        <is>
          <t>Commercial Fuels</t>
        </is>
      </c>
      <c r="D26" s="1769">
        <f>'2.9 Commercial Fuels'!$M$13</f>
        <v>3.8</v>
      </c>
      <c r="E26" s="1769">
        <f>'2.9 Commercial Fuels'!$N$13</f>
        <v>3.221759232</v>
      </c>
      <c r="F26" s="1769">
        <f>IFERROR(ROUND($E26-$D26,6),"-")</f>
        <v>-0.578241</v>
      </c>
      <c r="G26" s="1769">
        <f>'2.9 Commercial Fuels'!$P$13</f>
        <v>3.221759232</v>
      </c>
      <c r="H26" s="1770">
        <f>'2.9 Commercial Fuels'!$F$13</f>
        <v>14</v>
      </c>
      <c r="I26" s="1770">
        <f>'2.9 Commercial Fuels'!$G$13</f>
        <v>14</v>
      </c>
      <c r="J26" s="1770">
        <f>'2.9 Commercial Fuels'!$H$13</f>
        <v>0</v>
      </c>
      <c r="K26" s="1770">
        <f>'2.9 Commercial Fuels'!$L$13</f>
        <v>14</v>
      </c>
    </row>
    <row r="27">
      <c r="B27" s="1535" t="inlineStr">
        <is>
          <t>Directly funded, where the funded figure is set</t>
        </is>
      </c>
      <c r="C27" s="1535" t="n"/>
      <c r="D27" s="1771">
        <f>IF(COUNT($D19:$D26)=0,"-",SUM($D19:$D26))</f>
        <v>6.724089</v>
      </c>
      <c r="E27" s="1771">
        <f>SUMPRODUCT(--ISNUMBER($D19:$D26),E19:E26)</f>
        <v>6.558146564</v>
      </c>
      <c r="F27" s="1771">
        <f>IF(ISNUMBER($D27),ROUND($E27-$D27,6),"-")</f>
        <v>-0.165942</v>
      </c>
      <c r="G27" s="1771">
        <f>SUMPRODUCT(--ISNUMBER($D19:$D26),G19:G26)</f>
        <v>6.558146564</v>
      </c>
      <c r="H27" s="1772">
        <f>SUMPRODUCT(--ISNUMBER($D19:$D26),H19:H26)</f>
        <v>30</v>
      </c>
      <c r="I27" s="1772">
        <f>SUMPRODUCT(--ISNUMBER($D19:$D26),I19:I26)</f>
        <v>30</v>
      </c>
      <c r="J27" s="1772">
        <f>SUMPRODUCT(--ISNUMBER($D19:$D26),J19:J26)</f>
        <v>0</v>
      </c>
      <c r="K27" s="1772">
        <f>SUMPRODUCT(--ISNUMBER($D19:$D26),K19:K26)</f>
        <v>30</v>
      </c>
    </row>
    <row r="28">
      <c r="B28" s="1535" t="inlineStr">
        <is>
          <t>Directly funded, where no funded figure is set yet</t>
        </is>
      </c>
      <c r="C28" s="1535" t="n"/>
      <c r="D28" s="1771" t="str">
        <f>"-"</f>
        <v>-</v>
      </c>
      <c r="E28" s="1771">
        <f>SUMPRODUCT(--NOT(ISNUMBER($D19:$D26)),E19:E26)</f>
        <v>4.013377268</v>
      </c>
      <c r="F28" s="1771" t="str">
        <f>"-"</f>
        <v>-</v>
      </c>
      <c r="G28" s="1771">
        <f>SUMPRODUCT(--NOT(ISNUMBER($D19:$D26)),G19:G26)</f>
        <v>4.013377268</v>
      </c>
      <c r="H28" s="1772">
        <f>SUMPRODUCT(--NOT(ISNUMBER($D19:$D26)),H19:H26)</f>
        <v>17</v>
      </c>
      <c r="I28" s="1772">
        <f>SUMPRODUCT(--NOT(ISNUMBER($D19:$D26)),I19:I26)</f>
        <v>17</v>
      </c>
      <c r="J28" s="1772">
        <f>SUMPRODUCT(--NOT(ISNUMBER($D19:$D26)),J19:J26)</f>
        <v>0</v>
      </c>
      <c r="K28" s="1772">
        <f>SUMPRODUCT(--NOT(ISNUMBER($D19:$D26)),K19:K26)</f>
        <v>17</v>
      </c>
    </row>
    <row r="29">
      <c r="B29" s="1530" t="inlineStr">
        <is>
          <t>COEs and EGI - nothing prices these apart from what they cost</t>
        </is>
      </c>
      <c r="C29" s="1530" t="n"/>
      <c r="D29" s="1530" t="n"/>
      <c r="E29" s="1530" t="n"/>
      <c r="F29" s="1530" t="n"/>
      <c r="G29" s="1530" t="n"/>
      <c r="H29" s="1530" t="n"/>
      <c r="I29" s="1530" t="n"/>
      <c r="J29" s="1530" t="n"/>
      <c r="K29" s="1530" t="n"/>
    </row>
    <row r="30">
      <c r="B30" s="1531" t="inlineStr">
        <is>
          <t>COE Cyber</t>
        </is>
      </c>
      <c r="C30" s="1531" t="inlineStr">
        <is>
          <t>COE Cyber</t>
        </is>
      </c>
      <c r="D30" s="1769" t="str">
        <f>"-"</f>
        <v>-</v>
      </c>
      <c r="E30" s="1769">
        <f>'2.11 COE Cyber'!$N$23</f>
        <v>9.897858294</v>
      </c>
      <c r="F30" s="1769" t="str">
        <f>IFERROR(ROUND($E30-$D30,6),"-")</f>
        <v>-</v>
      </c>
      <c r="G30" s="1769">
        <f>'2.11 COE Cyber'!$P$23</f>
        <v>9.897858294</v>
      </c>
      <c r="H30" s="1770">
        <f>'2.11 COE Cyber'!$F$23</f>
        <v>46</v>
      </c>
      <c r="I30" s="1770">
        <f>'2.11 COE Cyber'!$G$23</f>
        <v>42</v>
      </c>
      <c r="J30" s="1770">
        <f>'2.11 COE Cyber'!$H$23</f>
        <v>4</v>
      </c>
      <c r="K30" s="1770">
        <f>'2.11 COE Cyber'!$L$23</f>
        <v>46</v>
      </c>
    </row>
    <row r="31">
      <c r="B31" s="1531" t="inlineStr">
        <is>
          <t>COE BP&amp;T</t>
        </is>
      </c>
      <c r="C31" s="1531" t="inlineStr">
        <is>
          <t>COE BP&amp;T</t>
        </is>
      </c>
      <c r="D31" s="1769" t="str">
        <f>"-"</f>
        <v>-</v>
      </c>
      <c r="E31" s="1769">
        <f>'2.12 COE BP&amp;T'!$N$21</f>
        <v>6.400561822</v>
      </c>
      <c r="F31" s="1769" t="str">
        <f>IFERROR(ROUND($E31-$D31,6),"-")</f>
        <v>-</v>
      </c>
      <c r="G31" s="1769">
        <f>'2.12 COE BP&amp;T'!$P$21</f>
        <v>6.400561822</v>
      </c>
      <c r="H31" s="1770">
        <f>'2.12 COE BP&amp;T'!$F$21</f>
        <v>24</v>
      </c>
      <c r="I31" s="1770">
        <f>'2.12 COE BP&amp;T'!$G$21</f>
        <v>15</v>
      </c>
      <c r="J31" s="1770">
        <f>'2.12 COE BP&amp;T'!$H$21</f>
        <v>9</v>
      </c>
      <c r="K31" s="1770">
        <f>'2.12 COE BP&amp;T'!$L$21</f>
        <v>24</v>
      </c>
    </row>
    <row r="32">
      <c r="B32" s="1531" t="inlineStr">
        <is>
          <t>COE SA&amp;D</t>
        </is>
      </c>
      <c r="C32" s="1531" t="inlineStr">
        <is>
          <t>COE SA&amp;D</t>
        </is>
      </c>
      <c r="D32" s="1769" t="str">
        <f>"-"</f>
        <v>-</v>
      </c>
      <c r="E32" s="1769">
        <f>'2.13 COE SA&amp;D'!$N$23</f>
        <v>6.529494052</v>
      </c>
      <c r="F32" s="1769" t="str">
        <f>IFERROR(ROUND($E32-$D32,6),"-")</f>
        <v>-</v>
      </c>
      <c r="G32" s="1769">
        <f>'2.13 COE SA&amp;D'!$P$23</f>
        <v>6.529494052</v>
      </c>
      <c r="H32" s="1770">
        <f>'2.13 COE SA&amp;D'!$F$23</f>
        <v>26</v>
      </c>
      <c r="I32" s="1770">
        <f>'2.13 COE SA&amp;D'!$G$23</f>
        <v>17</v>
      </c>
      <c r="J32" s="1770">
        <f>'2.13 COE SA&amp;D'!$H$23</f>
        <v>9</v>
      </c>
      <c r="K32" s="1770">
        <f>'2.13 COE SA&amp;D'!$L$23</f>
        <v>26</v>
      </c>
    </row>
    <row r="33">
      <c r="B33" s="1531" t="inlineStr">
        <is>
          <t>EGI</t>
        </is>
      </c>
      <c r="C33" s="1531" t="inlineStr">
        <is>
          <t>EGI</t>
        </is>
      </c>
      <c r="D33" s="1769" t="str">
        <f>"-"</f>
        <v>-</v>
      </c>
      <c r="E33" s="1769">
        <f>'2.14 EGI'!$N$19</f>
        <v>4.94341935</v>
      </c>
      <c r="F33" s="1769" t="str">
        <f>IFERROR(ROUND($E33-$D33,6),"-")</f>
        <v>-</v>
      </c>
      <c r="G33" s="1769">
        <f>'2.14 EGI'!$P$19</f>
        <v>4.94341935</v>
      </c>
      <c r="H33" s="1770">
        <f>'2.14 EGI'!$F$19</f>
        <v>17</v>
      </c>
      <c r="I33" s="1770">
        <f>'2.14 EGI'!$G$19</f>
        <v>17</v>
      </c>
      <c r="J33" s="1770">
        <f>'2.14 EGI'!$H$19</f>
        <v>0</v>
      </c>
      <c r="K33" s="1770">
        <f>'2.14 EGI'!$L$19</f>
        <v>17</v>
      </c>
    </row>
    <row r="34">
      <c r="B34" s="1535" t="inlineStr">
        <is>
          <t>COEs and EGI</t>
        </is>
      </c>
      <c r="C34" s="1535" t="n"/>
      <c r="D34" s="1771" t="str">
        <f>"-"</f>
        <v>-</v>
      </c>
      <c r="E34" s="1771">
        <f>N(E30)+N(E31)+N(E32)+N(E33)</f>
        <v>27.771333518</v>
      </c>
      <c r="F34" s="1771" t="str">
        <f>"-"</f>
        <v>-</v>
      </c>
      <c r="G34" s="1771">
        <f>N(G30)+N(G31)+N(G32)+N(G33)</f>
        <v>27.771333518</v>
      </c>
      <c r="H34" s="1772">
        <f>N(H30)+N(H31)+N(H32)+N(H33)</f>
        <v>113</v>
      </c>
      <c r="I34" s="1772">
        <f>N(I30)+N(I31)+N(I32)+N(I33)</f>
        <v>91</v>
      </c>
      <c r="J34" s="1772">
        <f>N(J30)+N(J31)+N(J32)+N(J33)</f>
        <v>22</v>
      </c>
      <c r="K34" s="1772">
        <f>N(K30)+N(K31)+N(K32)+N(K33)</f>
        <v>113</v>
      </c>
    </row>
    <row r="35">
      <c r="B35" s="1535" t="inlineStr">
        <is>
          <t>Overhead roles in the portfolios - the allowance is on 3.2</t>
        </is>
      </c>
      <c r="C35" s="1535" t="n"/>
      <c r="D35" s="1771">
        <f>N(Lists!$AJ$9)</f>
        <v>6.325</v>
      </c>
      <c r="E35" s="1771">
        <f>N('2.1 Ampol Retail'!$N$28)+N('2.2 Customer'!$N$26)+N('2.3 Enterprise Data'!$N$21)+N('2.4 TDD Group Functions'!$N$23)+N('2.5 P&amp;C'!$N$21)+N('2.6 Finance'!$N$19)+N('2.7 Infrastructure'!$N$23)+N('2.8 Energy Solutions &amp; B2B'!$N$22)+N('2.9 Commercial Fuels'!$N$22)+N('2.10 Z Retail'!$N$23)</f>
        <v>11.654230155</v>
      </c>
      <c r="F35" s="1771">
        <f>ROUND($E35-$D35,6)</f>
        <v>5.32923</v>
      </c>
      <c r="G35" s="1771">
        <f>N('2.1 Ampol Retail'!$P$28)+N('2.2 Customer'!$P$26)+N('2.3 Enterprise Data'!$P$21)+N('2.4 TDD Group Functions'!$P$23)+N('2.5 P&amp;C'!$P$21)+N('2.6 Finance'!$P$19)+N('2.7 Infrastructure'!$P$23)+N('2.8 Energy Solutions &amp; B2B'!$P$22)+N('2.9 Commercial Fuels'!$P$22)+N('2.10 Z Retail'!$P$23)</f>
        <v>11.654230155</v>
      </c>
      <c r="H35" s="1772">
        <f>N('2.1 Ampol Retail'!$F$28)+N('2.2 Customer'!$F$26)+N('2.3 Enterprise Data'!$F$21)+N('2.4 TDD Group Functions'!$F$23)+N('2.5 P&amp;C'!$F$21)+N('2.6 Finance'!$F$19)+N('2.7 Infrastructure'!$F$23)+N('2.8 Energy Solutions &amp; B2B'!$F$22)+N('2.9 Commercial Fuels'!$F$22)+N('2.10 Z Retail'!$F$23)</f>
        <v>43</v>
      </c>
      <c r="I35" s="1772">
        <f>N('2.1 Ampol Retail'!$G$28)+N('2.2 Customer'!$G$26)+N('2.3 Enterprise Data'!$G$21)+N('2.4 TDD Group Functions'!$G$23)+N('2.5 P&amp;C'!$G$21)+N('2.6 Finance'!$G$19)+N('2.7 Infrastructure'!$G$23)+N('2.8 Energy Solutions &amp; B2B'!$G$22)+N('2.9 Commercial Fuels'!$G$22)+N('2.10 Z Retail'!$G$23)</f>
        <v>26</v>
      </c>
      <c r="J35" s="1772">
        <f>N('2.1 Ampol Retail'!$H$28)+N('2.2 Customer'!$H$26)+N('2.3 Enterprise Data'!$H$21)+N('2.4 TDD Group Functions'!$H$23)+N('2.5 P&amp;C'!$H$21)+N('2.6 Finance'!$H$19)+N('2.7 Infrastructure'!$H$23)+N('2.8 Energy Solutions &amp; B2B'!$H$22)+N('2.9 Commercial Fuels'!$H$22)+N('2.10 Z Retail'!$H$23)</f>
        <v>17</v>
      </c>
      <c r="K35" s="1772">
        <f>N('2.1 Ampol Retail'!$L$28)+N('2.2 Customer'!$L$26)+N('2.3 Enterprise Data'!$L$21)+N('2.4 TDD Group Functions'!$L$23)+N('2.5 P&amp;C'!$L$21)+N('2.6 Finance'!$L$19)+N('2.7 Infrastructure'!$L$23)+N('2.8 Energy Solutions &amp; B2B'!$L$22)+N('2.9 Commercial Fuels'!$L$22)+N('2.10 Z Retail'!$L$23)</f>
        <v>43</v>
      </c>
    </row>
    <row r="36">
      <c r="B36" s="1541" t="inlineStr">
        <is>
          <t>Everything with a figure to compare</t>
        </is>
      </c>
      <c r="C36" s="1541" t="n"/>
      <c r="D36" s="1773">
        <f>N(D17)+N(D27)+N(D35)</f>
        <v>77.249089</v>
      </c>
      <c r="E36" s="1773">
        <f>N(E17)+N(E27)+N(E35)</f>
        <v>82.1933743341</v>
      </c>
      <c r="F36" s="1773">
        <f>ROUND($E36-$D36,6)</f>
        <v>4.944285</v>
      </c>
      <c r="G36" s="1773">
        <f>N(G17)+N(G27)+N(G35)</f>
        <v>82.1933743341</v>
      </c>
      <c r="H36" s="1774">
        <f>N(H17)+N(H27)+N(H35)</f>
        <v>389</v>
      </c>
      <c r="I36" s="1774">
        <f>N(I17)+N(I27)+N(I35)</f>
        <v>277</v>
      </c>
      <c r="J36" s="1774">
        <f>N(J17)+N(J27)+N(J35)</f>
        <v>112</v>
      </c>
      <c r="K36" s="1774">
        <f>N(K17)+N(K27)+N(K35)</f>
        <v>389</v>
      </c>
    </row>
    <row r="37">
      <c r="B37" s="1530" t="inlineStr">
        <is>
          <t>Groups with no archetype and no funded figure - nothing to compare to</t>
        </is>
      </c>
      <c r="C37" s="1530" t="n"/>
      <c r="D37" s="1530" t="n"/>
      <c r="E37" s="1530" t="n"/>
      <c r="F37" s="1530" t="n"/>
      <c r="G37" s="1530" t="n"/>
      <c r="H37" s="1530" t="n"/>
      <c r="I37" s="1530" t="n"/>
      <c r="J37" s="1530" t="n"/>
      <c r="K37" s="1530" t="n"/>
    </row>
    <row r="38">
      <c r="B38" s="1531" t="inlineStr">
        <is>
          <t>Leadership</t>
        </is>
      </c>
      <c r="C38" s="1531" t="inlineStr">
        <is>
          <t>Customer</t>
        </is>
      </c>
      <c r="D38" s="1769" t="str">
        <f>"-"</f>
        <v>-</v>
      </c>
      <c r="E38" s="1769">
        <f>'2.2 Customer'!$N$20</f>
        <v>1.048250048</v>
      </c>
      <c r="F38" s="1769" t="str">
        <f>IFERROR(ROUND($E38-$D38,6),"-")</f>
        <v>-</v>
      </c>
      <c r="G38" s="1769">
        <f>'2.2 Customer'!$P$20</f>
        <v>1.048250048</v>
      </c>
      <c r="H38" s="1770">
        <f>'2.2 Customer'!$F$20</f>
        <v>5</v>
      </c>
      <c r="I38" s="1770">
        <f>'2.2 Customer'!$G$20</f>
        <v>4</v>
      </c>
      <c r="J38" s="1770">
        <f>'2.2 Customer'!$H$20</f>
        <v>1</v>
      </c>
      <c r="K38" s="1770">
        <f>'2.2 Customer'!$L$20</f>
        <v>5</v>
      </c>
    </row>
    <row r="39">
      <c r="B39" s="1531" t="inlineStr">
        <is>
          <t>Leadership</t>
        </is>
      </c>
      <c r="C39" s="1531" t="inlineStr">
        <is>
          <t>Infrastructure</t>
        </is>
      </c>
      <c r="D39" s="1769" t="str">
        <f>"-"</f>
        <v>-</v>
      </c>
      <c r="E39" s="1769">
        <f>'2.7 Infrastructure'!$N$17</f>
        <v>0.2566671</v>
      </c>
      <c r="F39" s="1769" t="str">
        <f>IFERROR(ROUND($E39-$D39,6),"-")</f>
        <v>-</v>
      </c>
      <c r="G39" s="1769">
        <f>'2.7 Infrastructure'!$P$17</f>
        <v>0.2566671</v>
      </c>
      <c r="H39" s="1770">
        <f>'2.7 Infrastructure'!$F$17</f>
        <v>1</v>
      </c>
      <c r="I39" s="1770">
        <f>'2.7 Infrastructure'!$G$17</f>
        <v>1</v>
      </c>
      <c r="J39" s="1770">
        <f>'2.7 Infrastructure'!$H$17</f>
        <v>0</v>
      </c>
      <c r="K39" s="1770">
        <f>'2.7 Infrastructure'!$L$17</f>
        <v>1</v>
      </c>
    </row>
    <row r="40">
      <c r="B40" s="1535" t="inlineStr">
        <is>
          <t>Groups with no archetype and no funded figure</t>
        </is>
      </c>
      <c r="C40" s="1535" t="n"/>
      <c r="D40" s="1771" t="str">
        <f>"-"</f>
        <v>-</v>
      </c>
      <c r="E40" s="1771">
        <f>N(E38)+N(E39)</f>
        <v>1.304917148</v>
      </c>
      <c r="F40" s="1771" t="str">
        <f>"-"</f>
        <v>-</v>
      </c>
      <c r="G40" s="1771">
        <f>N(G38)+N(G39)</f>
        <v>1.304917148</v>
      </c>
      <c r="H40" s="1772">
        <f>N(H38)+N(H39)</f>
        <v>6</v>
      </c>
      <c r="I40" s="1772">
        <f>N(I38)+N(I39)</f>
        <v>5</v>
      </c>
      <c r="J40" s="1772">
        <f>N(J38)+N(J39)</f>
        <v>1</v>
      </c>
      <c r="K40" s="1772">
        <f>N(K38)+N(K39)</f>
        <v>6</v>
      </c>
    </row>
    <row r="41">
      <c r="B41" s="1541" t="inlineStr">
        <is>
          <t>Cost of the 525 roles in the ledger</t>
        </is>
      </c>
      <c r="C41" s="1541" t="n"/>
      <c r="D41" s="1773" t="str">
        <f>"-"</f>
        <v>-</v>
      </c>
      <c r="E41" s="1773">
        <f>N(E17)+N(E27)+N(E28)+N(E40)+N(E34)+N(E35)</f>
        <v>115.2830022681</v>
      </c>
      <c r="F41" s="1773" t="str">
        <f>"-"</f>
        <v>-</v>
      </c>
      <c r="G41" s="1773">
        <f>N(G17)+N(G27)+N(G28)+N(G40)+N(G34)+N(G35)</f>
        <v>115.2830022681</v>
      </c>
      <c r="H41" s="1774">
        <f>N(H17)+N(H27)+N(H28)+N(H40)+N(H34)+N(H35)</f>
        <v>525</v>
      </c>
      <c r="I41" s="1774">
        <f>N(I17)+N(I27)+N(I28)+N(I40)+N(I34)+N(I35)</f>
        <v>390</v>
      </c>
      <c r="J41" s="1774">
        <f>N(J17)+N(J27)+N(J28)+N(J40)+N(J34)+N(J35)</f>
        <v>135</v>
      </c>
      <c r="K41" s="1774">
        <f>N(K17)+N(K27)+N(K28)+N(K40)+N(K34)+N(K35)</f>
        <v>525</v>
      </c>
    </row>
    <row r="42">
      <c r="B42" s="1775" t="inlineStr">
        <is>
          <t>Leadership - the 8 GMs, outside the 525-role ledger</t>
        </is>
      </c>
      <c r="C42" s="1775" t="n"/>
      <c r="D42" s="1776">
        <f>N(Lists!$AJ$7)</f>
        <v>3</v>
      </c>
      <c r="E42" s="1776">
        <f>N(Lists!$AG$12)</f>
        <v>5.1</v>
      </c>
      <c r="F42" s="1776">
        <f>ROUND($E42-$D42,6)</f>
        <v>2.1</v>
      </c>
      <c r="G42" s="1776">
        <f>N(Lists!$AG$12)</f>
        <v>5.1</v>
      </c>
      <c r="H42" s="1777">
        <f>N(Lists!$AG$11)</f>
        <v>8</v>
      </c>
      <c r="I42" s="1777">
        <f>N(Lists!$AG$11)</f>
        <v>8</v>
      </c>
      <c r="J42" s="1777">
        <f>0</f>
        <v>0</v>
      </c>
      <c r="K42" s="1777">
        <f>N(Lists!$AG$11)</f>
        <v>8</v>
      </c>
    </row>
    <row r="43">
      <c r="B43" s="1541" t="inlineStr">
        <is>
          <t>Total cost of TDD including the GM layer</t>
        </is>
      </c>
      <c r="C43" s="1541" t="n"/>
      <c r="D43" s="1773" t="str">
        <f>"-"</f>
        <v>-</v>
      </c>
      <c r="E43" s="1773">
        <f>N(E41)+N(E42)</f>
        <v>120.3830022681</v>
      </c>
      <c r="F43" s="1773" t="str">
        <f>"-"</f>
        <v>-</v>
      </c>
      <c r="G43" s="1773">
        <f>N(G41)+N(G42)</f>
        <v>120.3830022681</v>
      </c>
      <c r="H43" s="1774">
        <f>N(H41)+N(H42)</f>
        <v>533</v>
      </c>
      <c r="I43" s="1774">
        <f>N(I41)+N(I42)</f>
        <v>398</v>
      </c>
      <c r="J43" s="1774">
        <f>N(J41)+N(J42)</f>
        <v>135</v>
      </c>
      <c r="K43" s="1774">
        <f>N(K41)+N(K42)</f>
        <v>533</v>
      </c>
    </row>
    <row r="45">
      <c r="B45" s="1526" t="inlineStr">
        <is>
          <t>Control - roles against the ledger, must be 0</t>
        </is>
      </c>
      <c r="H45" s="1778">
        <f>$H$41-COUNTA('REVIEW - Complete Role Mapping'!$B$2:$B$528)</f>
        <v>0</v>
      </c>
    </row>
    <row r="46">
      <c r="B46" s="1526" t="inlineStr">
        <is>
          <t>Control - cost against the ledger ($m), must be 0</t>
        </is>
      </c>
      <c r="E46" s="1779">
        <f>ROUND($E$41-SUM('REVIEW - Complete Role Mapping'!$AA$2:$AA$528)/1000000,6)</f>
        <v>0</v>
      </c>
    </row>
  </sheetData>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39.xml><?xml version="1.0" encoding="utf-8"?>
<worksheet xmlns="http://schemas.openxmlformats.org/spreadsheetml/2006/main">
  <sheetPr filterMode="0">
    <tabColor rgb="FF002F6C"/>
    <outlinePr summaryBelow="1" summaryRight="1"/>
    <pageSetUpPr fitToPage="1"/>
  </sheetPr>
  <dimension ref="B2:L25"/>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A1" activeCellId="0" sqref="A1"/>
      <selection pane="topRight" activeCell="C1" activeCellId="0" sqref="C1"/>
      <selection pane="bottomLeft" activeCell="A6" activeCellId="0" sqref="A6"/>
      <selection pane="bottomRight" activeCell="B15" activeCellId="0" sqref="B15"/>
    </sheetView>
  </sheetViews>
  <sheetFormatPr baseColWidth="8" defaultColWidth="8.5390625" defaultRowHeight="14.25" zeroHeight="0" outlineLevelRow="0"/>
  <cols>
    <col width="2" customWidth="1" style="866" min="1" max="1"/>
    <col width="34" customWidth="1" style="866" min="2" max="2"/>
    <col width="42" customWidth="1" style="866" min="3" max="3"/>
    <col width="14" customWidth="1" style="866" min="4" max="4"/>
    <col width="12" customWidth="1" style="866" min="5" max="5"/>
    <col width="16" customWidth="1" style="866" min="6" max="6"/>
    <col width="13" customWidth="1" style="866" min="7" max="7"/>
    <col width="15" customWidth="1" style="866" min="8" max="8"/>
    <col width="19" customWidth="1" style="866" min="9" max="9"/>
    <col width="12" customWidth="1" style="866" min="10" max="10"/>
    <col width="15" customWidth="1" style="866" min="11" max="11"/>
    <col width="17" customWidth="1" style="866" min="12" max="12"/>
  </cols>
  <sheetData>
    <row r="2">
      <c r="B2" s="1524" t="inlineStr">
        <is>
          <t>Overhead &amp; Leadership - the allowance against what it costs</t>
        </is>
      </c>
    </row>
    <row r="4" ht="19" customHeight="1" s="866">
      <c r="B4" s="1527" t="inlineStr">
        <is>
          <t>Overhead roles, line by line</t>
        </is>
      </c>
      <c r="C4" s="1528" t="n"/>
      <c r="D4" s="1528" t="n"/>
      <c r="E4" s="1528" t="n"/>
      <c r="F4" s="1528" t="n"/>
      <c r="G4" s="1528" t="n"/>
      <c r="H4" s="1528" t="n"/>
      <c r="I4" s="1528" t="n"/>
      <c r="J4" s="1528" t="n"/>
      <c r="K4" s="1528" t="n"/>
      <c r="L4" s="1528" t="n"/>
    </row>
    <row r="5" ht="48" customHeight="1" s="866">
      <c r="B5" s="1529" t="inlineStr">
        <is>
          <t>Overhead line</t>
        </is>
      </c>
      <c r="C5" s="1529" t="inlineStr">
        <is>
          <t>Basis</t>
        </is>
      </c>
      <c r="D5" s="1529" t="inlineStr">
        <is>
          <t>Rate ($m)</t>
        </is>
      </c>
      <c r="E5" s="1529" t="inlineStr">
        <is>
          <t>Times applied</t>
        </is>
      </c>
      <c r="F5" s="1529" t="inlineStr">
        <is>
          <t>Allowance ($m)</t>
        </is>
      </c>
      <c r="G5" s="1529" t="inlineStr">
        <is>
          <t>Roles in the portfolios</t>
        </is>
      </c>
      <c r="H5" s="1529" t="inlineStr">
        <is>
          <t>Cost in the portfolios ($m)</t>
        </is>
      </c>
      <c r="I5" s="1529" t="inlineStr">
        <is>
          <t>Portfolio cost less allowance ($m)</t>
        </is>
      </c>
      <c r="J5" s="1529" t="inlineStr">
        <is>
          <t>Roles inside the COEs</t>
        </is>
      </c>
      <c r="K5" s="1529" t="inlineStr">
        <is>
          <t>Cost inside the COEs ($m)</t>
        </is>
      </c>
      <c r="L5" s="1529" t="inlineStr">
        <is>
          <t>Allowance drawn in the portfolios</t>
        </is>
      </c>
    </row>
    <row r="6">
      <c r="B6" s="1531" t="str">
        <f>Lists!$AF$2</f>
        <v>Head of Technology</v>
      </c>
      <c r="C6" s="1531" t="str">
        <f>Lists!$AI$2</f>
        <v>portfolios</v>
      </c>
      <c r="D6" s="1802">
        <f>Lists!$AG$2</f>
        <v>0.1375</v>
      </c>
      <c r="E6" s="1770">
        <f>Lists!$AH$2</f>
        <v>10</v>
      </c>
      <c r="F6" s="1769">
        <f>Lists!$AJ$2</f>
        <v>1.375</v>
      </c>
      <c r="G6" s="1770">
        <f>IF($B6="Leadership - 8 GMs",N(Lists!$AG$11),COUNTIFS('REVIEW - Complete Role Mapping'!$AR$2:$AR$528,$B6,'REVIEW - Complete Role Mapping'!$B$2:$B$528,"&lt;&gt;",'REVIEW - Complete Role Mapping'!$AT$2:$AT$528,$B6))</f>
        <v>10</v>
      </c>
      <c r="H6" s="1769">
        <f>IF($B6="Leadership - 8 GMs",N(Lists!$AG$12),SUMIFS('REVIEW - Complete Role Mapping'!$AA$2:$AA$528,'REVIEW - Complete Role Mapping'!$AR$2:$AR$528,$B6,'REVIEW - Complete Role Mapping'!$B$2:$B$528,"&lt;&gt;",'REVIEW - Complete Role Mapping'!$AT$2:$AT$528,$B6)/1000000)</f>
        <v>3.050314036</v>
      </c>
      <c r="I6" s="1769">
        <f>ROUND($H6-$F6,6)</f>
        <v>1.675314</v>
      </c>
      <c r="J6" s="1770">
        <f>IF($B6="Leadership - 8 GMs",0,COUNTIFS('REVIEW - Complete Role Mapping'!$AR$2:$AR$528,$B6,'REVIEW - Complete Role Mapping'!$B$2:$B$528,"&lt;&gt;")-$G6)</f>
        <v>5</v>
      </c>
      <c r="K6" s="1769">
        <f>IF($B6="Leadership - 8 GMs",0,SUMIFS('REVIEW - Complete Role Mapping'!$AA$2:$AA$528,'REVIEW - Complete Role Mapping'!$AR$2:$AR$528,$B6,'REVIEW - Complete Role Mapping'!$B$2:$B$528,"&lt;&gt;")/1000000-$H6)</f>
        <v>1.8191523</v>
      </c>
      <c r="L6" s="1781" t="str">
        <f>Lists!$AM$2</f>
        <v>Yes</v>
      </c>
    </row>
    <row r="7">
      <c r="B7" s="1531" t="str">
        <f>Lists!$AF$3</f>
        <v>Business Partner</v>
      </c>
      <c r="C7" s="1531" t="str">
        <f>Lists!$AI$3</f>
        <v>portfolios</v>
      </c>
      <c r="D7" s="1802">
        <f>Lists!$AG$3</f>
        <v>0.22</v>
      </c>
      <c r="E7" s="1770">
        <f>Lists!$AH$3</f>
        <v>10</v>
      </c>
      <c r="F7" s="1769">
        <f>Lists!$AJ$3</f>
        <v>2.2</v>
      </c>
      <c r="G7" s="1770">
        <f>IF($B7="Leadership - 8 GMs",N(Lists!$AG$11),COUNTIFS('REVIEW - Complete Role Mapping'!$AR$2:$AR$528,$B7,'REVIEW - Complete Role Mapping'!$B$2:$B$528,"&lt;&gt;",'REVIEW - Complete Role Mapping'!$AT$2:$AT$528,$B7))</f>
        <v>0</v>
      </c>
      <c r="H7" s="1769">
        <f>IF($B7="Leadership - 8 GMs",N(Lists!$AG$12),SUMIFS('REVIEW - Complete Role Mapping'!$AA$2:$AA$528,'REVIEW - Complete Role Mapping'!$AR$2:$AR$528,$B7,'REVIEW - Complete Role Mapping'!$B$2:$B$528,"&lt;&gt;",'REVIEW - Complete Role Mapping'!$AT$2:$AT$528,$B7)/1000000)</f>
        <v>0</v>
      </c>
      <c r="I7" s="1769">
        <f>ROUND($H7-$F7,6)</f>
        <v>-2.2</v>
      </c>
      <c r="J7" s="1770">
        <f>IF($B7="Leadership - 8 GMs",0,COUNTIFS('REVIEW - Complete Role Mapping'!$AR$2:$AR$528,$B7,'REVIEW - Complete Role Mapping'!$B$2:$B$528,"&lt;&gt;")-$G7)</f>
        <v>6</v>
      </c>
      <c r="K7" s="1769">
        <f>IF($B7="Leadership - 8 GMs",0,SUMIFS('REVIEW - Complete Role Mapping'!$AA$2:$AA$528,'REVIEW - Complete Role Mapping'!$AR$2:$AR$528,$B7,'REVIEW - Complete Role Mapping'!$B$2:$B$528,"&lt;&gt;")/1000000-$H7)</f>
        <v>2.3135484</v>
      </c>
      <c r="L7" s="1781" t="str">
        <f>Lists!$AM$3</f>
        <v>No</v>
      </c>
    </row>
    <row r="8">
      <c r="B8" s="1531" t="str">
        <f>Lists!$AF$4</f>
        <v>Domain Architect</v>
      </c>
      <c r="C8" s="1531" t="str">
        <f>Lists!$AI$4</f>
        <v>portfolios</v>
      </c>
      <c r="D8" s="1802">
        <f>Lists!$AG$4</f>
        <v>0.14</v>
      </c>
      <c r="E8" s="1770">
        <f>Lists!$AH$4</f>
        <v>10</v>
      </c>
      <c r="F8" s="1769">
        <f>Lists!$AJ$4</f>
        <v>1.4</v>
      </c>
      <c r="G8" s="1770">
        <f>IF($B8="Leadership - 8 GMs",N(Lists!$AG$11),COUNTIFS('REVIEW - Complete Role Mapping'!$AR$2:$AR$528,$B8,'REVIEW - Complete Role Mapping'!$B$2:$B$528,"&lt;&gt;",'REVIEW - Complete Role Mapping'!$AT$2:$AT$528,$B8))</f>
        <v>0</v>
      </c>
      <c r="H8" s="1769">
        <f>IF($B8="Leadership - 8 GMs",N(Lists!$AG$12),SUMIFS('REVIEW - Complete Role Mapping'!$AA$2:$AA$528,'REVIEW - Complete Role Mapping'!$AR$2:$AR$528,$B8,'REVIEW - Complete Role Mapping'!$B$2:$B$528,"&lt;&gt;",'REVIEW - Complete Role Mapping'!$AT$2:$AT$528,$B8)/1000000)</f>
        <v>0</v>
      </c>
      <c r="I8" s="1769">
        <f>ROUND($H8-$F8,6)</f>
        <v>-1.4</v>
      </c>
      <c r="J8" s="1770">
        <f>IF($B8="Leadership - 8 GMs",0,COUNTIFS('REVIEW - Complete Role Mapping'!$AR$2:$AR$528,$B8,'REVIEW - Complete Role Mapping'!$B$2:$B$528,"&lt;&gt;")-$G8)</f>
        <v>7</v>
      </c>
      <c r="K8" s="1769">
        <f>IF($B8="Leadership - 8 GMs",0,SUMIFS('REVIEW - Complete Role Mapping'!$AA$2:$AA$528,'REVIEW - Complete Role Mapping'!$AR$2:$AR$528,$B8,'REVIEW - Complete Role Mapping'!$B$2:$B$528,"&lt;&gt;")/1000000-$H8)</f>
        <v>1.664746536</v>
      </c>
      <c r="L8" s="1781" t="str">
        <f>Lists!$AM$4</f>
        <v>No</v>
      </c>
    </row>
    <row r="9">
      <c r="B9" s="1531" t="str">
        <f>Lists!$AF$5</f>
        <v>Delivery Manager</v>
      </c>
      <c r="C9" s="1531" t="str">
        <f>Lists!$AI$5</f>
        <v>platforms</v>
      </c>
      <c r="D9" s="1802">
        <f>Lists!$AG$5</f>
        <v>0.084</v>
      </c>
      <c r="E9" s="1770">
        <f>Lists!$AH$5</f>
        <v>30</v>
      </c>
      <c r="F9" s="1769">
        <f>Lists!$AJ$5</f>
        <v>2.52</v>
      </c>
      <c r="G9" s="1770">
        <f>IF($B9="Leadership - 8 GMs",N(Lists!$AG$11),COUNTIFS('REVIEW - Complete Role Mapping'!$AR$2:$AR$528,$B9,'REVIEW - Complete Role Mapping'!$B$2:$B$528,"&lt;&gt;",'REVIEW - Complete Role Mapping'!$AT$2:$AT$528,$B9))</f>
        <v>9</v>
      </c>
      <c r="H9" s="1769">
        <f>IF($B9="Leadership - 8 GMs",N(Lists!$AG$12),SUMIFS('REVIEW - Complete Role Mapping'!$AA$2:$AA$528,'REVIEW - Complete Role Mapping'!$AR$2:$AR$528,$B9,'REVIEW - Complete Role Mapping'!$B$2:$B$528,"&lt;&gt;",'REVIEW - Complete Role Mapping'!$AT$2:$AT$528,$B9)/1000000)</f>
        <v>2.30571395</v>
      </c>
      <c r="I9" s="1769">
        <f>ROUND($H9-$F9,6)</f>
        <v>-0.214286</v>
      </c>
      <c r="J9" s="1770">
        <f>IF($B9="Leadership - 8 GMs",0,COUNTIFS('REVIEW - Complete Role Mapping'!$AR$2:$AR$528,$B9,'REVIEW - Complete Role Mapping'!$B$2:$B$528,"&lt;&gt;")-$G9)</f>
        <v>1</v>
      </c>
      <c r="K9" s="1769">
        <f>IF($B9="Leadership - 8 GMs",0,SUMIFS('REVIEW - Complete Role Mapping'!$AA$2:$AA$528,'REVIEW - Complete Role Mapping'!$AR$2:$AR$528,$B9,'REVIEW - Complete Role Mapping'!$B$2:$B$528,"&lt;&gt;")/1000000-$H9)</f>
        <v>0.3690886</v>
      </c>
      <c r="L9" s="1781" t="str">
        <f>Lists!$AM$5</f>
        <v>Yes</v>
      </c>
    </row>
    <row r="10">
      <c r="B10" s="1531" t="str">
        <f>Lists!$AF$6</f>
        <v>Technology Manager</v>
      </c>
      <c r="C10" s="1531" t="str">
        <f>Lists!$AI$6</f>
        <v>platforms</v>
      </c>
      <c r="D10" s="1802">
        <f>Lists!$AG$6</f>
        <v>0.081</v>
      </c>
      <c r="E10" s="1770">
        <f>Lists!$AH$6</f>
        <v>30</v>
      </c>
      <c r="F10" s="1769">
        <f>Lists!$AJ$6</f>
        <v>2.43</v>
      </c>
      <c r="G10" s="1770">
        <f>IF($B10="Leadership - 8 GMs",N(Lists!$AG$11),COUNTIFS('REVIEW - Complete Role Mapping'!$AR$2:$AR$528,$B10,'REVIEW - Complete Role Mapping'!$B$2:$B$528,"&lt;&gt;",'REVIEW - Complete Role Mapping'!$AT$2:$AT$528,$B10))</f>
        <v>24</v>
      </c>
      <c r="H10" s="1769">
        <f>IF($B10="Leadership - 8 GMs",N(Lists!$AG$12),SUMIFS('REVIEW - Complete Role Mapping'!$AA$2:$AA$528,'REVIEW - Complete Role Mapping'!$AR$2:$AR$528,$B10,'REVIEW - Complete Role Mapping'!$B$2:$B$528,"&lt;&gt;",'REVIEW - Complete Role Mapping'!$AT$2:$AT$528,$B10)/1000000)</f>
        <v>6.298202169</v>
      </c>
      <c r="I10" s="1769">
        <f>ROUND($H10-$F10,6)</f>
        <v>3.868202</v>
      </c>
      <c r="J10" s="1770">
        <f>IF($B10="Leadership - 8 GMs",0,COUNTIFS('REVIEW - Complete Role Mapping'!$AR$2:$AR$528,$B10,'REVIEW - Complete Role Mapping'!$B$2:$B$528,"&lt;&gt;")-$G10)</f>
        <v>0</v>
      </c>
      <c r="K10" s="1769">
        <f>IF($B10="Leadership - 8 GMs",0,SUMIFS('REVIEW - Complete Role Mapping'!$AA$2:$AA$528,'REVIEW - Complete Role Mapping'!$AR$2:$AR$528,$B10,'REVIEW - Complete Role Mapping'!$B$2:$B$528,"&lt;&gt;")/1000000-$H10)</f>
        <v>0</v>
      </c>
      <c r="L10" s="1781" t="str">
        <f>Lists!$AM$6</f>
        <v>Yes</v>
      </c>
    </row>
    <row r="11">
      <c r="B11" s="1531" t="str">
        <f>Lists!$AF$7</f>
        <v>Leadership - 8 GMs</v>
      </c>
      <c r="C11" s="1531" t="str">
        <f>Lists!$AI$7</f>
        <v>portfolios</v>
      </c>
      <c r="D11" s="1802">
        <f>Lists!$AG$7</f>
        <v>0.3</v>
      </c>
      <c r="E11" s="1770">
        <f>Lists!$AH$7</f>
        <v>10</v>
      </c>
      <c r="F11" s="1769">
        <f>Lists!$AJ$7</f>
        <v>3</v>
      </c>
      <c r="G11" s="1770">
        <f>IF($B11="Leadership - 8 GMs",N(Lists!$AG$11),COUNTIFS('REVIEW - Complete Role Mapping'!$AR$2:$AR$528,$B11,'REVIEW - Complete Role Mapping'!$B$2:$B$528,"&lt;&gt;",'REVIEW - Complete Role Mapping'!$AT$2:$AT$528,$B11))</f>
        <v>8</v>
      </c>
      <c r="H11" s="1769">
        <f>IF($B11="Leadership - 8 GMs",N(Lists!$AG$12),SUMIFS('REVIEW - Complete Role Mapping'!$AA$2:$AA$528,'REVIEW - Complete Role Mapping'!$AR$2:$AR$528,$B11,'REVIEW - Complete Role Mapping'!$B$2:$B$528,"&lt;&gt;",'REVIEW - Complete Role Mapping'!$AT$2:$AT$528,$B11)/1000000)</f>
        <v>5.1</v>
      </c>
      <c r="I11" s="1769">
        <f>ROUND($H11-$F11,6)</f>
        <v>2.1</v>
      </c>
      <c r="J11" s="1770">
        <f>IF($B11="Leadership - 8 GMs",0,COUNTIFS('REVIEW - Complete Role Mapping'!$AR$2:$AR$528,$B11,'REVIEW - Complete Role Mapping'!$B$2:$B$528,"&lt;&gt;")-$G11)</f>
        <v>0</v>
      </c>
      <c r="K11" s="1769">
        <f>IF($B11="Leadership - 8 GMs",0,SUMIFS('REVIEW - Complete Role Mapping'!$AA$2:$AA$528,'REVIEW - Complete Role Mapping'!$AR$2:$AR$528,$B11,'REVIEW - Complete Role Mapping'!$B$2:$B$528,"&lt;&gt;")/1000000-$H11)</f>
        <v>0</v>
      </c>
      <c r="L11" s="1781" t="str">
        <f>Lists!$AM$7</f>
        <v>No</v>
      </c>
    </row>
    <row r="12">
      <c r="B12" s="1541" t="inlineStr">
        <is>
          <t>Every overhead line, including the GM layer</t>
        </is>
      </c>
      <c r="C12" s="1541" t="n"/>
      <c r="D12" s="1541" t="n"/>
      <c r="E12" s="1541" t="n"/>
      <c r="F12" s="1773">
        <f>SUM(F6:F11)</f>
        <v>12.925</v>
      </c>
      <c r="G12" s="1774">
        <f>SUM(G6:G11)</f>
        <v>51</v>
      </c>
      <c r="H12" s="1773">
        <f>SUM(H6:H11)</f>
        <v>16.754230155</v>
      </c>
      <c r="I12" s="1773">
        <f>SUM(I6:I11)</f>
        <v>3.82923</v>
      </c>
      <c r="J12" s="1774">
        <f>SUM(J6:J11)</f>
        <v>19</v>
      </c>
      <c r="K12" s="1773">
        <f>SUM(K6:K11)</f>
        <v>6.166535836</v>
      </c>
      <c r="L12" s="1541" t="n"/>
    </row>
    <row r="13">
      <c r="B13" s="1535" t="inlineStr">
        <is>
          <t>Of which sits in the 525-role ledger - the 3.1 overhead line</t>
        </is>
      </c>
      <c r="C13" s="1535" t="n"/>
      <c r="D13" s="1535" t="n"/>
      <c r="E13" s="1535" t="n"/>
      <c r="F13" s="1771">
        <f>N(Lists!$AJ$9)</f>
        <v>6.325</v>
      </c>
      <c r="G13" s="1772">
        <f>'3.1 Cost Bridge'!$H$35</f>
        <v>43</v>
      </c>
      <c r="H13" s="1771">
        <f>'3.1 Cost Bridge'!$E$35</f>
        <v>11.654230155</v>
      </c>
      <c r="I13" s="1771">
        <f>ROUND($H13-$F13,6)</f>
        <v>5.32923</v>
      </c>
      <c r="J13" s="1535" t="n"/>
      <c r="K13" s="1535" t="n"/>
      <c r="L13" s="1535" t="n"/>
    </row>
    <row r="15" ht="19" customHeight="1" s="866">
      <c r="B15" s="1527" t="inlineStr">
        <is>
          <t>What the allocated rate is built from</t>
        </is>
      </c>
      <c r="C15" s="1528" t="n"/>
      <c r="D15" s="1528" t="n"/>
      <c r="E15" s="1528" t="n"/>
      <c r="F15" s="1528" t="n"/>
    </row>
    <row r="16" ht="34" customHeight="1" s="866">
      <c r="B16" s="1529" t="inlineStr">
        <is>
          <t>Input</t>
        </is>
      </c>
      <c r="C16" s="1529" t="inlineStr">
        <is>
          <t>Where it is set on 0.2 Data Config</t>
        </is>
      </c>
      <c r="D16" s="1529" t="inlineStr">
        <is>
          <t>Full role cost ($m)</t>
        </is>
      </c>
      <c r="E16" s="1529" t="inlineStr">
        <is>
          <t>Allocation %</t>
        </is>
      </c>
      <c r="F16" s="1529" t="inlineStr">
        <is>
          <t>Allocated rate ($m)</t>
        </is>
      </c>
    </row>
    <row r="17">
      <c r="B17" s="1531" t="inlineStr">
        <is>
          <t>Head of Technology</t>
        </is>
      </c>
      <c r="C17" s="1531" t="inlineStr">
        <is>
          <t>Portfolio Overhead, Head of Tech</t>
        </is>
      </c>
      <c r="D17" s="1802">
        <f>'0.2 Data Config'!$J$6</f>
        <v>0.275</v>
      </c>
      <c r="E17" s="1782">
        <f>'0.2 Data Config'!$K$6</f>
        <v>0.5</v>
      </c>
      <c r="F17" s="1802">
        <f>Lists!$AG$2</f>
        <v>0.1375</v>
      </c>
    </row>
    <row r="18">
      <c r="B18" s="1531" t="inlineStr">
        <is>
          <t>Business Partner</t>
        </is>
      </c>
      <c r="C18" s="1531" t="inlineStr">
        <is>
          <t>Portfolio Overhead, Business Partner</t>
        </is>
      </c>
      <c r="D18" s="1802">
        <f>'0.2 Data Config'!$J$7</f>
        <v>0.44</v>
      </c>
      <c r="E18" s="1782">
        <f>'0.2 Data Config'!$K$7</f>
        <v>0.5</v>
      </c>
      <c r="F18" s="1802">
        <f>Lists!$AG$3</f>
        <v>0.22</v>
      </c>
    </row>
    <row r="19">
      <c r="B19" s="1531" t="inlineStr">
        <is>
          <t>Domain Architect</t>
        </is>
      </c>
      <c r="C19" s="1531" t="inlineStr">
        <is>
          <t>Portfolio Overhead, Domain Architect</t>
        </is>
      </c>
      <c r="D19" s="1802">
        <f>'0.2 Data Config'!$J$8</f>
        <v>0.28</v>
      </c>
      <c r="E19" s="1782">
        <f>'0.2 Data Config'!$K$8</f>
        <v>0.5</v>
      </c>
      <c r="F19" s="1802">
        <f>Lists!$AG$4</f>
        <v>0.14</v>
      </c>
    </row>
    <row r="20">
      <c r="B20" s="1531" t="inlineStr">
        <is>
          <t>Delivery Manager</t>
        </is>
      </c>
      <c r="C20" s="1531" t="inlineStr">
        <is>
          <t>Platform Overhead, Delivery Manager</t>
        </is>
      </c>
      <c r="D20" s="1802">
        <f>'0.2 Data Config'!$J$14</f>
        <v>0.28</v>
      </c>
      <c r="E20" s="1782">
        <f>'0.2 Data Config'!$K$14</f>
        <v>0.3</v>
      </c>
      <c r="F20" s="1802">
        <f>Lists!$AG$5</f>
        <v>0.084</v>
      </c>
    </row>
    <row r="21">
      <c r="B21" s="1531" t="inlineStr">
        <is>
          <t>Technology Manager</t>
        </is>
      </c>
      <c r="C21" s="1531" t="inlineStr">
        <is>
          <t>Platform Overhead, Tech Manager</t>
        </is>
      </c>
      <c r="D21" s="1802">
        <f>'0.2 Data Config'!$J$15</f>
        <v>0.27</v>
      </c>
      <c r="E21" s="1782">
        <f>'0.2 Data Config'!$K$15</f>
        <v>0.3</v>
      </c>
      <c r="F21" s="1802">
        <f>Lists!$AG$6</f>
        <v>0.081</v>
      </c>
    </row>
    <row r="22">
      <c r="B22" s="1531" t="inlineStr">
        <is>
          <t>Leadership - 8 GMs</t>
        </is>
      </c>
      <c r="C22" s="1531" t="inlineStr">
        <is>
          <t>Portfolio Overhead, Leadership Overhead</t>
        </is>
      </c>
      <c r="D22" s="1802">
        <f>'0.2 Data Config'!$J$9</f>
        <v>1</v>
      </c>
      <c r="E22" s="1782">
        <f>'0.2 Data Config'!$K$9</f>
        <v>0.3</v>
      </c>
      <c r="F22" s="1802">
        <f>Lists!$AG$7</f>
        <v>0.3</v>
      </c>
    </row>
    <row r="25">
      <c r="B25" s="1531" t="inlineStr">
        <is>
          <t>The allocated rate is the full role cost times the allocation. The cost it is measured against is whole roles.</t>
        </is>
      </c>
    </row>
  </sheetData>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40.xml><?xml version="1.0" encoding="utf-8"?>
<worksheet xmlns="http://schemas.openxmlformats.org/spreadsheetml/2006/main">
  <sheetPr filterMode="0">
    <tabColor rgb="FF002F6C"/>
    <outlinePr summaryBelow="1" summaryRight="1"/>
    <pageSetUpPr fitToPage="1"/>
  </sheetPr>
  <dimension ref="B2:O113"/>
  <sheetViews>
    <sheetView showFormulas="0" showGridLines="0" showRowColHeaders="1" showZeros="1" rightToLeft="0" tabSelected="0" showOutlineSymbols="1" defaultGridColor="1" view="normal" topLeftCell="A1" colorId="64" zoomScale="70" zoomScaleNormal="70" zoomScalePageLayoutView="100" workbookViewId="0">
      <selection pane="topLeft" activeCell="A1" activeCellId="0" sqref="A1"/>
      <selection pane="topRight" activeCell="D1" activeCellId="0" sqref="D1"/>
      <selection pane="bottomLeft" activeCell="A6" activeCellId="0" sqref="A6"/>
      <selection pane="bottomRight" activeCell="P1" activeCellId="0" sqref="P1"/>
    </sheetView>
  </sheetViews>
  <sheetFormatPr baseColWidth="8" defaultColWidth="8.5390625" defaultRowHeight="14.25" zeroHeight="0" outlineLevelRow="0"/>
  <cols>
    <col width="2" customWidth="1" style="866" min="1" max="1"/>
    <col width="34" customWidth="1" style="866" min="2" max="2"/>
    <col width="17" customWidth="1" style="866" min="3" max="3"/>
    <col width="30" customWidth="1" style="866" min="4" max="4"/>
    <col width="24" customWidth="1" style="866" min="5" max="5"/>
    <col width="7" customWidth="1" style="866" min="6" max="6"/>
    <col width="11" customWidth="1" style="866" min="7" max="7"/>
    <col width="7" customWidth="1" style="866" min="8" max="8"/>
    <col width="7" customWidth="1" style="866" min="9" max="9"/>
    <col width="8" customWidth="1" style="866" min="10" max="10"/>
    <col width="13" customWidth="1" style="866" min="11" max="11"/>
    <col width="13" customWidth="1" style="866" min="12" max="12"/>
    <col width="13" customWidth="1" style="866" min="13" max="13"/>
    <col width="15" customWidth="1" style="866" min="14" max="14"/>
    <col width="19" customWidth="1" style="866" min="15" max="15"/>
  </cols>
  <sheetData>
    <row r="2">
      <c r="B2" s="1524" t="inlineStr">
        <is>
          <t>Squad Detail - roles and cost, squad by squad</t>
        </is>
      </c>
    </row>
    <row r="4" ht="19" customHeight="1" s="866">
      <c r="B4" s="1527" t="inlineStr">
        <is>
          <t>Every squad on every working tab</t>
        </is>
      </c>
      <c r="C4" s="1528" t="n"/>
      <c r="D4" s="1528" t="n"/>
      <c r="E4" s="1528" t="n"/>
      <c r="F4" s="1528" t="n"/>
      <c r="G4" s="1528" t="n"/>
      <c r="H4" s="1528" t="n"/>
      <c r="I4" s="1528" t="n"/>
      <c r="J4" s="1528" t="n"/>
      <c r="K4" s="1528" t="n"/>
      <c r="L4" s="1528" t="n"/>
      <c r="M4" s="1528" t="n"/>
      <c r="N4" s="1528" t="n"/>
      <c r="O4" s="1528" t="n"/>
    </row>
    <row r="5" ht="48" customHeight="1" s="866">
      <c r="B5" s="1529" t="inlineStr">
        <is>
          <t>Portfolio</t>
        </is>
      </c>
      <c r="C5" s="1529" t="inlineStr">
        <is>
          <t>How it is funded</t>
        </is>
      </c>
      <c r="D5" s="1529" t="inlineStr">
        <is>
          <t>Squad</t>
        </is>
      </c>
      <c r="E5" s="1529" t="inlineStr">
        <is>
          <t>Archetype Type</t>
        </is>
      </c>
      <c r="F5" s="1529" t="inlineStr">
        <is>
          <t>Squad Size</t>
        </is>
      </c>
      <c r="G5" s="1529" t="inlineStr">
        <is>
          <t>Archetype roles</t>
        </is>
      </c>
      <c r="H5" s="1529" t="inlineStr">
        <is>
          <t>Total roles</t>
        </is>
      </c>
      <c r="I5" s="1529" t="inlineStr">
        <is>
          <t>Filled</t>
        </is>
      </c>
      <c r="J5" s="1529" t="inlineStr">
        <is>
          <t>Vacant</t>
        </is>
      </c>
      <c r="K5" s="1529" t="inlineStr">
        <is>
          <t>Total roles after decisions</t>
        </is>
      </c>
      <c r="L5" s="1529" t="inlineStr">
        <is>
          <t>Archetype cost ($m)</t>
        </is>
      </c>
      <c r="M5" s="1529" t="inlineStr">
        <is>
          <t>Actual cost ($m)</t>
        </is>
      </c>
      <c r="N5" s="1529" t="inlineStr">
        <is>
          <t>Variance to archetype ($m)</t>
        </is>
      </c>
      <c r="O5" s="1529" t="inlineStr">
        <is>
          <t>Cost after decisions ($m)</t>
        </is>
      </c>
    </row>
    <row r="6">
      <c r="B6" s="1531" t="inlineStr">
        <is>
          <t>Ampol Retail</t>
        </is>
      </c>
      <c r="C6" s="1531" t="inlineStr">
        <is>
          <t>Archetype</t>
        </is>
      </c>
      <c r="D6" s="1531" t="str">
        <f>'2.1 Ampol Retail'!$B$8</f>
        <v>Above Store</v>
      </c>
      <c r="E6" s="1531" t="str">
        <f>'2.1 Ampol Retail'!$C$8</f>
        <v>Configuration / Integration</v>
      </c>
      <c r="F6" s="1531" t="str">
        <f>'2.1 Ampol Retail'!$D$8</f>
        <v>M</v>
      </c>
      <c r="G6" s="1783">
        <f>'2.1 Ampol Retail'!$E$8</f>
        <v>9</v>
      </c>
      <c r="H6" s="1770">
        <f>'2.1 Ampol Retail'!$F$8</f>
        <v>11</v>
      </c>
      <c r="I6" s="1770">
        <f>'2.1 Ampol Retail'!$G$8</f>
        <v>7</v>
      </c>
      <c r="J6" s="1770">
        <f>'2.1 Ampol Retail'!$H$8</f>
        <v>4</v>
      </c>
      <c r="K6" s="1770">
        <f>'2.1 Ampol Retail'!$L$8</f>
        <v>11</v>
      </c>
      <c r="L6" s="1769">
        <f>'2.1 Ampol Retail'!$M$8</f>
        <v>2.1</v>
      </c>
      <c r="M6" s="1769">
        <f>'2.1 Ampol Retail'!$N$8</f>
        <v>2.097921857</v>
      </c>
      <c r="N6" s="1769">
        <f>'2.1 Ampol Retail'!$O$8</f>
        <v>-0.002078</v>
      </c>
      <c r="O6" s="1769">
        <f>'2.1 Ampol Retail'!$P$8</f>
        <v>2.097921857</v>
      </c>
    </row>
    <row r="7">
      <c r="B7" s="1531" t="inlineStr">
        <is>
          <t>Ampol Retail</t>
        </is>
      </c>
      <c r="C7" s="1531" t="inlineStr">
        <is>
          <t>Archetype</t>
        </is>
      </c>
      <c r="D7" s="1531" t="str">
        <f>'2.1 Ampol Retail'!$B$9</f>
        <v>Data AU</v>
      </c>
      <c r="E7" s="1531" t="str">
        <f>'2.1 Ampol Retail'!$C$9</f>
        <v>Enterprise Data and Insights</v>
      </c>
      <c r="F7" s="1531" t="str">
        <f>'2.1 Ampol Retail'!$D$9</f>
        <v>M</v>
      </c>
      <c r="G7" s="1783">
        <f>'2.1 Ampol Retail'!$E$9</f>
        <v>7.5</v>
      </c>
      <c r="H7" s="1770">
        <f>'2.1 Ampol Retail'!$F$9</f>
        <v>6</v>
      </c>
      <c r="I7" s="1770">
        <f>'2.1 Ampol Retail'!$G$9</f>
        <v>0</v>
      </c>
      <c r="J7" s="1770">
        <f>'2.1 Ampol Retail'!$H$9</f>
        <v>6</v>
      </c>
      <c r="K7" s="1770">
        <f>'2.1 Ampol Retail'!$L$9</f>
        <v>6</v>
      </c>
      <c r="L7" s="1769">
        <f>'2.1 Ampol Retail'!$M$9</f>
        <v>0.68</v>
      </c>
      <c r="M7" s="1769">
        <f>'2.1 Ampol Retail'!$N$9</f>
        <v>1.21232375</v>
      </c>
      <c r="N7" s="1769">
        <f>'2.1 Ampol Retail'!$O$9</f>
        <v>0.532324</v>
      </c>
      <c r="O7" s="1769">
        <f>'2.1 Ampol Retail'!$P$9</f>
        <v>1.21232375</v>
      </c>
    </row>
    <row r="8">
      <c r="B8" s="1531" t="inlineStr">
        <is>
          <t>Ampol Retail</t>
        </is>
      </c>
      <c r="C8" s="1531" t="inlineStr">
        <is>
          <t>Archetype</t>
        </is>
      </c>
      <c r="D8" s="1531" t="str">
        <f>'2.1 Ampol Retail'!$B$10</f>
        <v>Deployment</v>
      </c>
      <c r="E8" s="1531" t="str">
        <f>'2.1 Ampol Retail'!$C$10</f>
        <v>Operations</v>
      </c>
      <c r="F8" s="1531" t="str">
        <f>'2.1 Ampol Retail'!$D$10</f>
        <v>S</v>
      </c>
      <c r="G8" s="1783">
        <f>'2.1 Ampol Retail'!$E$10</f>
        <v>4</v>
      </c>
      <c r="H8" s="1770">
        <f>'2.1 Ampol Retail'!$F$10</f>
        <v>5</v>
      </c>
      <c r="I8" s="1770">
        <f>'2.1 Ampol Retail'!$G$10</f>
        <v>5</v>
      </c>
      <c r="J8" s="1770">
        <f>'2.1 Ampol Retail'!$H$10</f>
        <v>0</v>
      </c>
      <c r="K8" s="1770">
        <f>'2.1 Ampol Retail'!$L$10</f>
        <v>5</v>
      </c>
      <c r="L8" s="1769">
        <f>'2.1 Ampol Retail'!$M$10</f>
        <v>0.8</v>
      </c>
      <c r="M8" s="1769">
        <f>'2.1 Ampol Retail'!$N$10</f>
        <v>0.893835732</v>
      </c>
      <c r="N8" s="1769">
        <f>'2.1 Ampol Retail'!$O$10</f>
        <v>0.093836</v>
      </c>
      <c r="O8" s="1769">
        <f>'2.1 Ampol Retail'!$P$10</f>
        <v>0.893835732</v>
      </c>
    </row>
    <row r="9">
      <c r="B9" s="1531" t="inlineStr">
        <is>
          <t>Ampol Retail</t>
        </is>
      </c>
      <c r="C9" s="1531" t="inlineStr">
        <is>
          <t>Archetype</t>
        </is>
      </c>
      <c r="D9" s="1531" t="str">
        <f>'2.1 Ampol Retail'!$B$11</f>
        <v>Network &amp; QSR</v>
      </c>
      <c r="E9" s="1531" t="str">
        <f>'2.1 Ampol Retail'!$C$11</f>
        <v>Configuration / Integration</v>
      </c>
      <c r="F9" s="1531" t="str">
        <f>'2.1 Ampol Retail'!$D$11</f>
        <v>S</v>
      </c>
      <c r="G9" s="1783">
        <f>'2.1 Ampol Retail'!$E$11</f>
        <v>6</v>
      </c>
      <c r="H9" s="1770">
        <f>'2.1 Ampol Retail'!$F$11</f>
        <v>6</v>
      </c>
      <c r="I9" s="1770">
        <f>'2.1 Ampol Retail'!$G$11</f>
        <v>4</v>
      </c>
      <c r="J9" s="1770">
        <f>'2.1 Ampol Retail'!$H$11</f>
        <v>2</v>
      </c>
      <c r="K9" s="1770">
        <f>'2.1 Ampol Retail'!$L$11</f>
        <v>6</v>
      </c>
      <c r="L9" s="1769">
        <f>'2.1 Ampol Retail'!$M$11</f>
        <v>1.4</v>
      </c>
      <c r="M9" s="1769">
        <f>'2.1 Ampol Retail'!$N$11</f>
        <v>1.1140311</v>
      </c>
      <c r="N9" s="1769">
        <f>'2.1 Ampol Retail'!$O$11</f>
        <v>-0.285969</v>
      </c>
      <c r="O9" s="1769">
        <f>'2.1 Ampol Retail'!$P$11</f>
        <v>1.1140311</v>
      </c>
    </row>
    <row r="10">
      <c r="B10" s="1531" t="inlineStr">
        <is>
          <t>Ampol Retail</t>
        </is>
      </c>
      <c r="C10" s="1531" t="inlineStr">
        <is>
          <t>Archetype</t>
        </is>
      </c>
      <c r="D10" s="1531" t="str">
        <f>'2.1 Ampol Retail'!$B$12</f>
        <v>POS</v>
      </c>
      <c r="E10" s="1531" t="str">
        <f>'2.1 Ampol Retail'!$C$12</f>
        <v>Configuration / Integration</v>
      </c>
      <c r="F10" s="1531" t="str">
        <f>'2.1 Ampol Retail'!$D$12</f>
        <v>M</v>
      </c>
      <c r="G10" s="1783">
        <f>'2.1 Ampol Retail'!$E$12</f>
        <v>9</v>
      </c>
      <c r="H10" s="1770">
        <f>'2.1 Ampol Retail'!$F$12</f>
        <v>8</v>
      </c>
      <c r="I10" s="1770">
        <f>'2.1 Ampol Retail'!$G$12</f>
        <v>0</v>
      </c>
      <c r="J10" s="1770">
        <f>'2.1 Ampol Retail'!$H$12</f>
        <v>8</v>
      </c>
      <c r="K10" s="1770">
        <f>'2.1 Ampol Retail'!$L$12</f>
        <v>8</v>
      </c>
      <c r="L10" s="1769">
        <f>'2.1 Ampol Retail'!$M$12</f>
        <v>2.1</v>
      </c>
      <c r="M10" s="1769">
        <f>'2.1 Ampol Retail'!$N$12</f>
        <v>1.576223685</v>
      </c>
      <c r="N10" s="1769">
        <f>'2.1 Ampol Retail'!$O$12</f>
        <v>-0.523776</v>
      </c>
      <c r="O10" s="1769">
        <f>'2.1 Ampol Retail'!$P$12</f>
        <v>1.576223685</v>
      </c>
    </row>
    <row r="11">
      <c r="B11" s="1531" t="inlineStr">
        <is>
          <t>Ampol Retail</t>
        </is>
      </c>
      <c r="C11" s="1531" t="inlineStr">
        <is>
          <t>Archetype</t>
        </is>
      </c>
      <c r="D11" s="1531" t="str">
        <f>'2.1 Ampol Retail'!$B$13</f>
        <v>Payments</v>
      </c>
      <c r="E11" s="1531" t="str">
        <f>'2.1 Ampol Retail'!$C$13</f>
        <v>Configuration / Integration</v>
      </c>
      <c r="F11" s="1531" t="str">
        <f>'2.1 Ampol Retail'!$D$13</f>
        <v>S</v>
      </c>
      <c r="G11" s="1783">
        <f>'2.1 Ampol Retail'!$E$13</f>
        <v>6</v>
      </c>
      <c r="H11" s="1770">
        <f>'2.1 Ampol Retail'!$F$13</f>
        <v>4</v>
      </c>
      <c r="I11" s="1770">
        <f>'2.1 Ampol Retail'!$G$13</f>
        <v>3</v>
      </c>
      <c r="J11" s="1770">
        <f>'2.1 Ampol Retail'!$H$13</f>
        <v>1</v>
      </c>
      <c r="K11" s="1770">
        <f>'2.1 Ampol Retail'!$L$13</f>
        <v>4</v>
      </c>
      <c r="L11" s="1769">
        <f>'2.1 Ampol Retail'!$M$13</f>
        <v>1.4</v>
      </c>
      <c r="M11" s="1769">
        <f>'2.1 Ampol Retail'!$N$13</f>
        <v>0.789428585</v>
      </c>
      <c r="N11" s="1769">
        <f>'2.1 Ampol Retail'!$O$13</f>
        <v>-0.610571</v>
      </c>
      <c r="O11" s="1769">
        <f>'2.1 Ampol Retail'!$P$13</f>
        <v>0.789428585</v>
      </c>
    </row>
    <row r="12">
      <c r="B12" s="1531" t="inlineStr">
        <is>
          <t>Ampol Retail</t>
        </is>
      </c>
      <c r="C12" s="1531" t="inlineStr">
        <is>
          <t>Archetype</t>
        </is>
      </c>
      <c r="D12" s="1531" t="str">
        <f>'2.1 Ampol Retail'!$B$14</f>
        <v>Store Operations</v>
      </c>
      <c r="E12" s="1531" t="str">
        <f>'2.1 Ampol Retail'!$C$14</f>
        <v>Operations</v>
      </c>
      <c r="F12" s="1531" t="str">
        <f>'2.1 Ampol Retail'!$D$14</f>
        <v>M</v>
      </c>
      <c r="G12" s="1783">
        <f>'2.1 Ampol Retail'!$E$14</f>
        <v>6</v>
      </c>
      <c r="H12" s="1770">
        <f>'2.1 Ampol Retail'!$F$14</f>
        <v>8</v>
      </c>
      <c r="I12" s="1770">
        <f>'2.1 Ampol Retail'!$G$14</f>
        <v>7</v>
      </c>
      <c r="J12" s="1770">
        <f>'2.1 Ampol Retail'!$H$14</f>
        <v>1</v>
      </c>
      <c r="K12" s="1770">
        <f>'2.1 Ampol Retail'!$L$14</f>
        <v>8</v>
      </c>
      <c r="L12" s="1769">
        <f>'2.1 Ampol Retail'!$M$14</f>
        <v>1.4</v>
      </c>
      <c r="M12" s="1769">
        <f>'2.1 Ampol Retail'!$N$14</f>
        <v>1.429759453</v>
      </c>
      <c r="N12" s="1769">
        <f>'2.1 Ampol Retail'!$O$14</f>
        <v>0.029759</v>
      </c>
      <c r="O12" s="1769">
        <f>'2.1 Ampol Retail'!$P$14</f>
        <v>1.429759453</v>
      </c>
    </row>
    <row r="13">
      <c r="B13" s="1531" t="inlineStr">
        <is>
          <t>Ampol Retail</t>
        </is>
      </c>
      <c r="C13" s="1531" t="inlineStr">
        <is>
          <t>Directly funded</t>
        </is>
      </c>
      <c r="D13" s="1531" t="str">
        <f>'2.1 Ampol Retail'!$B$17</f>
        <v>AmPOS</v>
      </c>
      <c r="E13" s="1531" t="str">
        <f>'2.1 Ampol Retail'!$C$17</f>
        <v>Strategic Programs</v>
      </c>
      <c r="F13" s="1531" t="str">
        <f>'2.1 Ampol Retail'!$D$17</f>
        <v>-</v>
      </c>
      <c r="G13" s="1783" t="str">
        <f>'2.1 Ampol Retail'!$E$17</f>
        <v>-</v>
      </c>
      <c r="H13" s="1770">
        <f>'2.1 Ampol Retail'!$F$17</f>
        <v>10</v>
      </c>
      <c r="I13" s="1770">
        <f>'2.1 Ampol Retail'!$G$17</f>
        <v>10</v>
      </c>
      <c r="J13" s="1770">
        <f>'2.1 Ampol Retail'!$H$17</f>
        <v>0</v>
      </c>
      <c r="K13" s="1770">
        <f>'2.1 Ampol Retail'!$L$17</f>
        <v>10</v>
      </c>
      <c r="L13" s="1769">
        <f>'2.1 Ampol Retail'!$M$17</f>
        <v>1.404089</v>
      </c>
      <c r="M13" s="1769">
        <f>'2.1 Ampol Retail'!$N$17</f>
        <v>2.115029718</v>
      </c>
      <c r="N13" s="1769">
        <f>'2.1 Ampol Retail'!$O$17</f>
        <v>0.710941</v>
      </c>
      <c r="O13" s="1769">
        <f>'2.1 Ampol Retail'!$P$17</f>
        <v>2.115029718</v>
      </c>
    </row>
    <row r="14">
      <c r="B14" s="1531" t="inlineStr">
        <is>
          <t>Ampol Retail</t>
        </is>
      </c>
      <c r="C14" s="1531" t="inlineStr">
        <is>
          <t>Directly funded</t>
        </is>
      </c>
      <c r="D14" s="1531" t="str">
        <f>'2.1 Ampol Retail'!$B$18</f>
        <v>EGI Retail</v>
      </c>
      <c r="E14" s="1531" t="str">
        <f>'2.1 Ampol Retail'!$C$18</f>
        <v>Strategic Programs</v>
      </c>
      <c r="F14" s="1531" t="str">
        <f>'2.1 Ampol Retail'!$D$18</f>
        <v>-</v>
      </c>
      <c r="G14" s="1783" t="str">
        <f>'2.1 Ampol Retail'!$E$18</f>
        <v>-</v>
      </c>
      <c r="H14" s="1770">
        <f>'2.1 Ampol Retail'!$F$18</f>
        <v>6</v>
      </c>
      <c r="I14" s="1770">
        <f>'2.1 Ampol Retail'!$G$18</f>
        <v>6</v>
      </c>
      <c r="J14" s="1770">
        <f>'2.1 Ampol Retail'!$H$18</f>
        <v>0</v>
      </c>
      <c r="K14" s="1770">
        <f>'2.1 Ampol Retail'!$L$18</f>
        <v>6</v>
      </c>
      <c r="L14" s="1769">
        <f>'2.1 Ampol Retail'!$M$18</f>
        <v>1.52</v>
      </c>
      <c r="M14" s="1769">
        <f>'2.1 Ampol Retail'!$N$18</f>
        <v>1.221357614</v>
      </c>
      <c r="N14" s="1769">
        <f>'2.1 Ampol Retail'!$O$18</f>
        <v>-0.298642</v>
      </c>
      <c r="O14" s="1769">
        <f>'2.1 Ampol Retail'!$P$18</f>
        <v>1.221357614</v>
      </c>
    </row>
    <row r="15">
      <c r="B15" s="1531" t="inlineStr">
        <is>
          <t>Ampol Retail</t>
        </is>
      </c>
      <c r="C15" s="1531" t="inlineStr">
        <is>
          <t>Directly funded</t>
        </is>
      </c>
      <c r="D15" s="1531" t="str">
        <f>'2.1 Ampol Retail'!$B$19</f>
        <v>EGI TDD</v>
      </c>
      <c r="E15" s="1531" t="str">
        <f>'2.1 Ampol Retail'!$C$19</f>
        <v>Not on the 1.x tab</v>
      </c>
      <c r="F15" s="1531" t="str">
        <f>'2.1 Ampol Retail'!$D$19</f>
        <v>-</v>
      </c>
      <c r="G15" s="1783" t="str">
        <f>'2.1 Ampol Retail'!$E$19</f>
        <v>-</v>
      </c>
      <c r="H15" s="1770">
        <f>'2.1 Ampol Retail'!$F$19</f>
        <v>1</v>
      </c>
      <c r="I15" s="1770">
        <f>'2.1 Ampol Retail'!$G$19</f>
        <v>1</v>
      </c>
      <c r="J15" s="1770">
        <f>'2.1 Ampol Retail'!$H$19</f>
        <v>0</v>
      </c>
      <c r="K15" s="1770">
        <f>'2.1 Ampol Retail'!$L$19</f>
        <v>1</v>
      </c>
      <c r="L15" s="1769" t="str">
        <f>'2.1 Ampol Retail'!$M$19</f>
        <v>-</v>
      </c>
      <c r="M15" s="1769">
        <f>'2.1 Ampol Retail'!$N$19</f>
        <v>0.2997</v>
      </c>
      <c r="N15" s="1769" t="str">
        <f>'2.1 Ampol Retail'!$O$19</f>
        <v>-</v>
      </c>
      <c r="O15" s="1769">
        <f>'2.1 Ampol Retail'!$P$19</f>
        <v>0.2997</v>
      </c>
    </row>
    <row r="16">
      <c r="B16" s="1531" t="inlineStr">
        <is>
          <t>Ampol Retail</t>
        </is>
      </c>
      <c r="C16" s="1531" t="inlineStr">
        <is>
          <t>Overhead</t>
        </is>
      </c>
      <c r="D16" s="1531" t="str">
        <f>'2.1 Ampol Retail'!$B$25</f>
        <v>Head of Technology</v>
      </c>
      <c r="E16" s="1531" t="str">
        <f>'2.1 Ampol Retail'!$C$25</f>
        <v>-</v>
      </c>
      <c r="F16" s="1531" t="str">
        <f>'2.1 Ampol Retail'!$D$25</f>
        <v>-</v>
      </c>
      <c r="G16" s="1783" t="str">
        <f>'2.1 Ampol Retail'!$E$25</f>
        <v>-</v>
      </c>
      <c r="H16" s="1770">
        <f>'2.1 Ampol Retail'!$F$25</f>
        <v>1</v>
      </c>
      <c r="I16" s="1770">
        <f>'2.1 Ampol Retail'!$G$25</f>
        <v>1</v>
      </c>
      <c r="J16" s="1770">
        <f>'2.1 Ampol Retail'!$H$25</f>
        <v>0</v>
      </c>
      <c r="K16" s="1770">
        <f>'2.1 Ampol Retail'!$L$25</f>
        <v>1</v>
      </c>
      <c r="L16" s="1769" t="str">
        <f>'2.1 Ampol Retail'!$M$25</f>
        <v>-</v>
      </c>
      <c r="M16" s="1769">
        <f>'2.1 Ampol Retail'!$N$25</f>
        <v>0.18603225</v>
      </c>
      <c r="N16" s="1769" t="str">
        <f>'2.1 Ampol Retail'!$O$25</f>
        <v>-</v>
      </c>
      <c r="O16" s="1769">
        <f>'2.1 Ampol Retail'!$P$25</f>
        <v>0.18603225</v>
      </c>
    </row>
    <row r="17">
      <c r="B17" s="1531" t="inlineStr">
        <is>
          <t>Ampol Retail</t>
        </is>
      </c>
      <c r="C17" s="1531" t="inlineStr">
        <is>
          <t>Overhead</t>
        </is>
      </c>
      <c r="D17" s="1531" t="str">
        <f>'2.1 Ampol Retail'!$B$26</f>
        <v>Delivery Manager</v>
      </c>
      <c r="E17" s="1531" t="str">
        <f>'2.1 Ampol Retail'!$C$26</f>
        <v>-</v>
      </c>
      <c r="F17" s="1531" t="str">
        <f>'2.1 Ampol Retail'!$D$26</f>
        <v>-</v>
      </c>
      <c r="G17" s="1783" t="str">
        <f>'2.1 Ampol Retail'!$E$26</f>
        <v>-</v>
      </c>
      <c r="H17" s="1770">
        <f>'2.1 Ampol Retail'!$F$26</f>
        <v>1</v>
      </c>
      <c r="I17" s="1770">
        <f>'2.1 Ampol Retail'!$G$26</f>
        <v>1</v>
      </c>
      <c r="J17" s="1770">
        <f>'2.1 Ampol Retail'!$H$26</f>
        <v>0</v>
      </c>
      <c r="K17" s="1770">
        <f>'2.1 Ampol Retail'!$L$26</f>
        <v>1</v>
      </c>
      <c r="L17" s="1769" t="str">
        <f>'2.1 Ampol Retail'!$M$26</f>
        <v>-</v>
      </c>
      <c r="M17" s="1769">
        <f>'2.1 Ampol Retail'!$N$26</f>
        <v>0.30293735</v>
      </c>
      <c r="N17" s="1769" t="str">
        <f>'2.1 Ampol Retail'!$O$26</f>
        <v>-</v>
      </c>
      <c r="O17" s="1769">
        <f>'2.1 Ampol Retail'!$P$26</f>
        <v>0.30293735</v>
      </c>
    </row>
    <row r="18">
      <c r="B18" s="1531" t="inlineStr">
        <is>
          <t>Ampol Retail</t>
        </is>
      </c>
      <c r="C18" s="1531" t="inlineStr">
        <is>
          <t>Overhead</t>
        </is>
      </c>
      <c r="D18" s="1531" t="str">
        <f>'2.1 Ampol Retail'!$B$27</f>
        <v>Technology Manager</v>
      </c>
      <c r="E18" s="1531" t="str">
        <f>'2.1 Ampol Retail'!$C$27</f>
        <v>-</v>
      </c>
      <c r="F18" s="1531" t="str">
        <f>'2.1 Ampol Retail'!$D$27</f>
        <v>-</v>
      </c>
      <c r="G18" s="1783" t="str">
        <f>'2.1 Ampol Retail'!$E$27</f>
        <v>-</v>
      </c>
      <c r="H18" s="1770">
        <f>'2.1 Ampol Retail'!$F$27</f>
        <v>3</v>
      </c>
      <c r="I18" s="1770">
        <f>'2.1 Ampol Retail'!$G$27</f>
        <v>3</v>
      </c>
      <c r="J18" s="1770">
        <f>'2.1 Ampol Retail'!$H$27</f>
        <v>0</v>
      </c>
      <c r="K18" s="1770">
        <f>'2.1 Ampol Retail'!$L$27</f>
        <v>3</v>
      </c>
      <c r="L18" s="1769" t="str">
        <f>'2.1 Ampol Retail'!$M$27</f>
        <v>-</v>
      </c>
      <c r="M18" s="1769">
        <f>'2.1 Ampol Retail'!$N$27</f>
        <v>0.766646363</v>
      </c>
      <c r="N18" s="1769" t="str">
        <f>'2.1 Ampol Retail'!$O$27</f>
        <v>-</v>
      </c>
      <c r="O18" s="1769">
        <f>'2.1 Ampol Retail'!$P$27</f>
        <v>0.766646363</v>
      </c>
    </row>
    <row r="19">
      <c r="B19" s="1535" t="inlineStr">
        <is>
          <t>Ampol Retail total</t>
        </is>
      </c>
      <c r="C19" s="1535" t="n"/>
      <c r="D19" s="1535" t="n"/>
      <c r="E19" s="1535" t="n"/>
      <c r="F19" s="1771" t="str">
        <f>"-"</f>
        <v>-</v>
      </c>
      <c r="G19" s="1784" t="str">
        <f>"-"</f>
        <v>-</v>
      </c>
      <c r="H19" s="1772">
        <f>SUM(H6:H18)</f>
        <v>70</v>
      </c>
      <c r="I19" s="1772">
        <f>SUM(I6:I18)</f>
        <v>48</v>
      </c>
      <c r="J19" s="1772">
        <f>SUM(J6:J18)</f>
        <v>22</v>
      </c>
      <c r="K19" s="1772">
        <f>SUM(K6:K18)</f>
        <v>70</v>
      </c>
      <c r="L19" s="1771" t="str">
        <f>"-"</f>
        <v>-</v>
      </c>
      <c r="M19" s="1771">
        <f>SUM(M6:M18)</f>
        <v>14.005227457</v>
      </c>
      <c r="N19" s="1771" t="str">
        <f>"-"</f>
        <v>-</v>
      </c>
      <c r="O19" s="1771">
        <f>SUM(O6:O18)</f>
        <v>14.005227457</v>
      </c>
    </row>
    <row r="20">
      <c r="B20" s="1531" t="inlineStr">
        <is>
          <t>Customer</t>
        </is>
      </c>
      <c r="C20" s="1531" t="inlineStr">
        <is>
          <t>Archetype</t>
        </is>
      </c>
      <c r="D20" s="1531" t="str">
        <f>'2.2 Customer'!$B$8</f>
        <v>Ampol App</v>
      </c>
      <c r="E20" s="1531" t="str">
        <f>'2.2 Customer'!$C$8</f>
        <v>Product</v>
      </c>
      <c r="F20" s="1531" t="str">
        <f>'2.2 Customer'!$D$8</f>
        <v>L</v>
      </c>
      <c r="G20" s="1783">
        <f>'2.2 Customer'!$E$8</f>
        <v>12</v>
      </c>
      <c r="H20" s="1770">
        <f>'2.2 Customer'!$F$8</f>
        <v>14</v>
      </c>
      <c r="I20" s="1770">
        <f>'2.2 Customer'!$G$8</f>
        <v>14</v>
      </c>
      <c r="J20" s="1770">
        <f>'2.2 Customer'!$H$8</f>
        <v>0</v>
      </c>
      <c r="K20" s="1770">
        <f>'2.2 Customer'!$L$8</f>
        <v>14</v>
      </c>
      <c r="L20" s="1769">
        <f>'2.2 Customer'!$M$8</f>
        <v>2.8</v>
      </c>
      <c r="M20" s="1769">
        <f>'2.2 Customer'!$N$8</f>
        <v>3.36059233</v>
      </c>
      <c r="N20" s="1769">
        <f>'2.2 Customer'!$O$8</f>
        <v>0.560592</v>
      </c>
      <c r="O20" s="1769">
        <f>'2.2 Customer'!$P$8</f>
        <v>3.36059233</v>
      </c>
    </row>
    <row r="21">
      <c r="B21" s="1531" t="inlineStr">
        <is>
          <t>Customer</t>
        </is>
      </c>
      <c r="C21" s="1531" t="inlineStr">
        <is>
          <t>Archetype</t>
        </is>
      </c>
      <c r="D21" s="1531" t="str">
        <f>'2.2 Customer'!$B$9</f>
        <v>Ampol Loyalty &amp; Martech</v>
      </c>
      <c r="E21" s="1531" t="str">
        <f>'2.2 Customer'!$C$9</f>
        <v>Product</v>
      </c>
      <c r="F21" s="1531" t="str">
        <f>'2.2 Customer'!$D$9</f>
        <v>M</v>
      </c>
      <c r="G21" s="1783">
        <f>'2.2 Customer'!$E$9</f>
        <v>8.5</v>
      </c>
      <c r="H21" s="1770">
        <f>'2.2 Customer'!$F$9</f>
        <v>9</v>
      </c>
      <c r="I21" s="1770">
        <f>'2.2 Customer'!$G$9</f>
        <v>3</v>
      </c>
      <c r="J21" s="1770">
        <f>'2.2 Customer'!$H$9</f>
        <v>6</v>
      </c>
      <c r="K21" s="1770">
        <f>'2.2 Customer'!$L$9</f>
        <v>9</v>
      </c>
      <c r="L21" s="1769">
        <f>'2.2 Customer'!$M$9</f>
        <v>1.9</v>
      </c>
      <c r="M21" s="1769">
        <f>'2.2 Customer'!$N$9</f>
        <v>1.331225988</v>
      </c>
      <c r="N21" s="1769">
        <f>'2.2 Customer'!$O$9</f>
        <v>-0.568774</v>
      </c>
      <c r="O21" s="1769">
        <f>'2.2 Customer'!$P$9</f>
        <v>1.331225988</v>
      </c>
    </row>
    <row r="22">
      <c r="B22" s="1531" t="inlineStr">
        <is>
          <t>Customer</t>
        </is>
      </c>
      <c r="C22" s="1531" t="inlineStr">
        <is>
          <t>Archetype</t>
        </is>
      </c>
      <c r="D22" s="1531" t="str">
        <f>'2.2 Customer'!$B$10</f>
        <v>Ampol Web</v>
      </c>
      <c r="E22" s="1531" t="str">
        <f>'2.2 Customer'!$C$10</f>
        <v>Product</v>
      </c>
      <c r="F22" s="1531" t="str">
        <f>'2.2 Customer'!$D$10</f>
        <v>M</v>
      </c>
      <c r="G22" s="1783">
        <f>'2.2 Customer'!$E$10</f>
        <v>8.5</v>
      </c>
      <c r="H22" s="1770">
        <f>'2.2 Customer'!$F$10</f>
        <v>9</v>
      </c>
      <c r="I22" s="1770">
        <f>'2.2 Customer'!$G$10</f>
        <v>9</v>
      </c>
      <c r="J22" s="1770">
        <f>'2.2 Customer'!$H$10</f>
        <v>0</v>
      </c>
      <c r="K22" s="1770">
        <f>'2.2 Customer'!$L$10</f>
        <v>9</v>
      </c>
      <c r="L22" s="1769">
        <f>'2.2 Customer'!$M$10</f>
        <v>1.9</v>
      </c>
      <c r="M22" s="1769">
        <f>'2.2 Customer'!$N$10</f>
        <v>1.7617192</v>
      </c>
      <c r="N22" s="1769">
        <f>'2.2 Customer'!$O$10</f>
        <v>-0.138281</v>
      </c>
      <c r="O22" s="1769">
        <f>'2.2 Customer'!$P$10</f>
        <v>1.7617192</v>
      </c>
    </row>
    <row r="23">
      <c r="B23" s="1531" t="inlineStr">
        <is>
          <t>Customer</t>
        </is>
      </c>
      <c r="C23" s="1531" t="inlineStr">
        <is>
          <t>Archetype</t>
        </is>
      </c>
      <c r="D23" s="1531" t="str">
        <f>'2.2 Customer'!$B$11</f>
        <v>Customer AI</v>
      </c>
      <c r="E23" s="1531" t="str">
        <f>'2.2 Customer'!$C$11</f>
        <v>Engineering</v>
      </c>
      <c r="F23" s="1531" t="str">
        <f>'2.2 Customer'!$D$11</f>
        <v>S</v>
      </c>
      <c r="G23" s="1783">
        <f>'2.2 Customer'!$E$11</f>
        <v>4.5</v>
      </c>
      <c r="H23" s="1770">
        <f>'2.2 Customer'!$F$11</f>
        <v>2</v>
      </c>
      <c r="I23" s="1770">
        <f>'2.2 Customer'!$G$11</f>
        <v>0</v>
      </c>
      <c r="J23" s="1770">
        <f>'2.2 Customer'!$H$11</f>
        <v>2</v>
      </c>
      <c r="K23" s="1770">
        <f>'2.2 Customer'!$L$11</f>
        <v>2</v>
      </c>
      <c r="L23" s="1769">
        <f>'2.2 Customer'!$M$11</f>
        <v>0.8</v>
      </c>
      <c r="M23" s="1769">
        <f>'2.2 Customer'!$N$11</f>
        <v>0.17103768</v>
      </c>
      <c r="N23" s="1769">
        <f>'2.2 Customer'!$O$11</f>
        <v>-0.628962</v>
      </c>
      <c r="O23" s="1769">
        <f>'2.2 Customer'!$P$11</f>
        <v>0.17103768</v>
      </c>
    </row>
    <row r="24">
      <c r="B24" s="1531" t="inlineStr">
        <is>
          <t>Customer</t>
        </is>
      </c>
      <c r="C24" s="1531" t="inlineStr">
        <is>
          <t>Archetype</t>
        </is>
      </c>
      <c r="D24" s="1531" t="str">
        <f>'2.2 Customer'!$B$12</f>
        <v>Digital Operations</v>
      </c>
      <c r="E24" s="1531" t="str">
        <f>'2.2 Customer'!$C$12</f>
        <v>Operations</v>
      </c>
      <c r="F24" s="1531" t="str">
        <f>'2.2 Customer'!$D$12</f>
        <v>M</v>
      </c>
      <c r="G24" s="1783">
        <f>'2.2 Customer'!$E$12</f>
        <v>6</v>
      </c>
      <c r="H24" s="1770">
        <f>'2.2 Customer'!$F$12</f>
        <v>7</v>
      </c>
      <c r="I24" s="1770">
        <f>'2.2 Customer'!$G$12</f>
        <v>4</v>
      </c>
      <c r="J24" s="1770">
        <f>'2.2 Customer'!$H$12</f>
        <v>3</v>
      </c>
      <c r="K24" s="1770">
        <f>'2.2 Customer'!$L$12</f>
        <v>7</v>
      </c>
      <c r="L24" s="1769">
        <f>'2.2 Customer'!$M$12</f>
        <v>0.56</v>
      </c>
      <c r="M24" s="1769">
        <f>'2.2 Customer'!$N$12</f>
        <v>1.303645928</v>
      </c>
      <c r="N24" s="1769">
        <f>'2.2 Customer'!$O$12</f>
        <v>0.743646</v>
      </c>
      <c r="O24" s="1769">
        <f>'2.2 Customer'!$P$12</f>
        <v>1.303645928</v>
      </c>
    </row>
    <row r="25">
      <c r="B25" s="1531" t="inlineStr">
        <is>
          <t>Customer</t>
        </is>
      </c>
      <c r="C25" s="1531" t="inlineStr">
        <is>
          <t>Archetype</t>
        </is>
      </c>
      <c r="D25" s="1531" t="str">
        <f>'2.2 Customer'!$B$13</f>
        <v>Z App and Web</v>
      </c>
      <c r="E25" s="1531" t="str">
        <f>'2.2 Customer'!$C$13</f>
        <v>Product</v>
      </c>
      <c r="F25" s="1531" t="str">
        <f>'2.2 Customer'!$D$13</f>
        <v>S</v>
      </c>
      <c r="G25" s="1783">
        <f>'2.2 Customer'!$E$13</f>
        <v>5.5</v>
      </c>
      <c r="H25" s="1770">
        <f>'2.2 Customer'!$F$13</f>
        <v>5</v>
      </c>
      <c r="I25" s="1770">
        <f>'2.2 Customer'!$G$13</f>
        <v>5</v>
      </c>
      <c r="J25" s="1770">
        <f>'2.2 Customer'!$H$13</f>
        <v>0</v>
      </c>
      <c r="K25" s="1770">
        <f>'2.2 Customer'!$L$13</f>
        <v>5</v>
      </c>
      <c r="L25" s="1769">
        <f>'2.2 Customer'!$M$13</f>
        <v>1.3</v>
      </c>
      <c r="M25" s="1769">
        <f>'2.2 Customer'!$N$13</f>
        <v>1.223286048</v>
      </c>
      <c r="N25" s="1769">
        <f>'2.2 Customer'!$O$13</f>
        <v>-0.076714</v>
      </c>
      <c r="O25" s="1769">
        <f>'2.2 Customer'!$P$13</f>
        <v>1.223286048</v>
      </c>
    </row>
    <row r="26">
      <c r="B26" s="1531" t="inlineStr">
        <is>
          <t>Customer</t>
        </is>
      </c>
      <c r="C26" s="1531" t="inlineStr">
        <is>
          <t>Archetype</t>
        </is>
      </c>
      <c r="D26" s="1531" t="str">
        <f>'2.2 Customer'!$B$14</f>
        <v>Z Loyalty &amp; Martech</v>
      </c>
      <c r="E26" s="1531" t="str">
        <f>'2.2 Customer'!$C$14</f>
        <v>Product</v>
      </c>
      <c r="F26" s="1531" t="str">
        <f>'2.2 Customer'!$D$14</f>
        <v>L</v>
      </c>
      <c r="G26" s="1783">
        <f>'2.2 Customer'!$E$14</f>
        <v>12</v>
      </c>
      <c r="H26" s="1770">
        <f>'2.2 Customer'!$F$14</f>
        <v>14</v>
      </c>
      <c r="I26" s="1770">
        <f>'2.2 Customer'!$G$14</f>
        <v>14</v>
      </c>
      <c r="J26" s="1770">
        <f>'2.2 Customer'!$H$14</f>
        <v>0</v>
      </c>
      <c r="K26" s="1770">
        <f>'2.2 Customer'!$L$14</f>
        <v>14</v>
      </c>
      <c r="L26" s="1769">
        <f>'2.2 Customer'!$M$14</f>
        <v>2.8</v>
      </c>
      <c r="M26" s="1769">
        <f>'2.2 Customer'!$N$14</f>
        <v>2.946001772</v>
      </c>
      <c r="N26" s="1769">
        <f>'2.2 Customer'!$O$14</f>
        <v>0.146002</v>
      </c>
      <c r="O26" s="1769">
        <f>'2.2 Customer'!$P$14</f>
        <v>2.946001772</v>
      </c>
    </row>
    <row r="27">
      <c r="B27" s="1531" t="inlineStr">
        <is>
          <t>Customer</t>
        </is>
      </c>
      <c r="C27" s="1531" t="inlineStr">
        <is>
          <t>Directly funded</t>
        </is>
      </c>
      <c r="D27" s="1531" t="str">
        <f>'2.2 Customer'!$B$17</f>
        <v>EGI Customer</v>
      </c>
      <c r="E27" s="1531" t="str">
        <f>'2.2 Customer'!$C$17</f>
        <v>Strategic Programs</v>
      </c>
      <c r="F27" s="1531" t="str">
        <f>'2.2 Customer'!$D$17</f>
        <v>-</v>
      </c>
      <c r="G27" s="1783" t="str">
        <f>'2.2 Customer'!$E$17</f>
        <v>-</v>
      </c>
      <c r="H27" s="1770">
        <f>'2.2 Customer'!$F$17</f>
        <v>10</v>
      </c>
      <c r="I27" s="1770">
        <f>'2.2 Customer'!$G$17</f>
        <v>10</v>
      </c>
      <c r="J27" s="1770">
        <f>'2.2 Customer'!$H$17</f>
        <v>0</v>
      </c>
      <c r="K27" s="1770">
        <f>'2.2 Customer'!$L$17</f>
        <v>10</v>
      </c>
      <c r="L27" s="1769" t="str">
        <f>'2.2 Customer'!$M$17</f>
        <v>-</v>
      </c>
      <c r="M27" s="1769">
        <f>'2.2 Customer'!$N$17</f>
        <v>2.208135308</v>
      </c>
      <c r="N27" s="1769" t="str">
        <f>'2.2 Customer'!$O$17</f>
        <v>-</v>
      </c>
      <c r="O27" s="1769">
        <f>'2.2 Customer'!$P$17</f>
        <v>2.208135308</v>
      </c>
    </row>
    <row r="28">
      <c r="B28" s="1531" t="inlineStr">
        <is>
          <t>Customer</t>
        </is>
      </c>
      <c r="C28" s="1531" t="inlineStr">
        <is>
          <t>No figure to compare</t>
        </is>
      </c>
      <c r="D28" s="1531" t="str">
        <f>'2.2 Customer'!$B$20</f>
        <v>Leadership</v>
      </c>
      <c r="E28" s="1531" t="str">
        <f>'2.2 Customer'!$C$20</f>
        <v>Not on the 1.x tab</v>
      </c>
      <c r="F28" s="1531" t="str">
        <f>'2.2 Customer'!$D$20</f>
        <v>-</v>
      </c>
      <c r="G28" s="1783" t="str">
        <f>'2.2 Customer'!$E$20</f>
        <v>-</v>
      </c>
      <c r="H28" s="1770">
        <f>'2.2 Customer'!$F$20</f>
        <v>5</v>
      </c>
      <c r="I28" s="1770">
        <f>'2.2 Customer'!$G$20</f>
        <v>4</v>
      </c>
      <c r="J28" s="1770">
        <f>'2.2 Customer'!$H$20</f>
        <v>1</v>
      </c>
      <c r="K28" s="1770">
        <f>'2.2 Customer'!$L$20</f>
        <v>5</v>
      </c>
      <c r="L28" s="1769" t="str">
        <f>'2.2 Customer'!$M$20</f>
        <v>-</v>
      </c>
      <c r="M28" s="1769">
        <f>'2.2 Customer'!$N$20</f>
        <v>1.048250048</v>
      </c>
      <c r="N28" s="1769" t="str">
        <f>'2.2 Customer'!$O$20</f>
        <v>-</v>
      </c>
      <c r="O28" s="1769">
        <f>'2.2 Customer'!$P$20</f>
        <v>1.048250048</v>
      </c>
    </row>
    <row r="29">
      <c r="B29" s="1531" t="inlineStr">
        <is>
          <t>Customer</t>
        </is>
      </c>
      <c r="C29" s="1531" t="inlineStr">
        <is>
          <t>Overhead</t>
        </is>
      </c>
      <c r="D29" s="1531" t="str">
        <f>'2.2 Customer'!$B$23</f>
        <v>Head of Technology</v>
      </c>
      <c r="E29" s="1531" t="str">
        <f>'2.2 Customer'!$C$23</f>
        <v>-</v>
      </c>
      <c r="F29" s="1531" t="str">
        <f>'2.2 Customer'!$D$23</f>
        <v>-</v>
      </c>
      <c r="G29" s="1783" t="str">
        <f>'2.2 Customer'!$E$23</f>
        <v>-</v>
      </c>
      <c r="H29" s="1770">
        <f>'2.2 Customer'!$F$23</f>
        <v>2</v>
      </c>
      <c r="I29" s="1770">
        <f>'2.2 Customer'!$G$23</f>
        <v>2</v>
      </c>
      <c r="J29" s="1770">
        <f>'2.2 Customer'!$H$23</f>
        <v>0</v>
      </c>
      <c r="K29" s="1770">
        <f>'2.2 Customer'!$L$23</f>
        <v>2</v>
      </c>
      <c r="L29" s="1769" t="str">
        <f>'2.2 Customer'!$M$23</f>
        <v>-</v>
      </c>
      <c r="M29" s="1769">
        <f>'2.2 Customer'!$N$23</f>
        <v>0.5360151</v>
      </c>
      <c r="N29" s="1769" t="str">
        <f>'2.2 Customer'!$O$23</f>
        <v>-</v>
      </c>
      <c r="O29" s="1769">
        <f>'2.2 Customer'!$P$23</f>
        <v>0.5360151</v>
      </c>
    </row>
    <row r="30">
      <c r="B30" s="1531" t="inlineStr">
        <is>
          <t>Customer</t>
        </is>
      </c>
      <c r="C30" s="1531" t="inlineStr">
        <is>
          <t>Overhead</t>
        </is>
      </c>
      <c r="D30" s="1531" t="str">
        <f>'2.2 Customer'!$B$24</f>
        <v>Delivery Manager</v>
      </c>
      <c r="E30" s="1531" t="str">
        <f>'2.2 Customer'!$C$24</f>
        <v>-</v>
      </c>
      <c r="F30" s="1531" t="str">
        <f>'2.2 Customer'!$D$24</f>
        <v>-</v>
      </c>
      <c r="G30" s="1783" t="str">
        <f>'2.2 Customer'!$E$24</f>
        <v>-</v>
      </c>
      <c r="H30" s="1770">
        <f>'2.2 Customer'!$F$24</f>
        <v>2</v>
      </c>
      <c r="I30" s="1770">
        <f>'2.2 Customer'!$G$24</f>
        <v>2</v>
      </c>
      <c r="J30" s="1770">
        <f>'2.2 Customer'!$H$24</f>
        <v>0</v>
      </c>
      <c r="K30" s="1770">
        <f>'2.2 Customer'!$L$24</f>
        <v>2</v>
      </c>
      <c r="L30" s="1769" t="str">
        <f>'2.2 Customer'!$M$24</f>
        <v>-</v>
      </c>
      <c r="M30" s="1769">
        <f>'2.2 Customer'!$N$24</f>
        <v>0.4208721</v>
      </c>
      <c r="N30" s="1769" t="str">
        <f>'2.2 Customer'!$O$24</f>
        <v>-</v>
      </c>
      <c r="O30" s="1769">
        <f>'2.2 Customer'!$P$24</f>
        <v>0.4208721</v>
      </c>
    </row>
    <row r="31">
      <c r="B31" s="1531" t="inlineStr">
        <is>
          <t>Customer</t>
        </is>
      </c>
      <c r="C31" s="1531" t="inlineStr">
        <is>
          <t>Overhead</t>
        </is>
      </c>
      <c r="D31" s="1531" t="str">
        <f>'2.2 Customer'!$B$25</f>
        <v>Technology Manager</v>
      </c>
      <c r="E31" s="1531" t="str">
        <f>'2.2 Customer'!$C$25</f>
        <v>-</v>
      </c>
      <c r="F31" s="1531" t="str">
        <f>'2.2 Customer'!$D$25</f>
        <v>-</v>
      </c>
      <c r="G31" s="1783" t="str">
        <f>'2.2 Customer'!$E$25</f>
        <v>-</v>
      </c>
      <c r="H31" s="1770">
        <f>'2.2 Customer'!$F$25</f>
        <v>4</v>
      </c>
      <c r="I31" s="1770">
        <f>'2.2 Customer'!$G$25</f>
        <v>3</v>
      </c>
      <c r="J31" s="1770">
        <f>'2.2 Customer'!$H$25</f>
        <v>1</v>
      </c>
      <c r="K31" s="1770">
        <f>'2.2 Customer'!$L$25</f>
        <v>4</v>
      </c>
      <c r="L31" s="1769" t="str">
        <f>'2.2 Customer'!$M$25</f>
        <v>-</v>
      </c>
      <c r="M31" s="1769">
        <f>'2.2 Customer'!$N$25</f>
        <v>0.816085638</v>
      </c>
      <c r="N31" s="1769" t="str">
        <f>'2.2 Customer'!$O$25</f>
        <v>-</v>
      </c>
      <c r="O31" s="1769">
        <f>'2.2 Customer'!$P$25</f>
        <v>0.816085638</v>
      </c>
    </row>
    <row r="32">
      <c r="B32" s="1535" t="inlineStr">
        <is>
          <t>Customer total</t>
        </is>
      </c>
      <c r="C32" s="1535" t="n"/>
      <c r="D32" s="1535" t="n"/>
      <c r="E32" s="1535" t="n"/>
      <c r="F32" s="1771" t="str">
        <f>"-"</f>
        <v>-</v>
      </c>
      <c r="G32" s="1784" t="str">
        <f>"-"</f>
        <v>-</v>
      </c>
      <c r="H32" s="1772">
        <f>SUM(H20:H31)</f>
        <v>83</v>
      </c>
      <c r="I32" s="1772">
        <f>SUM(I20:I31)</f>
        <v>70</v>
      </c>
      <c r="J32" s="1772">
        <f>SUM(J20:J31)</f>
        <v>13</v>
      </c>
      <c r="K32" s="1772">
        <f>SUM(K20:K31)</f>
        <v>83</v>
      </c>
      <c r="L32" s="1771" t="str">
        <f>"-"</f>
        <v>-</v>
      </c>
      <c r="M32" s="1771">
        <f>SUM(M20:M31)</f>
        <v>17.12686714</v>
      </c>
      <c r="N32" s="1771" t="str">
        <f>"-"</f>
        <v>-</v>
      </c>
      <c r="O32" s="1771">
        <f>SUM(O20:O31)</f>
        <v>17.12686714</v>
      </c>
    </row>
    <row r="33">
      <c r="B33" s="1531" t="inlineStr">
        <is>
          <t>Enterprise Data</t>
        </is>
      </c>
      <c r="C33" s="1531" t="inlineStr">
        <is>
          <t>Archetype</t>
        </is>
      </c>
      <c r="D33" s="1531" t="str">
        <f>'2.3 Enterprise Data'!$B$8</f>
        <v>Data Platforms</v>
      </c>
      <c r="E33" s="1531" t="str">
        <f>'2.3 Enterprise Data'!$C$8</f>
        <v>Enterprise Data and Insights</v>
      </c>
      <c r="F33" s="1531" t="str">
        <f>'2.3 Enterprise Data'!$D$8</f>
        <v>M</v>
      </c>
      <c r="G33" s="1783">
        <f>'2.3 Enterprise Data'!$E$8</f>
        <v>7.5</v>
      </c>
      <c r="H33" s="1770">
        <f>'2.3 Enterprise Data'!$F$8</f>
        <v>9</v>
      </c>
      <c r="I33" s="1770">
        <f>'2.3 Enterprise Data'!$G$8</f>
        <v>3</v>
      </c>
      <c r="J33" s="1770">
        <f>'2.3 Enterprise Data'!$H$8</f>
        <v>6</v>
      </c>
      <c r="K33" s="1770">
        <f>'2.3 Enterprise Data'!$L$8</f>
        <v>9</v>
      </c>
      <c r="L33" s="1769">
        <f>'2.3 Enterprise Data'!$M$8</f>
        <v>1.7</v>
      </c>
      <c r="M33" s="1769">
        <f>'2.3 Enterprise Data'!$N$8</f>
        <v>1.786160296</v>
      </c>
      <c r="N33" s="1769">
        <f>'2.3 Enterprise Data'!$O$8</f>
        <v>0.08616</v>
      </c>
      <c r="O33" s="1769">
        <f>'2.3 Enterprise Data'!$P$8</f>
        <v>1.786160296</v>
      </c>
    </row>
    <row r="34">
      <c r="B34" s="1531" t="inlineStr">
        <is>
          <t>Enterprise Data</t>
        </is>
      </c>
      <c r="C34" s="1531" t="inlineStr">
        <is>
          <t>Archetype</t>
        </is>
      </c>
      <c r="D34" s="1531" t="str">
        <f>'2.3 Enterprise Data'!$B$9</f>
        <v>Data Science</v>
      </c>
      <c r="E34" s="1531" t="str">
        <f>'2.3 Enterprise Data'!$C$9</f>
        <v>Enterprise Data and Insights</v>
      </c>
      <c r="F34" s="1531" t="str">
        <f>'2.3 Enterprise Data'!$D$9</f>
        <v>S</v>
      </c>
      <c r="G34" s="1783">
        <f>'2.3 Enterprise Data'!$E$9</f>
        <v>4</v>
      </c>
      <c r="H34" s="1770">
        <f>'2.3 Enterprise Data'!$F$9</f>
        <v>4</v>
      </c>
      <c r="I34" s="1770">
        <f>'2.3 Enterprise Data'!$G$9</f>
        <v>4</v>
      </c>
      <c r="J34" s="1770">
        <f>'2.3 Enterprise Data'!$H$9</f>
        <v>0</v>
      </c>
      <c r="K34" s="1770">
        <f>'2.3 Enterprise Data'!$L$9</f>
        <v>4</v>
      </c>
      <c r="L34" s="1769">
        <f>'2.3 Enterprise Data'!$M$9</f>
        <v>0.9</v>
      </c>
      <c r="M34" s="1769">
        <f>'2.3 Enterprise Data'!$N$9</f>
        <v>0.80639733</v>
      </c>
      <c r="N34" s="1769">
        <f>'2.3 Enterprise Data'!$O$9</f>
        <v>-0.093603</v>
      </c>
      <c r="O34" s="1769">
        <f>'2.3 Enterprise Data'!$P$9</f>
        <v>0.80639733</v>
      </c>
    </row>
    <row r="35">
      <c r="B35" s="1531" t="inlineStr">
        <is>
          <t>Enterprise Data</t>
        </is>
      </c>
      <c r="C35" s="1531" t="inlineStr">
        <is>
          <t>Archetype</t>
        </is>
      </c>
      <c r="D35" s="1531" t="str">
        <f>'2.3 Enterprise Data'!$B$10</f>
        <v>Reporting &amp; Analytics</v>
      </c>
      <c r="E35" s="1531" t="str">
        <f>'2.3 Enterprise Data'!$C$10</f>
        <v>Enterprise Data and Insights</v>
      </c>
      <c r="F35" s="1531" t="str">
        <f>'2.3 Enterprise Data'!$D$10</f>
        <v>M</v>
      </c>
      <c r="G35" s="1783">
        <f>'2.3 Enterprise Data'!$E$10</f>
        <v>7.5</v>
      </c>
      <c r="H35" s="1770">
        <f>'2.3 Enterprise Data'!$F$10</f>
        <v>12</v>
      </c>
      <c r="I35" s="1770">
        <f>'2.3 Enterprise Data'!$G$10</f>
        <v>9</v>
      </c>
      <c r="J35" s="1770">
        <f>'2.3 Enterprise Data'!$H$10</f>
        <v>3</v>
      </c>
      <c r="K35" s="1770">
        <f>'2.3 Enterprise Data'!$L$10</f>
        <v>12</v>
      </c>
      <c r="L35" s="1769">
        <f>'2.3 Enterprise Data'!$M$10</f>
        <v>1.7</v>
      </c>
      <c r="M35" s="1769">
        <f>'2.3 Enterprise Data'!$N$10</f>
        <v>2.7648117</v>
      </c>
      <c r="N35" s="1769">
        <f>'2.3 Enterprise Data'!$O$10</f>
        <v>1.064812</v>
      </c>
      <c r="O35" s="1769">
        <f>'2.3 Enterprise Data'!$P$10</f>
        <v>2.7648117</v>
      </c>
    </row>
    <row r="36">
      <c r="B36" s="1531" t="inlineStr">
        <is>
          <t>Enterprise Data</t>
        </is>
      </c>
      <c r="C36" s="1531" t="inlineStr">
        <is>
          <t>Overhead</t>
        </is>
      </c>
      <c r="D36" s="1531" t="str">
        <f>'2.3 Enterprise Data'!$B$19</f>
        <v>Head of Technology</v>
      </c>
      <c r="E36" s="1531" t="str">
        <f>'2.3 Enterprise Data'!$C$19</f>
        <v>-</v>
      </c>
      <c r="F36" s="1531" t="str">
        <f>'2.3 Enterprise Data'!$D$19</f>
        <v>-</v>
      </c>
      <c r="G36" s="1783" t="str">
        <f>'2.3 Enterprise Data'!$E$19</f>
        <v>-</v>
      </c>
      <c r="H36" s="1770">
        <f>'2.3 Enterprise Data'!$F$19</f>
        <v>1</v>
      </c>
      <c r="I36" s="1770">
        <f>'2.3 Enterprise Data'!$G$19</f>
        <v>1</v>
      </c>
      <c r="J36" s="1770">
        <f>'2.3 Enterprise Data'!$H$19</f>
        <v>0</v>
      </c>
      <c r="K36" s="1770">
        <f>'2.3 Enterprise Data'!$L$19</f>
        <v>1</v>
      </c>
      <c r="L36" s="1769" t="str">
        <f>'2.3 Enterprise Data'!$M$19</f>
        <v>-</v>
      </c>
      <c r="M36" s="1769">
        <f>'2.3 Enterprise Data'!$N$19</f>
        <v>0.4097557</v>
      </c>
      <c r="N36" s="1769" t="str">
        <f>'2.3 Enterprise Data'!$O$19</f>
        <v>-</v>
      </c>
      <c r="O36" s="1769">
        <f>'2.3 Enterprise Data'!$P$19</f>
        <v>0.4097557</v>
      </c>
    </row>
    <row r="37">
      <c r="B37" s="1531" t="inlineStr">
        <is>
          <t>Enterprise Data</t>
        </is>
      </c>
      <c r="C37" s="1531" t="inlineStr">
        <is>
          <t>Overhead</t>
        </is>
      </c>
      <c r="D37" s="1531" t="str">
        <f>'2.3 Enterprise Data'!$B$20</f>
        <v>Technology Manager</v>
      </c>
      <c r="E37" s="1531" t="str">
        <f>'2.3 Enterprise Data'!$C$20</f>
        <v>-</v>
      </c>
      <c r="F37" s="1531" t="str">
        <f>'2.3 Enterprise Data'!$D$20</f>
        <v>-</v>
      </c>
      <c r="G37" s="1783" t="str">
        <f>'2.3 Enterprise Data'!$E$20</f>
        <v>-</v>
      </c>
      <c r="H37" s="1770">
        <f>'2.3 Enterprise Data'!$F$20</f>
        <v>2</v>
      </c>
      <c r="I37" s="1770">
        <f>'2.3 Enterprise Data'!$G$20</f>
        <v>2</v>
      </c>
      <c r="J37" s="1770">
        <f>'2.3 Enterprise Data'!$H$20</f>
        <v>0</v>
      </c>
      <c r="K37" s="1770">
        <f>'2.3 Enterprise Data'!$L$20</f>
        <v>2</v>
      </c>
      <c r="L37" s="1769" t="str">
        <f>'2.3 Enterprise Data'!$M$20</f>
        <v>-</v>
      </c>
      <c r="M37" s="1769">
        <f>'2.3 Enterprise Data'!$N$20</f>
        <v>0.65127875</v>
      </c>
      <c r="N37" s="1769" t="str">
        <f>'2.3 Enterprise Data'!$O$20</f>
        <v>-</v>
      </c>
      <c r="O37" s="1769">
        <f>'2.3 Enterprise Data'!$P$20</f>
        <v>0.65127875</v>
      </c>
    </row>
    <row r="38">
      <c r="B38" s="1535" t="inlineStr">
        <is>
          <t>Enterprise Data total</t>
        </is>
      </c>
      <c r="C38" s="1535" t="n"/>
      <c r="D38" s="1535" t="n"/>
      <c r="E38" s="1535" t="n"/>
      <c r="F38" s="1771" t="str">
        <f>"-"</f>
        <v>-</v>
      </c>
      <c r="G38" s="1784" t="str">
        <f>"-"</f>
        <v>-</v>
      </c>
      <c r="H38" s="1772">
        <f>SUM(H33:H37)</f>
        <v>28</v>
      </c>
      <c r="I38" s="1772">
        <f>SUM(I33:I37)</f>
        <v>19</v>
      </c>
      <c r="J38" s="1772">
        <f>SUM(J33:J37)</f>
        <v>9</v>
      </c>
      <c r="K38" s="1772">
        <f>SUM(K33:K37)</f>
        <v>28</v>
      </c>
      <c r="L38" s="1771" t="str">
        <f>"-"</f>
        <v>-</v>
      </c>
      <c r="M38" s="1771">
        <f>SUM(M33:M37)</f>
        <v>6.418403776</v>
      </c>
      <c r="N38" s="1771" t="str">
        <f>"-"</f>
        <v>-</v>
      </c>
      <c r="O38" s="1771">
        <f>SUM(O33:O37)</f>
        <v>6.418403776</v>
      </c>
    </row>
    <row r="39">
      <c r="B39" s="1531" t="inlineStr">
        <is>
          <t>TDD Group Functions</t>
        </is>
      </c>
      <c r="C39" s="1531" t="inlineStr">
        <is>
          <t>Archetype</t>
        </is>
      </c>
      <c r="D39" s="1531" t="str">
        <f>'2.4 TDD Group Functions'!$B$8</f>
        <v>Cloud, Network &amp; Infra Ops</v>
      </c>
      <c r="E39" s="1531" t="str">
        <f>'2.4 TDD Group Functions'!$C$8</f>
        <v>Operations</v>
      </c>
      <c r="F39" s="1531" t="str">
        <f>'2.4 TDD Group Functions'!$D$8</f>
        <v>M</v>
      </c>
      <c r="G39" s="1783">
        <f>'2.4 TDD Group Functions'!$E$8</f>
        <v>6</v>
      </c>
      <c r="H39" s="1770">
        <f>'2.4 TDD Group Functions'!$F$8</f>
        <v>12</v>
      </c>
      <c r="I39" s="1770">
        <f>'2.4 TDD Group Functions'!$G$8</f>
        <v>11</v>
      </c>
      <c r="J39" s="1770">
        <f>'2.4 TDD Group Functions'!$H$8</f>
        <v>1</v>
      </c>
      <c r="K39" s="1770">
        <f>'2.4 TDD Group Functions'!$L$8</f>
        <v>12</v>
      </c>
      <c r="L39" s="1769">
        <f>'2.4 TDD Group Functions'!$M$8</f>
        <v>1.4</v>
      </c>
      <c r="M39" s="1769">
        <f>'2.4 TDD Group Functions'!$N$8</f>
        <v>2.8267209564</v>
      </c>
      <c r="N39" s="1769">
        <f>'2.4 TDD Group Functions'!$O$8</f>
        <v>1.426721</v>
      </c>
      <c r="O39" s="1769">
        <f>'2.4 TDD Group Functions'!$P$8</f>
        <v>2.8267209564</v>
      </c>
    </row>
    <row r="40">
      <c r="B40" s="1531" t="inlineStr">
        <is>
          <t>TDD Group Functions</t>
        </is>
      </c>
      <c r="C40" s="1531" t="inlineStr">
        <is>
          <t>Archetype</t>
        </is>
      </c>
      <c r="D40" s="1531" t="str">
        <f>'2.4 TDD Group Functions'!$B$9</f>
        <v>DevOps &amp; QE</v>
      </c>
      <c r="E40" s="1531" t="str">
        <f>'2.4 TDD Group Functions'!$C$9</f>
        <v>Engineering</v>
      </c>
      <c r="F40" s="1531" t="str">
        <f>'2.4 TDD Group Functions'!$D$9</f>
        <v>S</v>
      </c>
      <c r="G40" s="1783">
        <f>'2.4 TDD Group Functions'!$E$9</f>
        <v>4.5</v>
      </c>
      <c r="H40" s="1770">
        <f>'2.4 TDD Group Functions'!$F$9</f>
        <v>8</v>
      </c>
      <c r="I40" s="1770">
        <f>'2.4 TDD Group Functions'!$G$9</f>
        <v>4</v>
      </c>
      <c r="J40" s="1770">
        <f>'2.4 TDD Group Functions'!$H$9</f>
        <v>4</v>
      </c>
      <c r="K40" s="1770">
        <f>'2.4 TDD Group Functions'!$L$9</f>
        <v>8</v>
      </c>
      <c r="L40" s="1769">
        <f>'2.4 TDD Group Functions'!$M$9</f>
        <v>0.8</v>
      </c>
      <c r="M40" s="1769">
        <f>'2.4 TDD Group Functions'!$N$9</f>
        <v>1.581591798</v>
      </c>
      <c r="N40" s="1769">
        <f>'2.4 TDD Group Functions'!$O$9</f>
        <v>0.781592</v>
      </c>
      <c r="O40" s="1769">
        <f>'2.4 TDD Group Functions'!$P$9</f>
        <v>1.581591798</v>
      </c>
    </row>
    <row r="41">
      <c r="B41" s="1531" t="inlineStr">
        <is>
          <t>TDD Group Functions</t>
        </is>
      </c>
      <c r="C41" s="1531" t="inlineStr">
        <is>
          <t>Archetype</t>
        </is>
      </c>
      <c r="D41" s="1531" t="str">
        <f>'2.4 TDD Group Functions'!$B$10</f>
        <v>Integration &amp; Process Automation</v>
      </c>
      <c r="E41" s="1531" t="str">
        <f>'2.4 TDD Group Functions'!$C$10</f>
        <v>Configuration / Integration</v>
      </c>
      <c r="F41" s="1531" t="str">
        <f>'2.4 TDD Group Functions'!$D$10</f>
        <v>M</v>
      </c>
      <c r="G41" s="1783">
        <f>'2.4 TDD Group Functions'!$E$10</f>
        <v>9</v>
      </c>
      <c r="H41" s="1770">
        <f>'2.4 TDD Group Functions'!$F$10</f>
        <v>10</v>
      </c>
      <c r="I41" s="1770">
        <f>'2.4 TDD Group Functions'!$G$10</f>
        <v>8</v>
      </c>
      <c r="J41" s="1770">
        <f>'2.4 TDD Group Functions'!$H$10</f>
        <v>2</v>
      </c>
      <c r="K41" s="1770">
        <f>'2.4 TDD Group Functions'!$L$10</f>
        <v>10</v>
      </c>
      <c r="L41" s="1769">
        <f>'2.4 TDD Group Functions'!$M$10</f>
        <v>2.1</v>
      </c>
      <c r="M41" s="1769">
        <f>'2.4 TDD Group Functions'!$N$10</f>
        <v>1.984987746</v>
      </c>
      <c r="N41" s="1769">
        <f>'2.4 TDD Group Functions'!$O$10</f>
        <v>-0.115012</v>
      </c>
      <c r="O41" s="1769">
        <f>'2.4 TDD Group Functions'!$P$10</f>
        <v>1.984987746</v>
      </c>
    </row>
    <row r="42">
      <c r="B42" s="1531" t="inlineStr">
        <is>
          <t>TDD Group Functions</t>
        </is>
      </c>
      <c r="C42" s="1531" t="inlineStr">
        <is>
          <t>Archetype</t>
        </is>
      </c>
      <c r="D42" s="1531" t="str">
        <f>'2.4 TDD Group Functions'!$B$11</f>
        <v>Workplace &amp; Enterprise Tooling</v>
      </c>
      <c r="E42" s="1531" t="str">
        <f>'2.4 TDD Group Functions'!$C$11</f>
        <v>Configuration / Integration</v>
      </c>
      <c r="F42" s="1531" t="str">
        <f>'2.4 TDD Group Functions'!$D$11</f>
        <v>S</v>
      </c>
      <c r="G42" s="1783">
        <f>'2.4 TDD Group Functions'!$E$11</f>
        <v>6</v>
      </c>
      <c r="H42" s="1770">
        <f>'2.4 TDD Group Functions'!$F$11</f>
        <v>6</v>
      </c>
      <c r="I42" s="1770">
        <f>'2.4 TDD Group Functions'!$G$11</f>
        <v>4</v>
      </c>
      <c r="J42" s="1770">
        <f>'2.4 TDD Group Functions'!$H$11</f>
        <v>2</v>
      </c>
      <c r="K42" s="1770">
        <f>'2.4 TDD Group Functions'!$L$11</f>
        <v>6</v>
      </c>
      <c r="L42" s="1769">
        <f>'2.4 TDD Group Functions'!$M$11</f>
        <v>1.4</v>
      </c>
      <c r="M42" s="1769">
        <f>'2.4 TDD Group Functions'!$N$11</f>
        <v>1.117329222</v>
      </c>
      <c r="N42" s="1769">
        <f>'2.4 TDD Group Functions'!$O$11</f>
        <v>-0.282671</v>
      </c>
      <c r="O42" s="1769">
        <f>'2.4 TDD Group Functions'!$P$11</f>
        <v>1.117329222</v>
      </c>
    </row>
    <row r="43">
      <c r="B43" s="1531" t="inlineStr">
        <is>
          <t>TDD Group Functions</t>
        </is>
      </c>
      <c r="C43" s="1531" t="inlineStr">
        <is>
          <t>Directly funded</t>
        </is>
      </c>
      <c r="D43" s="1531" t="str">
        <f>'2.4 TDD Group Functions'!$B$14</f>
        <v>EGI TDD</v>
      </c>
      <c r="E43" s="1531" t="str">
        <f>'2.4 TDD Group Functions'!$C$14</f>
        <v>Strategic Programs</v>
      </c>
      <c r="F43" s="1531" t="str">
        <f>'2.4 TDD Group Functions'!$D$14</f>
        <v>-</v>
      </c>
      <c r="G43" s="1783" t="str">
        <f>'2.4 TDD Group Functions'!$E$14</f>
        <v>-</v>
      </c>
      <c r="H43" s="1770">
        <f>'2.4 TDD Group Functions'!$F$14</f>
        <v>4</v>
      </c>
      <c r="I43" s="1770">
        <f>'2.4 TDD Group Functions'!$G$14</f>
        <v>4</v>
      </c>
      <c r="J43" s="1770">
        <f>'2.4 TDD Group Functions'!$H$14</f>
        <v>0</v>
      </c>
      <c r="K43" s="1770">
        <f>'2.4 TDD Group Functions'!$L$14</f>
        <v>4</v>
      </c>
      <c r="L43" s="1769" t="str">
        <f>'2.4 TDD Group Functions'!$M$14</f>
        <v>-</v>
      </c>
      <c r="M43" s="1769">
        <f>'2.4 TDD Group Functions'!$N$14</f>
        <v>1.02484851</v>
      </c>
      <c r="N43" s="1769" t="str">
        <f>'2.4 TDD Group Functions'!$O$14</f>
        <v>-</v>
      </c>
      <c r="O43" s="1769">
        <f>'2.4 TDD Group Functions'!$P$14</f>
        <v>1.02484851</v>
      </c>
    </row>
    <row r="44">
      <c r="B44" s="1531" t="inlineStr">
        <is>
          <t>TDD Group Functions</t>
        </is>
      </c>
      <c r="C44" s="1531" t="inlineStr">
        <is>
          <t>Overhead</t>
        </is>
      </c>
      <c r="D44" s="1531" t="str">
        <f>'2.4 TDD Group Functions'!$B$20</f>
        <v>Head of Technology</v>
      </c>
      <c r="E44" s="1531" t="str">
        <f>'2.4 TDD Group Functions'!$C$20</f>
        <v>-</v>
      </c>
      <c r="F44" s="1531" t="str">
        <f>'2.4 TDD Group Functions'!$D$20</f>
        <v>-</v>
      </c>
      <c r="G44" s="1783" t="str">
        <f>'2.4 TDD Group Functions'!$E$20</f>
        <v>-</v>
      </c>
      <c r="H44" s="1770">
        <f>'2.4 TDD Group Functions'!$F$20</f>
        <v>1</v>
      </c>
      <c r="I44" s="1770">
        <f>'2.4 TDD Group Functions'!$G$20</f>
        <v>0</v>
      </c>
      <c r="J44" s="1770">
        <f>'2.4 TDD Group Functions'!$H$20</f>
        <v>1</v>
      </c>
      <c r="K44" s="1770">
        <f>'2.4 TDD Group Functions'!$L$20</f>
        <v>1</v>
      </c>
      <c r="L44" s="1769" t="str">
        <f>'2.4 TDD Group Functions'!$M$20</f>
        <v>-</v>
      </c>
      <c r="M44" s="1769">
        <f>'2.4 TDD Group Functions'!$N$20</f>
        <v>0.33302025</v>
      </c>
      <c r="N44" s="1769" t="str">
        <f>'2.4 TDD Group Functions'!$O$20</f>
        <v>-</v>
      </c>
      <c r="O44" s="1769">
        <f>'2.4 TDD Group Functions'!$P$20</f>
        <v>0.33302025</v>
      </c>
    </row>
    <row r="45">
      <c r="B45" s="1531" t="inlineStr">
        <is>
          <t>TDD Group Functions</t>
        </is>
      </c>
      <c r="C45" s="1531" t="inlineStr">
        <is>
          <t>Overhead</t>
        </is>
      </c>
      <c r="D45" s="1531" t="str">
        <f>'2.4 TDD Group Functions'!$B$21</f>
        <v>Delivery Manager</v>
      </c>
      <c r="E45" s="1531" t="str">
        <f>'2.4 TDD Group Functions'!$C$21</f>
        <v>-</v>
      </c>
      <c r="F45" s="1531" t="str">
        <f>'2.4 TDD Group Functions'!$D$21</f>
        <v>-</v>
      </c>
      <c r="G45" s="1783" t="str">
        <f>'2.4 TDD Group Functions'!$E$21</f>
        <v>-</v>
      </c>
      <c r="H45" s="1770">
        <f>'2.4 TDD Group Functions'!$F$21</f>
        <v>1</v>
      </c>
      <c r="I45" s="1770">
        <f>'2.4 TDD Group Functions'!$G$21</f>
        <v>0</v>
      </c>
      <c r="J45" s="1770">
        <f>'2.4 TDD Group Functions'!$H$21</f>
        <v>1</v>
      </c>
      <c r="K45" s="1770">
        <f>'2.4 TDD Group Functions'!$L$21</f>
        <v>1</v>
      </c>
      <c r="L45" s="1769" t="str">
        <f>'2.4 TDD Group Functions'!$M$21</f>
        <v>-</v>
      </c>
      <c r="M45" s="1769">
        <f>'2.4 TDD Group Functions'!$N$21</f>
        <v>0.27581025</v>
      </c>
      <c r="N45" s="1769" t="str">
        <f>'2.4 TDD Group Functions'!$O$21</f>
        <v>-</v>
      </c>
      <c r="O45" s="1769">
        <f>'2.4 TDD Group Functions'!$P$21</f>
        <v>0.27581025</v>
      </c>
    </row>
    <row r="46">
      <c r="B46" s="1531" t="inlineStr">
        <is>
          <t>TDD Group Functions</t>
        </is>
      </c>
      <c r="C46" s="1531" t="inlineStr">
        <is>
          <t>Overhead</t>
        </is>
      </c>
      <c r="D46" s="1531" t="str">
        <f>'2.4 TDD Group Functions'!$B$22</f>
        <v>Technology Manager</v>
      </c>
      <c r="E46" s="1531" t="str">
        <f>'2.4 TDD Group Functions'!$C$22</f>
        <v>-</v>
      </c>
      <c r="F46" s="1531" t="str">
        <f>'2.4 TDD Group Functions'!$D$22</f>
        <v>-</v>
      </c>
      <c r="G46" s="1783" t="str">
        <f>'2.4 TDD Group Functions'!$E$22</f>
        <v>-</v>
      </c>
      <c r="H46" s="1770">
        <f>'2.4 TDD Group Functions'!$F$22</f>
        <v>4</v>
      </c>
      <c r="I46" s="1770">
        <f>'2.4 TDD Group Functions'!$G$22</f>
        <v>1</v>
      </c>
      <c r="J46" s="1770">
        <f>'2.4 TDD Group Functions'!$H$22</f>
        <v>3</v>
      </c>
      <c r="K46" s="1770">
        <f>'2.4 TDD Group Functions'!$L$22</f>
        <v>4</v>
      </c>
      <c r="L46" s="1769" t="str">
        <f>'2.4 TDD Group Functions'!$M$22</f>
        <v>-</v>
      </c>
      <c r="M46" s="1769">
        <f>'2.4 TDD Group Functions'!$N$22</f>
        <v>1.05666075</v>
      </c>
      <c r="N46" s="1769" t="str">
        <f>'2.4 TDD Group Functions'!$O$22</f>
        <v>-</v>
      </c>
      <c r="O46" s="1769">
        <f>'2.4 TDD Group Functions'!$P$22</f>
        <v>1.05666075</v>
      </c>
    </row>
    <row r="47">
      <c r="B47" s="1535" t="inlineStr">
        <is>
          <t>TDD Group Functions total</t>
        </is>
      </c>
      <c r="C47" s="1535" t="n"/>
      <c r="D47" s="1535" t="n"/>
      <c r="E47" s="1535" t="n"/>
      <c r="F47" s="1771" t="str">
        <f>"-"</f>
        <v>-</v>
      </c>
      <c r="G47" s="1784" t="str">
        <f>"-"</f>
        <v>-</v>
      </c>
      <c r="H47" s="1772">
        <f>SUM(H39:H46)</f>
        <v>46</v>
      </c>
      <c r="I47" s="1772">
        <f>SUM(I39:I46)</f>
        <v>32</v>
      </c>
      <c r="J47" s="1772">
        <f>SUM(J39:J46)</f>
        <v>14</v>
      </c>
      <c r="K47" s="1772">
        <f>SUM(K39:K46)</f>
        <v>46</v>
      </c>
      <c r="L47" s="1771" t="str">
        <f>"-"</f>
        <v>-</v>
      </c>
      <c r="M47" s="1771">
        <f>SUM(M39:M46)</f>
        <v>10.2009694824</v>
      </c>
      <c r="N47" s="1771" t="str">
        <f>"-"</f>
        <v>-</v>
      </c>
      <c r="O47" s="1771">
        <f>SUM(O39:O46)</f>
        <v>10.2009694824</v>
      </c>
    </row>
    <row r="48">
      <c r="B48" s="1531" t="inlineStr">
        <is>
          <t>P&amp;C</t>
        </is>
      </c>
      <c r="C48" s="1531" t="inlineStr">
        <is>
          <t>Archetype</t>
        </is>
      </c>
      <c r="D48" s="1531" t="str">
        <f>'2.5 P&amp;C'!$B$8</f>
        <v>P&amp;C</v>
      </c>
      <c r="E48" s="1531" t="str">
        <f>'2.5 P&amp;C'!$C$8</f>
        <v>Configuration / Integration</v>
      </c>
      <c r="F48" s="1531" t="str">
        <f>'2.5 P&amp;C'!$D$8</f>
        <v>M</v>
      </c>
      <c r="G48" s="1783">
        <f>'2.5 P&amp;C'!$E$8</f>
        <v>9</v>
      </c>
      <c r="H48" s="1770">
        <f>'2.5 P&amp;C'!$F$8</f>
        <v>8</v>
      </c>
      <c r="I48" s="1770">
        <f>'2.5 P&amp;C'!$G$8</f>
        <v>5</v>
      </c>
      <c r="J48" s="1770">
        <f>'2.5 P&amp;C'!$H$8</f>
        <v>3</v>
      </c>
      <c r="K48" s="1770">
        <f>'2.5 P&amp;C'!$L$8</f>
        <v>8</v>
      </c>
      <c r="L48" s="1769">
        <f>'2.5 P&amp;C'!$M$8</f>
        <v>2.1</v>
      </c>
      <c r="M48" s="1769">
        <f>'2.5 P&amp;C'!$N$8</f>
        <v>1.76551793</v>
      </c>
      <c r="N48" s="1769">
        <f>'2.5 P&amp;C'!$O$8</f>
        <v>-0.334482</v>
      </c>
      <c r="O48" s="1769">
        <f>'2.5 P&amp;C'!$P$8</f>
        <v>1.76551793</v>
      </c>
    </row>
    <row r="49">
      <c r="B49" s="1531" t="inlineStr">
        <is>
          <t>P&amp;C</t>
        </is>
      </c>
      <c r="C49" s="1531" t="inlineStr">
        <is>
          <t>Archetype</t>
        </is>
      </c>
      <c r="D49" s="1531" t="str">
        <f>'2.5 P&amp;C'!$B$9</f>
        <v>P&amp;C RTA</v>
      </c>
      <c r="E49" s="1531" t="str">
        <f>'2.5 P&amp;C'!$C$9</f>
        <v>Configuration / Integration</v>
      </c>
      <c r="F49" s="1531" t="str">
        <f>'2.5 P&amp;C'!$D$9</f>
        <v>S</v>
      </c>
      <c r="G49" s="1783">
        <f>'2.5 P&amp;C'!$E$9</f>
        <v>6</v>
      </c>
      <c r="H49" s="1770">
        <f>'2.5 P&amp;C'!$F$9</f>
        <v>6</v>
      </c>
      <c r="I49" s="1770">
        <f>'2.5 P&amp;C'!$G$9</f>
        <v>1</v>
      </c>
      <c r="J49" s="1770">
        <f>'2.5 P&amp;C'!$H$9</f>
        <v>5</v>
      </c>
      <c r="K49" s="1770">
        <f>'2.5 P&amp;C'!$L$9</f>
        <v>6</v>
      </c>
      <c r="L49" s="1769">
        <f>'2.5 P&amp;C'!$M$9</f>
        <v>1.4</v>
      </c>
      <c r="M49" s="1769">
        <f>'2.5 P&amp;C'!$N$9</f>
        <v>1.26408815</v>
      </c>
      <c r="N49" s="1769">
        <f>'2.5 P&amp;C'!$O$9</f>
        <v>-0.135912</v>
      </c>
      <c r="O49" s="1769">
        <f>'2.5 P&amp;C'!$P$9</f>
        <v>1.26408815</v>
      </c>
    </row>
    <row r="50">
      <c r="B50" s="1531" t="inlineStr">
        <is>
          <t>P&amp;C</t>
        </is>
      </c>
      <c r="C50" s="1531" t="inlineStr">
        <is>
          <t>Directly funded</t>
        </is>
      </c>
      <c r="D50" s="1531" t="str">
        <f>'2.5 P&amp;C'!$B$12</f>
        <v>EGI P&amp;C</v>
      </c>
      <c r="E50" s="1531" t="str">
        <f>'2.5 P&amp;C'!$C$12</f>
        <v>Strategic Programs</v>
      </c>
      <c r="F50" s="1531" t="str">
        <f>'2.5 P&amp;C'!$D$12</f>
        <v>-</v>
      </c>
      <c r="G50" s="1783" t="str">
        <f>'2.5 P&amp;C'!$E$12</f>
        <v>-</v>
      </c>
      <c r="H50" s="1770">
        <f>'2.5 P&amp;C'!$F$12</f>
        <v>1</v>
      </c>
      <c r="I50" s="1770">
        <f>'2.5 P&amp;C'!$G$12</f>
        <v>1</v>
      </c>
      <c r="J50" s="1770">
        <f>'2.5 P&amp;C'!$H$12</f>
        <v>0</v>
      </c>
      <c r="K50" s="1770">
        <f>'2.5 P&amp;C'!$L$12</f>
        <v>1</v>
      </c>
      <c r="L50" s="1769" t="str">
        <f>'2.5 P&amp;C'!$M$12</f>
        <v>-</v>
      </c>
      <c r="M50" s="1769">
        <f>'2.5 P&amp;C'!$N$12</f>
        <v>0.238965</v>
      </c>
      <c r="N50" s="1769" t="str">
        <f>'2.5 P&amp;C'!$O$12</f>
        <v>-</v>
      </c>
      <c r="O50" s="1769">
        <f>'2.5 P&amp;C'!$P$12</f>
        <v>0.238965</v>
      </c>
    </row>
    <row r="51">
      <c r="B51" s="1531" t="inlineStr">
        <is>
          <t>P&amp;C</t>
        </is>
      </c>
      <c r="C51" s="1531" t="inlineStr">
        <is>
          <t>Overhead</t>
        </is>
      </c>
      <c r="D51" s="1531" t="str">
        <f>'2.5 P&amp;C'!$B$18</f>
        <v>Head of Technology</v>
      </c>
      <c r="E51" s="1531" t="str">
        <f>'2.5 P&amp;C'!$C$18</f>
        <v>-</v>
      </c>
      <c r="F51" s="1531" t="str">
        <f>'2.5 P&amp;C'!$D$18</f>
        <v>-</v>
      </c>
      <c r="G51" s="1783" t="str">
        <f>'2.5 P&amp;C'!$E$18</f>
        <v>-</v>
      </c>
      <c r="H51" s="1770">
        <f>'2.5 P&amp;C'!$F$18</f>
        <v>1</v>
      </c>
      <c r="I51" s="1770">
        <f>'2.5 P&amp;C'!$G$18</f>
        <v>1</v>
      </c>
      <c r="J51" s="1770">
        <f>'2.5 P&amp;C'!$H$18</f>
        <v>0</v>
      </c>
      <c r="K51" s="1770">
        <f>'2.5 P&amp;C'!$L$18</f>
        <v>1</v>
      </c>
      <c r="L51" s="1769" t="str">
        <f>'2.5 P&amp;C'!$M$18</f>
        <v>-</v>
      </c>
      <c r="M51" s="1769">
        <f>'2.5 P&amp;C'!$N$18</f>
        <v>0.3642493</v>
      </c>
      <c r="N51" s="1769" t="str">
        <f>'2.5 P&amp;C'!$O$18</f>
        <v>-</v>
      </c>
      <c r="O51" s="1769">
        <f>'2.5 P&amp;C'!$P$18</f>
        <v>0.3642493</v>
      </c>
    </row>
    <row r="52">
      <c r="B52" s="1531" t="inlineStr">
        <is>
          <t>P&amp;C</t>
        </is>
      </c>
      <c r="C52" s="1531" t="inlineStr">
        <is>
          <t>Overhead</t>
        </is>
      </c>
      <c r="D52" s="1531" t="str">
        <f>'2.5 P&amp;C'!$B$19</f>
        <v>Delivery Manager</v>
      </c>
      <c r="E52" s="1531" t="str">
        <f>'2.5 P&amp;C'!$C$19</f>
        <v>-</v>
      </c>
      <c r="F52" s="1531" t="str">
        <f>'2.5 P&amp;C'!$D$19</f>
        <v>-</v>
      </c>
      <c r="G52" s="1783" t="str">
        <f>'2.5 P&amp;C'!$E$19</f>
        <v>-</v>
      </c>
      <c r="H52" s="1770">
        <f>'2.5 P&amp;C'!$F$19</f>
        <v>1</v>
      </c>
      <c r="I52" s="1770">
        <f>'2.5 P&amp;C'!$G$19</f>
        <v>0</v>
      </c>
      <c r="J52" s="1770">
        <f>'2.5 P&amp;C'!$H$19</f>
        <v>1</v>
      </c>
      <c r="K52" s="1770">
        <f>'2.5 P&amp;C'!$L$19</f>
        <v>1</v>
      </c>
      <c r="L52" s="1769" t="str">
        <f>'2.5 P&amp;C'!$M$19</f>
        <v>-</v>
      </c>
      <c r="M52" s="1769">
        <f>'2.5 P&amp;C'!$N$19</f>
        <v>0.27581025</v>
      </c>
      <c r="N52" s="1769" t="str">
        <f>'2.5 P&amp;C'!$O$19</f>
        <v>-</v>
      </c>
      <c r="O52" s="1769">
        <f>'2.5 P&amp;C'!$P$19</f>
        <v>0.27581025</v>
      </c>
    </row>
    <row r="53">
      <c r="B53" s="1531" t="inlineStr">
        <is>
          <t>P&amp;C</t>
        </is>
      </c>
      <c r="C53" s="1531" t="inlineStr">
        <is>
          <t>Overhead</t>
        </is>
      </c>
      <c r="D53" s="1531" t="str">
        <f>'2.5 P&amp;C'!$B$20</f>
        <v>Technology Manager</v>
      </c>
      <c r="E53" s="1531" t="str">
        <f>'2.5 P&amp;C'!$C$20</f>
        <v>-</v>
      </c>
      <c r="F53" s="1531" t="str">
        <f>'2.5 P&amp;C'!$D$20</f>
        <v>-</v>
      </c>
      <c r="G53" s="1783" t="str">
        <f>'2.5 P&amp;C'!$E$20</f>
        <v>-</v>
      </c>
      <c r="H53" s="1770">
        <f>'2.5 P&amp;C'!$F$20</f>
        <v>1</v>
      </c>
      <c r="I53" s="1770">
        <f>'2.5 P&amp;C'!$G$20</f>
        <v>0</v>
      </c>
      <c r="J53" s="1770">
        <f>'2.5 P&amp;C'!$H$20</f>
        <v>1</v>
      </c>
      <c r="K53" s="1770">
        <f>'2.5 P&amp;C'!$L$20</f>
        <v>1</v>
      </c>
      <c r="L53" s="1769" t="str">
        <f>'2.5 P&amp;C'!$M$20</f>
        <v>-</v>
      </c>
      <c r="M53" s="1769">
        <f>'2.5 P&amp;C'!$N$20</f>
        <v>0.27581025</v>
      </c>
      <c r="N53" s="1769" t="str">
        <f>'2.5 P&amp;C'!$O$20</f>
        <v>-</v>
      </c>
      <c r="O53" s="1769">
        <f>'2.5 P&amp;C'!$P$20</f>
        <v>0.27581025</v>
      </c>
    </row>
    <row r="54">
      <c r="B54" s="1535" t="inlineStr">
        <is>
          <t>P&amp;C total</t>
        </is>
      </c>
      <c r="C54" s="1535" t="n"/>
      <c r="D54" s="1535" t="n"/>
      <c r="E54" s="1535" t="n"/>
      <c r="F54" s="1771" t="str">
        <f>"-"</f>
        <v>-</v>
      </c>
      <c r="G54" s="1784" t="str">
        <f>"-"</f>
        <v>-</v>
      </c>
      <c r="H54" s="1772">
        <f>SUM(H48:H53)</f>
        <v>18</v>
      </c>
      <c r="I54" s="1772">
        <f>SUM(I48:I53)</f>
        <v>8</v>
      </c>
      <c r="J54" s="1772">
        <f>SUM(J48:J53)</f>
        <v>10</v>
      </c>
      <c r="K54" s="1772">
        <f>SUM(K48:K53)</f>
        <v>18</v>
      </c>
      <c r="L54" s="1771" t="str">
        <f>"-"</f>
        <v>-</v>
      </c>
      <c r="M54" s="1771">
        <f>SUM(M48:M53)</f>
        <v>4.18444088</v>
      </c>
      <c r="N54" s="1771" t="str">
        <f>"-"</f>
        <v>-</v>
      </c>
      <c r="O54" s="1771">
        <f>SUM(O48:O53)</f>
        <v>4.18444088</v>
      </c>
    </row>
    <row r="55">
      <c r="B55" s="1531" t="inlineStr">
        <is>
          <t>Finance</t>
        </is>
      </c>
      <c r="C55" s="1531" t="inlineStr">
        <is>
          <t>Archetype</t>
        </is>
      </c>
      <c r="D55" s="1531" t="str">
        <f>'2.6 Finance'!$B$8</f>
        <v>NZ Finance</v>
      </c>
      <c r="E55" s="1531" t="str">
        <f>'2.6 Finance'!$C$8</f>
        <v>Configuration / Integration</v>
      </c>
      <c r="F55" s="1531" t="str">
        <f>'2.6 Finance'!$D$8</f>
        <v>S</v>
      </c>
      <c r="G55" s="1783">
        <f>'2.6 Finance'!$E$8</f>
        <v>6</v>
      </c>
      <c r="H55" s="1770">
        <f>'2.6 Finance'!$F$8</f>
        <v>5</v>
      </c>
      <c r="I55" s="1770">
        <f>'2.6 Finance'!$G$8</f>
        <v>4</v>
      </c>
      <c r="J55" s="1770">
        <f>'2.6 Finance'!$H$8</f>
        <v>1</v>
      </c>
      <c r="K55" s="1770">
        <f>'2.6 Finance'!$L$8</f>
        <v>5</v>
      </c>
      <c r="L55" s="1769">
        <f>'2.6 Finance'!$M$8</f>
        <v>1.4</v>
      </c>
      <c r="M55" s="1769">
        <f>'2.6 Finance'!$N$8</f>
        <v>0.905141646</v>
      </c>
      <c r="N55" s="1769">
        <f>'2.6 Finance'!$O$8</f>
        <v>-0.494858</v>
      </c>
      <c r="O55" s="1769">
        <f>'2.6 Finance'!$P$8</f>
        <v>0.905141646</v>
      </c>
    </row>
    <row r="56">
      <c r="B56" s="1531" t="inlineStr">
        <is>
          <t>Finance</t>
        </is>
      </c>
      <c r="C56" s="1531" t="inlineStr">
        <is>
          <t>Archetype</t>
        </is>
      </c>
      <c r="D56" s="1531" t="str">
        <f>'2.6 Finance'!$B$9</f>
        <v>SAP ERP</v>
      </c>
      <c r="E56" s="1531" t="str">
        <f>'2.6 Finance'!$C$9</f>
        <v>Configuration / Integration</v>
      </c>
      <c r="F56" s="1531" t="str">
        <f>'2.6 Finance'!$D$9</f>
        <v>S</v>
      </c>
      <c r="G56" s="1783">
        <f>'2.6 Finance'!$E$9</f>
        <v>6</v>
      </c>
      <c r="H56" s="1770">
        <f>'2.6 Finance'!$F$9</f>
        <v>10</v>
      </c>
      <c r="I56" s="1770">
        <f>'2.6 Finance'!$G$9</f>
        <v>3</v>
      </c>
      <c r="J56" s="1770">
        <f>'2.6 Finance'!$H$9</f>
        <v>7</v>
      </c>
      <c r="K56" s="1770">
        <f>'2.6 Finance'!$L$9</f>
        <v>10</v>
      </c>
      <c r="L56" s="1769">
        <f>'2.6 Finance'!$M$9</f>
        <v>1.4</v>
      </c>
      <c r="M56" s="1769">
        <f>'2.6 Finance'!$N$9</f>
        <v>2.37418557</v>
      </c>
      <c r="N56" s="1769">
        <f>'2.6 Finance'!$O$9</f>
        <v>0.974186</v>
      </c>
      <c r="O56" s="1769">
        <f>'2.6 Finance'!$P$9</f>
        <v>2.37418557</v>
      </c>
    </row>
    <row r="57">
      <c r="B57" s="1531" t="inlineStr">
        <is>
          <t>Finance</t>
        </is>
      </c>
      <c r="C57" s="1531" t="inlineStr">
        <is>
          <t>Directly funded</t>
        </is>
      </c>
      <c r="D57" s="1531" t="str">
        <f>'2.6 Finance'!$B$12</f>
        <v>EGI Finance</v>
      </c>
      <c r="E57" s="1531" t="str">
        <f>'2.6 Finance'!$C$12</f>
        <v>Strategic Programs</v>
      </c>
      <c r="F57" s="1531" t="str">
        <f>'2.6 Finance'!$D$12</f>
        <v>-</v>
      </c>
      <c r="G57" s="1783" t="str">
        <f>'2.6 Finance'!$E$12</f>
        <v>-</v>
      </c>
      <c r="H57" s="1770">
        <f>'2.6 Finance'!$F$12</f>
        <v>1</v>
      </c>
      <c r="I57" s="1770">
        <f>'2.6 Finance'!$G$12</f>
        <v>1</v>
      </c>
      <c r="J57" s="1770">
        <f>'2.6 Finance'!$H$12</f>
        <v>0</v>
      </c>
      <c r="K57" s="1770">
        <f>'2.6 Finance'!$L$12</f>
        <v>1</v>
      </c>
      <c r="L57" s="1769" t="str">
        <f>'2.6 Finance'!$M$12</f>
        <v>-</v>
      </c>
      <c r="M57" s="1769">
        <f>'2.6 Finance'!$N$12</f>
        <v>0.24172845</v>
      </c>
      <c r="N57" s="1769" t="str">
        <f>'2.6 Finance'!$O$12</f>
        <v>-</v>
      </c>
      <c r="O57" s="1769">
        <f>'2.6 Finance'!$P$12</f>
        <v>0.24172845</v>
      </c>
    </row>
    <row r="58">
      <c r="B58" s="1531" t="inlineStr">
        <is>
          <t>Finance</t>
        </is>
      </c>
      <c r="C58" s="1531" t="inlineStr">
        <is>
          <t>Overhead</t>
        </is>
      </c>
      <c r="D58" s="1531" t="str">
        <f>'2.6 Finance'!$B$18</f>
        <v>Technology Manager</v>
      </c>
      <c r="E58" s="1531" t="str">
        <f>'2.6 Finance'!$C$18</f>
        <v>-</v>
      </c>
      <c r="F58" s="1531" t="str">
        <f>'2.6 Finance'!$D$18</f>
        <v>-</v>
      </c>
      <c r="G58" s="1783" t="str">
        <f>'2.6 Finance'!$E$18</f>
        <v>-</v>
      </c>
      <c r="H58" s="1770">
        <f>'2.6 Finance'!$F$18</f>
        <v>1</v>
      </c>
      <c r="I58" s="1770">
        <f>'2.6 Finance'!$G$18</f>
        <v>1</v>
      </c>
      <c r="J58" s="1770">
        <f>'2.6 Finance'!$H$18</f>
        <v>0</v>
      </c>
      <c r="K58" s="1770">
        <f>'2.6 Finance'!$L$18</f>
        <v>1</v>
      </c>
      <c r="L58" s="1769" t="str">
        <f>'2.6 Finance'!$M$18</f>
        <v>-</v>
      </c>
      <c r="M58" s="1769">
        <f>'2.6 Finance'!$N$18</f>
        <v>0.32356045</v>
      </c>
      <c r="N58" s="1769" t="str">
        <f>'2.6 Finance'!$O$18</f>
        <v>-</v>
      </c>
      <c r="O58" s="1769">
        <f>'2.6 Finance'!$P$18</f>
        <v>0.32356045</v>
      </c>
    </row>
    <row r="59">
      <c r="B59" s="1535" t="inlineStr">
        <is>
          <t>Finance total</t>
        </is>
      </c>
      <c r="C59" s="1535" t="n"/>
      <c r="D59" s="1535" t="n"/>
      <c r="E59" s="1535" t="n"/>
      <c r="F59" s="1771" t="str">
        <f>"-"</f>
        <v>-</v>
      </c>
      <c r="G59" s="1784" t="str">
        <f>"-"</f>
        <v>-</v>
      </c>
      <c r="H59" s="1772">
        <f>SUM(H55:H58)</f>
        <v>17</v>
      </c>
      <c r="I59" s="1772">
        <f>SUM(I55:I58)</f>
        <v>9</v>
      </c>
      <c r="J59" s="1772">
        <f>SUM(J55:J58)</f>
        <v>8</v>
      </c>
      <c r="K59" s="1772">
        <f>SUM(K55:K58)</f>
        <v>17</v>
      </c>
      <c r="L59" s="1771" t="str">
        <f>"-"</f>
        <v>-</v>
      </c>
      <c r="M59" s="1771">
        <f>SUM(M55:M58)</f>
        <v>3.844616116</v>
      </c>
      <c r="N59" s="1771" t="str">
        <f>"-"</f>
        <v>-</v>
      </c>
      <c r="O59" s="1771">
        <f>SUM(O55:O58)</f>
        <v>3.844616116</v>
      </c>
    </row>
    <row r="60">
      <c r="B60" s="1531" t="inlineStr">
        <is>
          <t>Infrastructure</t>
        </is>
      </c>
      <c r="C60" s="1531" t="inlineStr">
        <is>
          <t>Archetype</t>
        </is>
      </c>
      <c r="D60" s="1531" t="str">
        <f>'2.7 Infrastructure'!$B$8</f>
        <v>Data &amp; Insights</v>
      </c>
      <c r="E60" s="1531" t="str">
        <f>'2.7 Infrastructure'!$C$8</f>
        <v>Configuration / Integration</v>
      </c>
      <c r="F60" s="1531" t="str">
        <f>'2.7 Infrastructure'!$D$8</f>
        <v>S</v>
      </c>
      <c r="G60" s="1783">
        <f>'2.7 Infrastructure'!$E$8</f>
        <v>6</v>
      </c>
      <c r="H60" s="1770">
        <f>'2.7 Infrastructure'!$F$8</f>
        <v>7</v>
      </c>
      <c r="I60" s="1770">
        <f>'2.7 Infrastructure'!$G$8</f>
        <v>2</v>
      </c>
      <c r="J60" s="1770">
        <f>'2.7 Infrastructure'!$H$8</f>
        <v>5</v>
      </c>
      <c r="K60" s="1770">
        <f>'2.7 Infrastructure'!$L$8</f>
        <v>7</v>
      </c>
      <c r="L60" s="1769">
        <f>'2.7 Infrastructure'!$M$8</f>
        <v>1.4</v>
      </c>
      <c r="M60" s="1769">
        <f>'2.7 Infrastructure'!$N$8</f>
        <v>1.51725675</v>
      </c>
      <c r="N60" s="1769">
        <f>'2.7 Infrastructure'!$O$8</f>
        <v>0.117257</v>
      </c>
      <c r="O60" s="1769">
        <f>'2.7 Infrastructure'!$P$8</f>
        <v>1.51725675</v>
      </c>
    </row>
    <row r="61">
      <c r="B61" s="1531" t="inlineStr">
        <is>
          <t>Infrastructure</t>
        </is>
      </c>
      <c r="C61" s="1531" t="inlineStr">
        <is>
          <t>Archetype</t>
        </is>
      </c>
      <c r="D61" s="1531" t="str">
        <f>'2.7 Infrastructure'!$B$9</f>
        <v>Distribution, Sales &amp; Services</v>
      </c>
      <c r="E61" s="1531" t="str">
        <f>'2.7 Infrastructure'!$C$9</f>
        <v>Configuration / Integration</v>
      </c>
      <c r="F61" s="1531" t="str">
        <f>'2.7 Infrastructure'!$D$9</f>
        <v>M</v>
      </c>
      <c r="G61" s="1783">
        <f>'2.7 Infrastructure'!$E$9</f>
        <v>9</v>
      </c>
      <c r="H61" s="1770">
        <f>'2.7 Infrastructure'!$F$9</f>
        <v>10</v>
      </c>
      <c r="I61" s="1770">
        <f>'2.7 Infrastructure'!$G$9</f>
        <v>8</v>
      </c>
      <c r="J61" s="1770">
        <f>'2.7 Infrastructure'!$H$9</f>
        <v>2</v>
      </c>
      <c r="K61" s="1770">
        <f>'2.7 Infrastructure'!$L$9</f>
        <v>10</v>
      </c>
      <c r="L61" s="1769">
        <f>'2.7 Infrastructure'!$M$9</f>
        <v>2.1</v>
      </c>
      <c r="M61" s="1769">
        <f>'2.7 Infrastructure'!$N$9</f>
        <v>2.12727365</v>
      </c>
      <c r="N61" s="1769">
        <f>'2.7 Infrastructure'!$O$9</f>
        <v>0.027274</v>
      </c>
      <c r="O61" s="1769">
        <f>'2.7 Infrastructure'!$P$9</f>
        <v>2.12727365</v>
      </c>
    </row>
    <row r="62">
      <c r="B62" s="1531" t="inlineStr">
        <is>
          <t>Infrastructure</t>
        </is>
      </c>
      <c r="C62" s="1531" t="inlineStr">
        <is>
          <t>Archetype</t>
        </is>
      </c>
      <c r="D62" s="1531" t="str">
        <f>'2.7 Infrastructure'!$B$10</f>
        <v>Manufacturing Group Projects</v>
      </c>
      <c r="E62" s="1531" t="str">
        <f>'2.7 Infrastructure'!$C$10</f>
        <v>Configuration / Integration</v>
      </c>
      <c r="F62" s="1531" t="str">
        <f>'2.7 Infrastructure'!$D$10</f>
        <v>M</v>
      </c>
      <c r="G62" s="1783">
        <f>'2.7 Infrastructure'!$E$10</f>
        <v>9</v>
      </c>
      <c r="H62" s="1770">
        <f>'2.7 Infrastructure'!$F$10</f>
        <v>9</v>
      </c>
      <c r="I62" s="1770">
        <f>'2.7 Infrastructure'!$G$10</f>
        <v>7</v>
      </c>
      <c r="J62" s="1770">
        <f>'2.7 Infrastructure'!$H$10</f>
        <v>2</v>
      </c>
      <c r="K62" s="1770">
        <f>'2.7 Infrastructure'!$L$10</f>
        <v>9</v>
      </c>
      <c r="L62" s="1769">
        <f>'2.7 Infrastructure'!$M$10</f>
        <v>2.1</v>
      </c>
      <c r="M62" s="1769">
        <f>'2.7 Infrastructure'!$N$10</f>
        <v>1.9147733</v>
      </c>
      <c r="N62" s="1769">
        <f>'2.7 Infrastructure'!$O$10</f>
        <v>-0.185227</v>
      </c>
      <c r="O62" s="1769">
        <f>'2.7 Infrastructure'!$P$10</f>
        <v>1.9147733</v>
      </c>
    </row>
    <row r="63">
      <c r="B63" s="1531" t="inlineStr">
        <is>
          <t>Infrastructure</t>
        </is>
      </c>
      <c r="C63" s="1531" t="inlineStr">
        <is>
          <t>Archetype</t>
        </is>
      </c>
      <c r="D63" s="1531" t="str">
        <f>'2.7 Infrastructure'!$B$11</f>
        <v>Technology Support</v>
      </c>
      <c r="E63" s="1531" t="str">
        <f>'2.7 Infrastructure'!$C$11</f>
        <v>Operations</v>
      </c>
      <c r="F63" s="1531" t="str">
        <f>'2.7 Infrastructure'!$D$11</f>
        <v>S</v>
      </c>
      <c r="G63" s="1783">
        <f>'2.7 Infrastructure'!$E$11</f>
        <v>4</v>
      </c>
      <c r="H63" s="1770">
        <f>'2.7 Infrastructure'!$F$11</f>
        <v>5</v>
      </c>
      <c r="I63" s="1770">
        <f>'2.7 Infrastructure'!$G$11</f>
        <v>5</v>
      </c>
      <c r="J63" s="1770">
        <f>'2.7 Infrastructure'!$H$11</f>
        <v>0</v>
      </c>
      <c r="K63" s="1770">
        <f>'2.7 Infrastructure'!$L$11</f>
        <v>5</v>
      </c>
      <c r="L63" s="1769">
        <f>'2.7 Infrastructure'!$M$11</f>
        <v>0.8</v>
      </c>
      <c r="M63" s="1769">
        <f>'2.7 Infrastructure'!$N$11</f>
        <v>0.74133529</v>
      </c>
      <c r="N63" s="1769">
        <f>'2.7 Infrastructure'!$O$11</f>
        <v>-0.058665</v>
      </c>
      <c r="O63" s="1769">
        <f>'2.7 Infrastructure'!$P$11</f>
        <v>0.74133529</v>
      </c>
    </row>
    <row r="64">
      <c r="B64" s="1531" t="inlineStr">
        <is>
          <t>Infrastructure</t>
        </is>
      </c>
      <c r="C64" s="1531" t="inlineStr">
        <is>
          <t>No figure to compare</t>
        </is>
      </c>
      <c r="D64" s="1531" t="str">
        <f>'2.7 Infrastructure'!$B$17</f>
        <v>Leadership</v>
      </c>
      <c r="E64" s="1531" t="str">
        <f>'2.7 Infrastructure'!$C$17</f>
        <v>Not on the 1.x tab</v>
      </c>
      <c r="F64" s="1531" t="str">
        <f>'2.7 Infrastructure'!$D$17</f>
        <v>-</v>
      </c>
      <c r="G64" s="1783" t="str">
        <f>'2.7 Infrastructure'!$E$17</f>
        <v>-</v>
      </c>
      <c r="H64" s="1770">
        <f>'2.7 Infrastructure'!$F$17</f>
        <v>1</v>
      </c>
      <c r="I64" s="1770">
        <f>'2.7 Infrastructure'!$G$17</f>
        <v>1</v>
      </c>
      <c r="J64" s="1770">
        <f>'2.7 Infrastructure'!$H$17</f>
        <v>0</v>
      </c>
      <c r="K64" s="1770">
        <f>'2.7 Infrastructure'!$L$17</f>
        <v>1</v>
      </c>
      <c r="L64" s="1769" t="str">
        <f>'2.7 Infrastructure'!$M$17</f>
        <v>-</v>
      </c>
      <c r="M64" s="1769">
        <f>'2.7 Infrastructure'!$N$17</f>
        <v>0.2566671</v>
      </c>
      <c r="N64" s="1769" t="str">
        <f>'2.7 Infrastructure'!$O$17</f>
        <v>-</v>
      </c>
      <c r="O64" s="1769">
        <f>'2.7 Infrastructure'!$P$17</f>
        <v>0.2566671</v>
      </c>
    </row>
    <row r="65">
      <c r="B65" s="1531" t="inlineStr">
        <is>
          <t>Infrastructure</t>
        </is>
      </c>
      <c r="C65" s="1531" t="inlineStr">
        <is>
          <t>Overhead</t>
        </is>
      </c>
      <c r="D65" s="1531" t="str">
        <f>'2.7 Infrastructure'!$B$20</f>
        <v>Head of Technology</v>
      </c>
      <c r="E65" s="1531" t="str">
        <f>'2.7 Infrastructure'!$C$20</f>
        <v>-</v>
      </c>
      <c r="F65" s="1531" t="str">
        <f>'2.7 Infrastructure'!$D$20</f>
        <v>-</v>
      </c>
      <c r="G65" s="1783" t="str">
        <f>'2.7 Infrastructure'!$E$20</f>
        <v>-</v>
      </c>
      <c r="H65" s="1770">
        <f>'2.7 Infrastructure'!$F$20</f>
        <v>1</v>
      </c>
      <c r="I65" s="1770">
        <f>'2.7 Infrastructure'!$G$20</f>
        <v>1</v>
      </c>
      <c r="J65" s="1770">
        <f>'2.7 Infrastructure'!$H$20</f>
        <v>0</v>
      </c>
      <c r="K65" s="1770">
        <f>'2.7 Infrastructure'!$L$20</f>
        <v>1</v>
      </c>
      <c r="L65" s="1769" t="str">
        <f>'2.7 Infrastructure'!$M$20</f>
        <v>-</v>
      </c>
      <c r="M65" s="1769">
        <f>'2.7 Infrastructure'!$N$20</f>
        <v>0.3636267</v>
      </c>
      <c r="N65" s="1769" t="str">
        <f>'2.7 Infrastructure'!$O$20</f>
        <v>-</v>
      </c>
      <c r="O65" s="1769">
        <f>'2.7 Infrastructure'!$P$20</f>
        <v>0.3636267</v>
      </c>
    </row>
    <row r="66">
      <c r="B66" s="1531" t="inlineStr">
        <is>
          <t>Infrastructure</t>
        </is>
      </c>
      <c r="C66" s="1531" t="inlineStr">
        <is>
          <t>Overhead</t>
        </is>
      </c>
      <c r="D66" s="1531" t="str">
        <f>'2.7 Infrastructure'!$B$21</f>
        <v>Delivery Manager</v>
      </c>
      <c r="E66" s="1531" t="str">
        <f>'2.7 Infrastructure'!$C$21</f>
        <v>-</v>
      </c>
      <c r="F66" s="1531" t="str">
        <f>'2.7 Infrastructure'!$D$21</f>
        <v>-</v>
      </c>
      <c r="G66" s="1783" t="str">
        <f>'2.7 Infrastructure'!$E$21</f>
        <v>-</v>
      </c>
      <c r="H66" s="1770">
        <f>'2.7 Infrastructure'!$F$21</f>
        <v>1</v>
      </c>
      <c r="I66" s="1770">
        <f>'2.7 Infrastructure'!$G$21</f>
        <v>0</v>
      </c>
      <c r="J66" s="1770">
        <f>'2.7 Infrastructure'!$H$21</f>
        <v>1</v>
      </c>
      <c r="K66" s="1770">
        <f>'2.7 Infrastructure'!$L$21</f>
        <v>1</v>
      </c>
      <c r="L66" s="1769" t="str">
        <f>'2.7 Infrastructure'!$M$21</f>
        <v>-</v>
      </c>
      <c r="M66" s="1769">
        <f>'2.7 Infrastructure'!$N$21</f>
        <v>0.27581025</v>
      </c>
      <c r="N66" s="1769" t="str">
        <f>'2.7 Infrastructure'!$O$21</f>
        <v>-</v>
      </c>
      <c r="O66" s="1769">
        <f>'2.7 Infrastructure'!$P$21</f>
        <v>0.27581025</v>
      </c>
    </row>
    <row r="67">
      <c r="B67" s="1531" t="inlineStr">
        <is>
          <t>Infrastructure</t>
        </is>
      </c>
      <c r="C67" s="1531" t="inlineStr">
        <is>
          <t>Overhead</t>
        </is>
      </c>
      <c r="D67" s="1531" t="str">
        <f>'2.7 Infrastructure'!$B$22</f>
        <v>Technology Manager</v>
      </c>
      <c r="E67" s="1531" t="str">
        <f>'2.7 Infrastructure'!$C$22</f>
        <v>-</v>
      </c>
      <c r="F67" s="1531" t="str">
        <f>'2.7 Infrastructure'!$D$22</f>
        <v>-</v>
      </c>
      <c r="G67" s="1783" t="str">
        <f>'2.7 Infrastructure'!$E$22</f>
        <v>-</v>
      </c>
      <c r="H67" s="1770">
        <f>'2.7 Infrastructure'!$F$22</f>
        <v>2</v>
      </c>
      <c r="I67" s="1770">
        <f>'2.7 Infrastructure'!$G$22</f>
        <v>0</v>
      </c>
      <c r="J67" s="1770">
        <f>'2.7 Infrastructure'!$H$22</f>
        <v>2</v>
      </c>
      <c r="K67" s="1770">
        <f>'2.7 Infrastructure'!$L$22</f>
        <v>2</v>
      </c>
      <c r="L67" s="1769" t="str">
        <f>'2.7 Infrastructure'!$M$22</f>
        <v>-</v>
      </c>
      <c r="M67" s="1769">
        <f>'2.7 Infrastructure'!$N$22</f>
        <v>0.5516205</v>
      </c>
      <c r="N67" s="1769" t="str">
        <f>'2.7 Infrastructure'!$O$22</f>
        <v>-</v>
      </c>
      <c r="O67" s="1769">
        <f>'2.7 Infrastructure'!$P$22</f>
        <v>0.5516205</v>
      </c>
    </row>
    <row r="68">
      <c r="B68" s="1535" t="inlineStr">
        <is>
          <t>Infrastructure total</t>
        </is>
      </c>
      <c r="C68" s="1535" t="n"/>
      <c r="D68" s="1535" t="n"/>
      <c r="E68" s="1535" t="n"/>
      <c r="F68" s="1771" t="str">
        <f>"-"</f>
        <v>-</v>
      </c>
      <c r="G68" s="1784" t="str">
        <f>"-"</f>
        <v>-</v>
      </c>
      <c r="H68" s="1772">
        <f>SUM(H60:H67)</f>
        <v>36</v>
      </c>
      <c r="I68" s="1772">
        <f>SUM(I60:I67)</f>
        <v>24</v>
      </c>
      <c r="J68" s="1772">
        <f>SUM(J60:J67)</f>
        <v>12</v>
      </c>
      <c r="K68" s="1772">
        <f>SUM(K60:K67)</f>
        <v>36</v>
      </c>
      <c r="L68" s="1771" t="str">
        <f>"-"</f>
        <v>-</v>
      </c>
      <c r="M68" s="1771">
        <f>SUM(M60:M67)</f>
        <v>7.74836354</v>
      </c>
      <c r="N68" s="1771" t="str">
        <f>"-"</f>
        <v>-</v>
      </c>
      <c r="O68" s="1771">
        <f>SUM(O60:O67)</f>
        <v>7.74836354</v>
      </c>
    </row>
    <row r="69">
      <c r="B69" s="1531" t="inlineStr">
        <is>
          <t>Energy Solutions &amp; B2B</t>
        </is>
      </c>
      <c r="C69" s="1531" t="inlineStr">
        <is>
          <t>Archetype</t>
        </is>
      </c>
      <c r="D69" s="1531" t="str">
        <f>'2.8 Energy Solutions &amp; B2B'!$B$8</f>
        <v>B2B</v>
      </c>
      <c r="E69" s="1531" t="str">
        <f>'2.8 Energy Solutions &amp; B2B'!$C$8</f>
        <v>Configuration / Integration</v>
      </c>
      <c r="F69" s="1531" t="str">
        <f>'2.8 Energy Solutions &amp; B2B'!$D$8</f>
        <v>L</v>
      </c>
      <c r="G69" s="1783">
        <f>'2.8 Energy Solutions &amp; B2B'!$E$8</f>
        <v>14</v>
      </c>
      <c r="H69" s="1770">
        <f>'2.8 Energy Solutions &amp; B2B'!$F$8</f>
        <v>14</v>
      </c>
      <c r="I69" s="1770">
        <f>'2.8 Energy Solutions &amp; B2B'!$G$8</f>
        <v>11</v>
      </c>
      <c r="J69" s="1770">
        <f>'2.8 Energy Solutions &amp; B2B'!$H$8</f>
        <v>3</v>
      </c>
      <c r="K69" s="1770">
        <f>'2.8 Energy Solutions &amp; B2B'!$L$8</f>
        <v>14</v>
      </c>
      <c r="L69" s="1769">
        <f>'2.8 Energy Solutions &amp; B2B'!$M$8</f>
        <v>3.2</v>
      </c>
      <c r="M69" s="1769">
        <f>'2.8 Energy Solutions &amp; B2B'!$N$8</f>
        <v>2.59351107</v>
      </c>
      <c r="N69" s="1769">
        <f>'2.8 Energy Solutions &amp; B2B'!$O$8</f>
        <v>-0.606489</v>
      </c>
      <c r="O69" s="1769">
        <f>'2.8 Energy Solutions &amp; B2B'!$P$8</f>
        <v>2.59351107</v>
      </c>
    </row>
    <row r="70">
      <c r="B70" s="1531" t="inlineStr">
        <is>
          <t>Energy Solutions &amp; B2B</t>
        </is>
      </c>
      <c r="C70" s="1531" t="inlineStr">
        <is>
          <t>Archetype</t>
        </is>
      </c>
      <c r="D70" s="1531" t="str">
        <f>'2.8 Energy Solutions &amp; B2B'!$B$9</f>
        <v>EVCI</v>
      </c>
      <c r="E70" s="1531" t="str">
        <f>'2.8 Energy Solutions &amp; B2B'!$C$9</f>
        <v>Engineering</v>
      </c>
      <c r="F70" s="1531" t="str">
        <f>'2.8 Energy Solutions &amp; B2B'!$D$9</f>
        <v>M</v>
      </c>
      <c r="G70" s="1783">
        <f>'2.8 Energy Solutions &amp; B2B'!$E$9</f>
        <v>9</v>
      </c>
      <c r="H70" s="1770">
        <f>'2.8 Energy Solutions &amp; B2B'!$F$9</f>
        <v>6</v>
      </c>
      <c r="I70" s="1770">
        <f>'2.8 Energy Solutions &amp; B2B'!$G$9</f>
        <v>6</v>
      </c>
      <c r="J70" s="1770">
        <f>'2.8 Energy Solutions &amp; B2B'!$H$9</f>
        <v>0</v>
      </c>
      <c r="K70" s="1770">
        <f>'2.8 Energy Solutions &amp; B2B'!$L$9</f>
        <v>6</v>
      </c>
      <c r="L70" s="1769">
        <f>'2.8 Energy Solutions &amp; B2B'!$M$9</f>
        <v>2</v>
      </c>
      <c r="M70" s="1769">
        <f>'2.8 Energy Solutions &amp; B2B'!$N$9</f>
        <v>0.930799292</v>
      </c>
      <c r="N70" s="1769">
        <f>'2.8 Energy Solutions &amp; B2B'!$O$9</f>
        <v>-1.069201</v>
      </c>
      <c r="O70" s="1769">
        <f>'2.8 Energy Solutions &amp; B2B'!$P$9</f>
        <v>0.930799292</v>
      </c>
    </row>
    <row r="71">
      <c r="B71" s="1531" t="inlineStr">
        <is>
          <t>Energy Solutions &amp; B2B</t>
        </is>
      </c>
      <c r="C71" s="1531" t="inlineStr">
        <is>
          <t>Archetype</t>
        </is>
      </c>
      <c r="D71" s="1531" t="str">
        <f>'2.8 Energy Solutions &amp; B2B'!$B$10</f>
        <v>Energy</v>
      </c>
      <c r="E71" s="1531" t="str">
        <f>'2.8 Energy Solutions &amp; B2B'!$C$10</f>
        <v>Engineering</v>
      </c>
      <c r="F71" s="1531" t="str">
        <f>'2.8 Energy Solutions &amp; B2B'!$D$10</f>
        <v>L</v>
      </c>
      <c r="G71" s="1783">
        <f>'2.8 Energy Solutions &amp; B2B'!$E$10</f>
        <v>12</v>
      </c>
      <c r="H71" s="1770">
        <f>'2.8 Energy Solutions &amp; B2B'!$F$10</f>
        <v>9</v>
      </c>
      <c r="I71" s="1770">
        <f>'2.8 Energy Solutions &amp; B2B'!$G$10</f>
        <v>5</v>
      </c>
      <c r="J71" s="1770">
        <f>'2.8 Energy Solutions &amp; B2B'!$H$10</f>
        <v>4</v>
      </c>
      <c r="K71" s="1770">
        <f>'2.8 Energy Solutions &amp; B2B'!$L$10</f>
        <v>9</v>
      </c>
      <c r="L71" s="1769">
        <f>'2.8 Energy Solutions &amp; B2B'!$M$10</f>
        <v>2.7</v>
      </c>
      <c r="M71" s="1769">
        <f>'2.8 Energy Solutions &amp; B2B'!$N$10</f>
        <v>1.803563966</v>
      </c>
      <c r="N71" s="1769">
        <f>'2.8 Energy Solutions &amp; B2B'!$O$10</f>
        <v>-0.896436</v>
      </c>
      <c r="O71" s="1769">
        <f>'2.8 Energy Solutions &amp; B2B'!$P$10</f>
        <v>1.803563966</v>
      </c>
    </row>
    <row r="72">
      <c r="B72" s="1531" t="inlineStr">
        <is>
          <t>Energy Solutions &amp; B2B</t>
        </is>
      </c>
      <c r="C72" s="1531" t="inlineStr">
        <is>
          <t>Overhead</t>
        </is>
      </c>
      <c r="D72" s="1531" t="str">
        <f>'2.8 Energy Solutions &amp; B2B'!$B$19</f>
        <v>Head of Technology</v>
      </c>
      <c r="E72" s="1531" t="str">
        <f>'2.8 Energy Solutions &amp; B2B'!$C$19</f>
        <v>-</v>
      </c>
      <c r="F72" s="1531" t="str">
        <f>'2.8 Energy Solutions &amp; B2B'!$D$19</f>
        <v>-</v>
      </c>
      <c r="G72" s="1783" t="str">
        <f>'2.8 Energy Solutions &amp; B2B'!$E$19</f>
        <v>-</v>
      </c>
      <c r="H72" s="1770">
        <f>'2.8 Energy Solutions &amp; B2B'!$F$19</f>
        <v>1</v>
      </c>
      <c r="I72" s="1770">
        <f>'2.8 Energy Solutions &amp; B2B'!$G$19</f>
        <v>1</v>
      </c>
      <c r="J72" s="1770">
        <f>'2.8 Energy Solutions &amp; B2B'!$H$19</f>
        <v>0</v>
      </c>
      <c r="K72" s="1770">
        <f>'2.8 Energy Solutions &amp; B2B'!$L$19</f>
        <v>1</v>
      </c>
      <c r="L72" s="1769" t="str">
        <f>'2.8 Energy Solutions &amp; B2B'!$M$19</f>
        <v>-</v>
      </c>
      <c r="M72" s="1769">
        <f>'2.8 Energy Solutions &amp; B2B'!$N$19</f>
        <v>0.273758</v>
      </c>
      <c r="N72" s="1769" t="str">
        <f>'2.8 Energy Solutions &amp; B2B'!$O$19</f>
        <v>-</v>
      </c>
      <c r="O72" s="1769">
        <f>'2.8 Energy Solutions &amp; B2B'!$P$19</f>
        <v>0.273758</v>
      </c>
    </row>
    <row r="73">
      <c r="B73" s="1531" t="inlineStr">
        <is>
          <t>Energy Solutions &amp; B2B</t>
        </is>
      </c>
      <c r="C73" s="1531" t="inlineStr">
        <is>
          <t>Overhead</t>
        </is>
      </c>
      <c r="D73" s="1531" t="str">
        <f>'2.8 Energy Solutions &amp; B2B'!$B$20</f>
        <v>Delivery Manager</v>
      </c>
      <c r="E73" s="1531" t="str">
        <f>'2.8 Energy Solutions &amp; B2B'!$C$20</f>
        <v>-</v>
      </c>
      <c r="F73" s="1531" t="str">
        <f>'2.8 Energy Solutions &amp; B2B'!$D$20</f>
        <v>-</v>
      </c>
      <c r="G73" s="1783" t="str">
        <f>'2.8 Energy Solutions &amp; B2B'!$E$20</f>
        <v>-</v>
      </c>
      <c r="H73" s="1770">
        <f>'2.8 Energy Solutions &amp; B2B'!$F$20</f>
        <v>1</v>
      </c>
      <c r="I73" s="1770">
        <f>'2.8 Energy Solutions &amp; B2B'!$G$20</f>
        <v>0</v>
      </c>
      <c r="J73" s="1770">
        <f>'2.8 Energy Solutions &amp; B2B'!$H$20</f>
        <v>1</v>
      </c>
      <c r="K73" s="1770">
        <f>'2.8 Energy Solutions &amp; B2B'!$L$20</f>
        <v>1</v>
      </c>
      <c r="L73" s="1769" t="str">
        <f>'2.8 Energy Solutions &amp; B2B'!$M$20</f>
        <v>-</v>
      </c>
      <c r="M73" s="1769">
        <f>'2.8 Energy Solutions &amp; B2B'!$N$20</f>
        <v>0.27581025</v>
      </c>
      <c r="N73" s="1769" t="str">
        <f>'2.8 Energy Solutions &amp; B2B'!$O$20</f>
        <v>-</v>
      </c>
      <c r="O73" s="1769">
        <f>'2.8 Energy Solutions &amp; B2B'!$P$20</f>
        <v>0.27581025</v>
      </c>
    </row>
    <row r="74">
      <c r="B74" s="1531" t="inlineStr">
        <is>
          <t>Energy Solutions &amp; B2B</t>
        </is>
      </c>
      <c r="C74" s="1531" t="inlineStr">
        <is>
          <t>Overhead</t>
        </is>
      </c>
      <c r="D74" s="1531" t="str">
        <f>'2.8 Energy Solutions &amp; B2B'!$B$21</f>
        <v>Technology Manager</v>
      </c>
      <c r="E74" s="1531" t="str">
        <f>'2.8 Energy Solutions &amp; B2B'!$C$21</f>
        <v>-</v>
      </c>
      <c r="F74" s="1531" t="str">
        <f>'2.8 Energy Solutions &amp; B2B'!$D$21</f>
        <v>-</v>
      </c>
      <c r="G74" s="1783" t="str">
        <f>'2.8 Energy Solutions &amp; B2B'!$E$21</f>
        <v>-</v>
      </c>
      <c r="H74" s="1770">
        <f>'2.8 Energy Solutions &amp; B2B'!$F$21</f>
        <v>2</v>
      </c>
      <c r="I74" s="1770">
        <f>'2.8 Energy Solutions &amp; B2B'!$G$21</f>
        <v>1</v>
      </c>
      <c r="J74" s="1770">
        <f>'2.8 Energy Solutions &amp; B2B'!$H$21</f>
        <v>1</v>
      </c>
      <c r="K74" s="1770">
        <f>'2.8 Energy Solutions &amp; B2B'!$L$21</f>
        <v>2</v>
      </c>
      <c r="L74" s="1769" t="str">
        <f>'2.8 Energy Solutions &amp; B2B'!$M$21</f>
        <v>-</v>
      </c>
      <c r="M74" s="1769">
        <f>'2.8 Energy Solutions &amp; B2B'!$N$21</f>
        <v>0.5703737</v>
      </c>
      <c r="N74" s="1769" t="str">
        <f>'2.8 Energy Solutions &amp; B2B'!$O$21</f>
        <v>-</v>
      </c>
      <c r="O74" s="1769">
        <f>'2.8 Energy Solutions &amp; B2B'!$P$21</f>
        <v>0.5703737</v>
      </c>
    </row>
    <row r="75">
      <c r="B75" s="1535" t="inlineStr">
        <is>
          <t>Energy Solutions &amp; B2B total</t>
        </is>
      </c>
      <c r="C75" s="1535" t="n"/>
      <c r="D75" s="1535" t="n"/>
      <c r="E75" s="1535" t="n"/>
      <c r="F75" s="1771" t="str">
        <f>"-"</f>
        <v>-</v>
      </c>
      <c r="G75" s="1784" t="str">
        <f>"-"</f>
        <v>-</v>
      </c>
      <c r="H75" s="1772">
        <f>SUM(H69:H74)</f>
        <v>33</v>
      </c>
      <c r="I75" s="1772">
        <f>SUM(I69:I74)</f>
        <v>24</v>
      </c>
      <c r="J75" s="1772">
        <f>SUM(J69:J74)</f>
        <v>9</v>
      </c>
      <c r="K75" s="1772">
        <f>SUM(K69:K74)</f>
        <v>33</v>
      </c>
      <c r="L75" s="1771" t="str">
        <f>"-"</f>
        <v>-</v>
      </c>
      <c r="M75" s="1771">
        <f>SUM(M69:M74)</f>
        <v>6.447816278</v>
      </c>
      <c r="N75" s="1771" t="str">
        <f>"-"</f>
        <v>-</v>
      </c>
      <c r="O75" s="1771">
        <f>SUM(O69:O74)</f>
        <v>6.447816278</v>
      </c>
    </row>
    <row r="76">
      <c r="B76" s="1531" t="inlineStr">
        <is>
          <t>Commercial Fuels</t>
        </is>
      </c>
      <c r="C76" s="1531" t="inlineStr">
        <is>
          <t>Archetype</t>
        </is>
      </c>
      <c r="D76" s="1531" t="str">
        <f>'2.9 Commercial Fuels'!$B$8</f>
        <v>Supply</v>
      </c>
      <c r="E76" s="1531" t="str">
        <f>'2.9 Commercial Fuels'!$C$8</f>
        <v>Configuration / Integration</v>
      </c>
      <c r="F76" s="1531" t="str">
        <f>'2.9 Commercial Fuels'!$D$8</f>
        <v>M</v>
      </c>
      <c r="G76" s="1783">
        <f>'2.9 Commercial Fuels'!$E$8</f>
        <v>9</v>
      </c>
      <c r="H76" s="1770">
        <f>'2.9 Commercial Fuels'!$F$8</f>
        <v>5</v>
      </c>
      <c r="I76" s="1770">
        <f>'2.9 Commercial Fuels'!$G$8</f>
        <v>1</v>
      </c>
      <c r="J76" s="1770">
        <f>'2.9 Commercial Fuels'!$H$8</f>
        <v>4</v>
      </c>
      <c r="K76" s="1770">
        <f>'2.9 Commercial Fuels'!$L$8</f>
        <v>5</v>
      </c>
      <c r="L76" s="1769">
        <f>'2.9 Commercial Fuels'!$M$8</f>
        <v>2.1</v>
      </c>
      <c r="M76" s="1769">
        <f>'2.9 Commercial Fuels'!$N$8</f>
        <v>1.05925575</v>
      </c>
      <c r="N76" s="1769">
        <f>'2.9 Commercial Fuels'!$O$8</f>
        <v>-1.040744</v>
      </c>
      <c r="O76" s="1769">
        <f>'2.9 Commercial Fuels'!$P$8</f>
        <v>1.05925575</v>
      </c>
    </row>
    <row r="77">
      <c r="B77" s="1531" t="inlineStr">
        <is>
          <t>Commercial Fuels</t>
        </is>
      </c>
      <c r="C77" s="1531" t="inlineStr">
        <is>
          <t>Archetype</t>
        </is>
      </c>
      <c r="D77" s="1531" t="str">
        <f>'2.9 Commercial Fuels'!$B$9</f>
        <v>Trading &amp; Shipping</v>
      </c>
      <c r="E77" s="1531" t="str">
        <f>'2.9 Commercial Fuels'!$C$9</f>
        <v>Configuration / Integration</v>
      </c>
      <c r="F77" s="1531" t="str">
        <f>'2.9 Commercial Fuels'!$D$9</f>
        <v>M</v>
      </c>
      <c r="G77" s="1783">
        <f>'2.9 Commercial Fuels'!$E$9</f>
        <v>9</v>
      </c>
      <c r="H77" s="1770">
        <f>'2.9 Commercial Fuels'!$F$9</f>
        <v>12</v>
      </c>
      <c r="I77" s="1770">
        <f>'2.9 Commercial Fuels'!$G$9</f>
        <v>9</v>
      </c>
      <c r="J77" s="1770">
        <f>'2.9 Commercial Fuels'!$H$9</f>
        <v>3</v>
      </c>
      <c r="K77" s="1770">
        <f>'2.9 Commercial Fuels'!$L$9</f>
        <v>12</v>
      </c>
      <c r="L77" s="1769">
        <f>'2.9 Commercial Fuels'!$M$9</f>
        <v>2.1</v>
      </c>
      <c r="M77" s="1769">
        <f>'2.9 Commercial Fuels'!$N$9</f>
        <v>2.6791435617</v>
      </c>
      <c r="N77" s="1769">
        <f>'2.9 Commercial Fuels'!$O$9</f>
        <v>0.579144</v>
      </c>
      <c r="O77" s="1769">
        <f>'2.9 Commercial Fuels'!$P$9</f>
        <v>2.6791435617</v>
      </c>
    </row>
    <row r="78">
      <c r="B78" s="1531" t="inlineStr">
        <is>
          <t>Commercial Fuels</t>
        </is>
      </c>
      <c r="C78" s="1531" t="inlineStr">
        <is>
          <t>Archetype</t>
        </is>
      </c>
      <c r="D78" s="1531" t="str">
        <f>'2.9 Commercial Fuels'!$B$10</f>
        <v>Trading &amp; Shipping Data</v>
      </c>
      <c r="E78" s="1531" t="str">
        <f>'2.9 Commercial Fuels'!$C$10</f>
        <v>Enterprise Data and Insights</v>
      </c>
      <c r="F78" s="1531" t="str">
        <f>'2.9 Commercial Fuels'!$D$10</f>
        <v>M</v>
      </c>
      <c r="G78" s="1783">
        <f>'2.9 Commercial Fuels'!$E$10</f>
        <v>7.5</v>
      </c>
      <c r="H78" s="1770">
        <f>'2.9 Commercial Fuels'!$F$10</f>
        <v>7</v>
      </c>
      <c r="I78" s="1770">
        <f>'2.9 Commercial Fuels'!$G$10</f>
        <v>7</v>
      </c>
      <c r="J78" s="1770">
        <f>'2.9 Commercial Fuels'!$H$10</f>
        <v>0</v>
      </c>
      <c r="K78" s="1770">
        <f>'2.9 Commercial Fuels'!$L$10</f>
        <v>7</v>
      </c>
      <c r="L78" s="1769">
        <f>'2.9 Commercial Fuels'!$M$10</f>
        <v>0.68</v>
      </c>
      <c r="M78" s="1769">
        <f>'2.9 Commercial Fuels'!$N$10</f>
        <v>2.106168849</v>
      </c>
      <c r="N78" s="1769">
        <f>'2.9 Commercial Fuels'!$O$10</f>
        <v>1.426169</v>
      </c>
      <c r="O78" s="1769">
        <f>'2.9 Commercial Fuels'!$P$10</f>
        <v>2.106168849</v>
      </c>
    </row>
    <row r="79">
      <c r="B79" s="1531" t="inlineStr">
        <is>
          <t>Commercial Fuels</t>
        </is>
      </c>
      <c r="C79" s="1531" t="inlineStr">
        <is>
          <t>Directly funded</t>
        </is>
      </c>
      <c r="D79" s="1531" t="str">
        <f>'2.9 Commercial Fuels'!$B$13</f>
        <v>CTRM</v>
      </c>
      <c r="E79" s="1531" t="str">
        <f>'2.9 Commercial Fuels'!$C$13</f>
        <v>Strategic Programs</v>
      </c>
      <c r="F79" s="1531" t="str">
        <f>'2.9 Commercial Fuels'!$D$13</f>
        <v>-</v>
      </c>
      <c r="G79" s="1783" t="str">
        <f>'2.9 Commercial Fuels'!$E$13</f>
        <v>-</v>
      </c>
      <c r="H79" s="1770">
        <f>'2.9 Commercial Fuels'!$F$13</f>
        <v>14</v>
      </c>
      <c r="I79" s="1770">
        <f>'2.9 Commercial Fuels'!$G$13</f>
        <v>14</v>
      </c>
      <c r="J79" s="1770">
        <f>'2.9 Commercial Fuels'!$H$13</f>
        <v>0</v>
      </c>
      <c r="K79" s="1770">
        <f>'2.9 Commercial Fuels'!$L$13</f>
        <v>14</v>
      </c>
      <c r="L79" s="1769">
        <f>'2.9 Commercial Fuels'!$M$13</f>
        <v>3.8</v>
      </c>
      <c r="M79" s="1769">
        <f>'2.9 Commercial Fuels'!$N$13</f>
        <v>3.221759232</v>
      </c>
      <c r="N79" s="1769">
        <f>'2.9 Commercial Fuels'!$O$13</f>
        <v>-0.578241</v>
      </c>
      <c r="O79" s="1769">
        <f>'2.9 Commercial Fuels'!$P$13</f>
        <v>3.221759232</v>
      </c>
    </row>
    <row r="80">
      <c r="B80" s="1531" t="inlineStr">
        <is>
          <t>Commercial Fuels</t>
        </is>
      </c>
      <c r="C80" s="1531" t="inlineStr">
        <is>
          <t>Overhead</t>
        </is>
      </c>
      <c r="D80" s="1531" t="str">
        <f>'2.9 Commercial Fuels'!$B$19</f>
        <v>Head of Technology</v>
      </c>
      <c r="E80" s="1531" t="str">
        <f>'2.9 Commercial Fuels'!$C$19</f>
        <v>-</v>
      </c>
      <c r="F80" s="1531" t="str">
        <f>'2.9 Commercial Fuels'!$D$19</f>
        <v>-</v>
      </c>
      <c r="G80" s="1783" t="str">
        <f>'2.9 Commercial Fuels'!$E$19</f>
        <v>-</v>
      </c>
      <c r="H80" s="1770">
        <f>'2.9 Commercial Fuels'!$F$19</f>
        <v>1</v>
      </c>
      <c r="I80" s="1770">
        <f>'2.9 Commercial Fuels'!$G$19</f>
        <v>1</v>
      </c>
      <c r="J80" s="1770">
        <f>'2.9 Commercial Fuels'!$H$19</f>
        <v>0</v>
      </c>
      <c r="K80" s="1770">
        <f>'2.9 Commercial Fuels'!$L$19</f>
        <v>1</v>
      </c>
      <c r="L80" s="1769" t="str">
        <f>'2.9 Commercial Fuels'!$M$19</f>
        <v>-</v>
      </c>
      <c r="M80" s="1769">
        <f>'2.9 Commercial Fuels'!$N$19</f>
        <v>0.292434736</v>
      </c>
      <c r="N80" s="1769" t="str">
        <f>'2.9 Commercial Fuels'!$O$19</f>
        <v>-</v>
      </c>
      <c r="O80" s="1769">
        <f>'2.9 Commercial Fuels'!$P$19</f>
        <v>0.292434736</v>
      </c>
    </row>
    <row r="81">
      <c r="B81" s="1531" t="inlineStr">
        <is>
          <t>Commercial Fuels</t>
        </is>
      </c>
      <c r="C81" s="1531" t="inlineStr">
        <is>
          <t>Overhead</t>
        </is>
      </c>
      <c r="D81" s="1531" t="str">
        <f>'2.9 Commercial Fuels'!$B$20</f>
        <v>Delivery Manager</v>
      </c>
      <c r="E81" s="1531" t="str">
        <f>'2.9 Commercial Fuels'!$C$20</f>
        <v>-</v>
      </c>
      <c r="F81" s="1531" t="str">
        <f>'2.9 Commercial Fuels'!$D$20</f>
        <v>-</v>
      </c>
      <c r="G81" s="1783" t="str">
        <f>'2.9 Commercial Fuels'!$E$20</f>
        <v>-</v>
      </c>
      <c r="H81" s="1770">
        <f>'2.9 Commercial Fuels'!$F$20</f>
        <v>1</v>
      </c>
      <c r="I81" s="1770">
        <f>'2.9 Commercial Fuels'!$G$20</f>
        <v>0</v>
      </c>
      <c r="J81" s="1770">
        <f>'2.9 Commercial Fuels'!$H$20</f>
        <v>1</v>
      </c>
      <c r="K81" s="1770">
        <f>'2.9 Commercial Fuels'!$L$20</f>
        <v>1</v>
      </c>
      <c r="L81" s="1769" t="str">
        <f>'2.9 Commercial Fuels'!$M$20</f>
        <v>-</v>
      </c>
      <c r="M81" s="1769">
        <f>'2.9 Commercial Fuels'!$N$20</f>
        <v>0.27581025</v>
      </c>
      <c r="N81" s="1769" t="str">
        <f>'2.9 Commercial Fuels'!$O$20</f>
        <v>-</v>
      </c>
      <c r="O81" s="1769">
        <f>'2.9 Commercial Fuels'!$P$20</f>
        <v>0.27581025</v>
      </c>
    </row>
    <row r="82">
      <c r="B82" s="1531" t="inlineStr">
        <is>
          <t>Commercial Fuels</t>
        </is>
      </c>
      <c r="C82" s="1531" t="inlineStr">
        <is>
          <t>Overhead</t>
        </is>
      </c>
      <c r="D82" s="1531" t="str">
        <f>'2.9 Commercial Fuels'!$B$21</f>
        <v>Technology Manager</v>
      </c>
      <c r="E82" s="1531" t="str">
        <f>'2.9 Commercial Fuels'!$C$21</f>
        <v>-</v>
      </c>
      <c r="F82" s="1531" t="str">
        <f>'2.9 Commercial Fuels'!$D$21</f>
        <v>-</v>
      </c>
      <c r="G82" s="1783" t="str">
        <f>'2.9 Commercial Fuels'!$E$21</f>
        <v>-</v>
      </c>
      <c r="H82" s="1770">
        <f>'2.9 Commercial Fuels'!$F$21</f>
        <v>2</v>
      </c>
      <c r="I82" s="1770">
        <f>'2.9 Commercial Fuels'!$G$21</f>
        <v>1</v>
      </c>
      <c r="J82" s="1770">
        <f>'2.9 Commercial Fuels'!$H$21</f>
        <v>1</v>
      </c>
      <c r="K82" s="1770">
        <f>'2.9 Commercial Fuels'!$L$21</f>
        <v>2</v>
      </c>
      <c r="L82" s="1769" t="str">
        <f>'2.9 Commercial Fuels'!$M$21</f>
        <v>-</v>
      </c>
      <c r="M82" s="1769">
        <f>'2.9 Commercial Fuels'!$N$21</f>
        <v>0.56309735</v>
      </c>
      <c r="N82" s="1769" t="str">
        <f>'2.9 Commercial Fuels'!$O$21</f>
        <v>-</v>
      </c>
      <c r="O82" s="1769">
        <f>'2.9 Commercial Fuels'!$P$21</f>
        <v>0.56309735</v>
      </c>
    </row>
    <row r="83">
      <c r="B83" s="1535" t="inlineStr">
        <is>
          <t>Commercial Fuels total</t>
        </is>
      </c>
      <c r="C83" s="1535" t="n"/>
      <c r="D83" s="1535" t="n"/>
      <c r="E83" s="1535" t="n"/>
      <c r="F83" s="1771" t="str">
        <f>"-"</f>
        <v>-</v>
      </c>
      <c r="G83" s="1784" t="str">
        <f>"-"</f>
        <v>-</v>
      </c>
      <c r="H83" s="1772">
        <f>SUM(H76:H82)</f>
        <v>42</v>
      </c>
      <c r="I83" s="1772">
        <f>SUM(I76:I82)</f>
        <v>33</v>
      </c>
      <c r="J83" s="1772">
        <f>SUM(J76:J82)</f>
        <v>9</v>
      </c>
      <c r="K83" s="1772">
        <f>SUM(K76:K82)</f>
        <v>42</v>
      </c>
      <c r="L83" s="1771" t="str">
        <f>"-"</f>
        <v>-</v>
      </c>
      <c r="M83" s="1771">
        <f>SUM(M76:M82)</f>
        <v>10.1976697287</v>
      </c>
      <c r="N83" s="1771" t="str">
        <f>"-"</f>
        <v>-</v>
      </c>
      <c r="O83" s="1771">
        <f>SUM(O76:O82)</f>
        <v>10.1976697287</v>
      </c>
    </row>
    <row r="84">
      <c r="B84" s="1531" t="inlineStr">
        <is>
          <t>Z Retail</t>
        </is>
      </c>
      <c r="C84" s="1531" t="inlineStr">
        <is>
          <t>Archetype</t>
        </is>
      </c>
      <c r="D84" s="1531" t="str">
        <f>'2.10 Z Retail'!$B$8</f>
        <v>Data NZ</v>
      </c>
      <c r="E84" s="1531" t="str">
        <f>'2.10 Z Retail'!$C$8</f>
        <v>Enterprise Data and Insights</v>
      </c>
      <c r="F84" s="1531" t="str">
        <f>'2.10 Z Retail'!$D$8</f>
        <v>M</v>
      </c>
      <c r="G84" s="1783">
        <f>'2.10 Z Retail'!$E$8</f>
        <v>7.5</v>
      </c>
      <c r="H84" s="1770">
        <f>'2.10 Z Retail'!$F$8</f>
        <v>7</v>
      </c>
      <c r="I84" s="1770">
        <f>'2.10 Z Retail'!$G$8</f>
        <v>5</v>
      </c>
      <c r="J84" s="1770">
        <f>'2.10 Z Retail'!$H$8</f>
        <v>2</v>
      </c>
      <c r="K84" s="1770">
        <f>'2.10 Z Retail'!$L$8</f>
        <v>7</v>
      </c>
      <c r="L84" s="1769">
        <f>'2.10 Z Retail'!$M$8</f>
        <v>0.68</v>
      </c>
      <c r="M84" s="1769">
        <f>'2.10 Z Retail'!$N$8</f>
        <v>1.223843362</v>
      </c>
      <c r="N84" s="1769">
        <f>'2.10 Z Retail'!$O$8</f>
        <v>0.543843</v>
      </c>
      <c r="O84" s="1769">
        <f>'2.10 Z Retail'!$P$8</f>
        <v>1.223843362</v>
      </c>
    </row>
    <row r="85">
      <c r="B85" s="1531" t="inlineStr">
        <is>
          <t>Z Retail</t>
        </is>
      </c>
      <c r="C85" s="1531" t="inlineStr">
        <is>
          <t>Archetype</t>
        </is>
      </c>
      <c r="D85" s="1531" t="str">
        <f>'2.10 Z Retail'!$B$9</f>
        <v>Site Systems</v>
      </c>
      <c r="E85" s="1531" t="str">
        <f>'2.10 Z Retail'!$C$9</f>
        <v>Configuration / Integration</v>
      </c>
      <c r="F85" s="1531" t="str">
        <f>'2.10 Z Retail'!$D$9</f>
        <v>M</v>
      </c>
      <c r="G85" s="1783">
        <f>'2.10 Z Retail'!$E$9</f>
        <v>9</v>
      </c>
      <c r="H85" s="1770">
        <f>'2.10 Z Retail'!$F$9</f>
        <v>9</v>
      </c>
      <c r="I85" s="1770">
        <f>'2.10 Z Retail'!$G$9</f>
        <v>9</v>
      </c>
      <c r="J85" s="1770">
        <f>'2.10 Z Retail'!$H$9</f>
        <v>0</v>
      </c>
      <c r="K85" s="1770">
        <f>'2.10 Z Retail'!$L$9</f>
        <v>9</v>
      </c>
      <c r="L85" s="1769">
        <f>'2.10 Z Retail'!$M$9</f>
        <v>2.1</v>
      </c>
      <c r="M85" s="1769">
        <f>'2.10 Z Retail'!$N$9</f>
        <v>1.374665758</v>
      </c>
      <c r="N85" s="1769">
        <f>'2.10 Z Retail'!$O$9</f>
        <v>-0.725334</v>
      </c>
      <c r="O85" s="1769">
        <f>'2.10 Z Retail'!$P$9</f>
        <v>1.374665758</v>
      </c>
    </row>
    <row r="86">
      <c r="B86" s="1531" t="inlineStr">
        <is>
          <t>Z Retail</t>
        </is>
      </c>
      <c r="C86" s="1531" t="inlineStr">
        <is>
          <t>Archetype</t>
        </is>
      </c>
      <c r="D86" s="1531" t="str">
        <f>'2.10 Z Retail'!$B$10</f>
        <v>Z Retail Backend</v>
      </c>
      <c r="E86" s="1531" t="str">
        <f>'2.10 Z Retail'!$C$10</f>
        <v>Build and Run</v>
      </c>
      <c r="F86" s="1531" t="str">
        <f>'2.10 Z Retail'!$D$10</f>
        <v>M</v>
      </c>
      <c r="G86" s="1783">
        <f>'2.10 Z Retail'!$E$10</f>
        <v>9</v>
      </c>
      <c r="H86" s="1770">
        <f>'2.10 Z Retail'!$F$10</f>
        <v>9</v>
      </c>
      <c r="I86" s="1770">
        <f>'2.10 Z Retail'!$G$10</f>
        <v>7</v>
      </c>
      <c r="J86" s="1770">
        <f>'2.10 Z Retail'!$H$10</f>
        <v>2</v>
      </c>
      <c r="K86" s="1770">
        <f>'2.10 Z Retail'!$L$10</f>
        <v>9</v>
      </c>
      <c r="L86" s="1769">
        <f>'2.10 Z Retail'!$M$10</f>
        <v>2</v>
      </c>
      <c r="M86" s="1769">
        <f>'2.10 Z Retail'!$N$10</f>
        <v>1.857667168</v>
      </c>
      <c r="N86" s="1769">
        <f>'2.10 Z Retail'!$O$10</f>
        <v>-0.142333</v>
      </c>
      <c r="O86" s="1769">
        <f>'2.10 Z Retail'!$P$10</f>
        <v>1.857667168</v>
      </c>
    </row>
    <row r="87">
      <c r="B87" s="1531" t="inlineStr">
        <is>
          <t>Z Retail</t>
        </is>
      </c>
      <c r="C87" s="1531" t="inlineStr">
        <is>
          <t>Archetype</t>
        </is>
      </c>
      <c r="D87" s="1531" t="str">
        <f>'2.10 Z Retail'!$B$11</f>
        <v>Z Supply</v>
      </c>
      <c r="E87" s="1531" t="str">
        <f>'2.10 Z Retail'!$C$11</f>
        <v>Build and Run</v>
      </c>
      <c r="F87" s="1531" t="str">
        <f>'2.10 Z Retail'!$D$11</f>
        <v>M</v>
      </c>
      <c r="G87" s="1783">
        <f>'2.10 Z Retail'!$E$11</f>
        <v>9</v>
      </c>
      <c r="H87" s="1770">
        <f>'2.10 Z Retail'!$F$11</f>
        <v>9</v>
      </c>
      <c r="I87" s="1770">
        <f>'2.10 Z Retail'!$G$11</f>
        <v>8</v>
      </c>
      <c r="J87" s="1770">
        <f>'2.10 Z Retail'!$H$11</f>
        <v>1</v>
      </c>
      <c r="K87" s="1770">
        <f>'2.10 Z Retail'!$L$11</f>
        <v>9</v>
      </c>
      <c r="L87" s="1769">
        <f>'2.10 Z Retail'!$M$11</f>
        <v>2</v>
      </c>
      <c r="M87" s="1769">
        <f>'2.10 Z Retail'!$N$11</f>
        <v>1.663774396</v>
      </c>
      <c r="N87" s="1769">
        <f>'2.10 Z Retail'!$O$11</f>
        <v>-0.336226</v>
      </c>
      <c r="O87" s="1769">
        <f>'2.10 Z Retail'!$P$11</f>
        <v>1.663774396</v>
      </c>
    </row>
    <row r="88">
      <c r="B88" s="1531" t="inlineStr">
        <is>
          <t>Z Retail</t>
        </is>
      </c>
      <c r="C88" s="1531" t="inlineStr">
        <is>
          <t>Overhead</t>
        </is>
      </c>
      <c r="D88" s="1531" t="str">
        <f>'2.10 Z Retail'!$B$20</f>
        <v>Head of Technology</v>
      </c>
      <c r="E88" s="1531" t="str">
        <f>'2.10 Z Retail'!$C$20</f>
        <v>-</v>
      </c>
      <c r="F88" s="1531" t="str">
        <f>'2.10 Z Retail'!$D$20</f>
        <v>-</v>
      </c>
      <c r="G88" s="1783" t="str">
        <f>'2.10 Z Retail'!$E$20</f>
        <v>-</v>
      </c>
      <c r="H88" s="1770">
        <f>'2.10 Z Retail'!$F$20</f>
        <v>1</v>
      </c>
      <c r="I88" s="1770">
        <f>'2.10 Z Retail'!$G$20</f>
        <v>0</v>
      </c>
      <c r="J88" s="1770">
        <f>'2.10 Z Retail'!$H$20</f>
        <v>1</v>
      </c>
      <c r="K88" s="1770">
        <f>'2.10 Z Retail'!$L$20</f>
        <v>1</v>
      </c>
      <c r="L88" s="1769" t="str">
        <f>'2.10 Z Retail'!$M$20</f>
        <v>-</v>
      </c>
      <c r="M88" s="1769">
        <f>'2.10 Z Retail'!$N$20</f>
        <v>0.291422</v>
      </c>
      <c r="N88" s="1769" t="str">
        <f>'2.10 Z Retail'!$O$20</f>
        <v>-</v>
      </c>
      <c r="O88" s="1769">
        <f>'2.10 Z Retail'!$P$20</f>
        <v>0.291422</v>
      </c>
    </row>
    <row r="89">
      <c r="B89" s="1531" t="inlineStr">
        <is>
          <t>Z Retail</t>
        </is>
      </c>
      <c r="C89" s="1531" t="inlineStr">
        <is>
          <t>Overhead</t>
        </is>
      </c>
      <c r="D89" s="1531" t="str">
        <f>'2.10 Z Retail'!$B$21</f>
        <v>Delivery Manager</v>
      </c>
      <c r="E89" s="1531" t="str">
        <f>'2.10 Z Retail'!$C$21</f>
        <v>-</v>
      </c>
      <c r="F89" s="1531" t="str">
        <f>'2.10 Z Retail'!$D$21</f>
        <v>-</v>
      </c>
      <c r="G89" s="1783" t="str">
        <f>'2.10 Z Retail'!$E$21</f>
        <v>-</v>
      </c>
      <c r="H89" s="1770">
        <f>'2.10 Z Retail'!$F$21</f>
        <v>1</v>
      </c>
      <c r="I89" s="1770">
        <f>'2.10 Z Retail'!$G$21</f>
        <v>0</v>
      </c>
      <c r="J89" s="1770">
        <f>'2.10 Z Retail'!$H$21</f>
        <v>1</v>
      </c>
      <c r="K89" s="1770">
        <f>'2.10 Z Retail'!$L$21</f>
        <v>1</v>
      </c>
      <c r="L89" s="1769" t="str">
        <f>'2.10 Z Retail'!$M$21</f>
        <v>-</v>
      </c>
      <c r="M89" s="1769">
        <f>'2.10 Z Retail'!$N$21</f>
        <v>0.20285325</v>
      </c>
      <c r="N89" s="1769" t="str">
        <f>'2.10 Z Retail'!$O$21</f>
        <v>-</v>
      </c>
      <c r="O89" s="1769">
        <f>'2.10 Z Retail'!$P$21</f>
        <v>0.20285325</v>
      </c>
    </row>
    <row r="90">
      <c r="B90" s="1531" t="inlineStr">
        <is>
          <t>Z Retail</t>
        </is>
      </c>
      <c r="C90" s="1531" t="inlineStr">
        <is>
          <t>Overhead</t>
        </is>
      </c>
      <c r="D90" s="1531" t="str">
        <f>'2.10 Z Retail'!$B$22</f>
        <v>Technology Manager</v>
      </c>
      <c r="E90" s="1531" t="str">
        <f>'2.10 Z Retail'!$C$22</f>
        <v>-</v>
      </c>
      <c r="F90" s="1531" t="str">
        <f>'2.10 Z Retail'!$D$22</f>
        <v>-</v>
      </c>
      <c r="G90" s="1783" t="str">
        <f>'2.10 Z Retail'!$E$22</f>
        <v>-</v>
      </c>
      <c r="H90" s="1770">
        <f>'2.10 Z Retail'!$F$22</f>
        <v>3</v>
      </c>
      <c r="I90" s="1770">
        <f>'2.10 Z Retail'!$G$22</f>
        <v>3</v>
      </c>
      <c r="J90" s="1770">
        <f>'2.10 Z Retail'!$H$22</f>
        <v>0</v>
      </c>
      <c r="K90" s="1770">
        <f>'2.10 Z Retail'!$L$22</f>
        <v>3</v>
      </c>
      <c r="L90" s="1769" t="str">
        <f>'2.10 Z Retail'!$M$22</f>
        <v>-</v>
      </c>
      <c r="M90" s="1769">
        <f>'2.10 Z Retail'!$N$22</f>
        <v>0.723068418</v>
      </c>
      <c r="N90" s="1769" t="str">
        <f>'2.10 Z Retail'!$O$22</f>
        <v>-</v>
      </c>
      <c r="O90" s="1769">
        <f>'2.10 Z Retail'!$P$22</f>
        <v>0.723068418</v>
      </c>
    </row>
    <row r="91">
      <c r="B91" s="1535" t="inlineStr">
        <is>
          <t>Z Retail total</t>
        </is>
      </c>
      <c r="C91" s="1535" t="n"/>
      <c r="D91" s="1535" t="n"/>
      <c r="E91" s="1535" t="n"/>
      <c r="F91" s="1771" t="str">
        <f>"-"</f>
        <v>-</v>
      </c>
      <c r="G91" s="1784" t="str">
        <f>"-"</f>
        <v>-</v>
      </c>
      <c r="H91" s="1772">
        <f>SUM(H84:H90)</f>
        <v>39</v>
      </c>
      <c r="I91" s="1772">
        <f>SUM(I84:I90)</f>
        <v>32</v>
      </c>
      <c r="J91" s="1772">
        <f>SUM(J84:J90)</f>
        <v>7</v>
      </c>
      <c r="K91" s="1772">
        <f>SUM(K84:K90)</f>
        <v>39</v>
      </c>
      <c r="L91" s="1771" t="str">
        <f>"-"</f>
        <v>-</v>
      </c>
      <c r="M91" s="1771">
        <f>SUM(M84:M90)</f>
        <v>7.337294352</v>
      </c>
      <c r="N91" s="1771" t="str">
        <f>"-"</f>
        <v>-</v>
      </c>
      <c r="O91" s="1771">
        <f>SUM(O84:O90)</f>
        <v>7.337294352</v>
      </c>
    </row>
    <row r="92">
      <c r="B92" s="1531" t="inlineStr">
        <is>
          <t>COE Cyber</t>
        </is>
      </c>
      <c r="C92" s="1531" t="inlineStr">
        <is>
          <t>Directly funded</t>
        </is>
      </c>
      <c r="D92" s="1531" t="str">
        <f>'2.11 COE Cyber'!$B$11</f>
        <v>Cyber GRC</v>
      </c>
      <c r="E92" s="1531" t="str">
        <f>'2.11 COE Cyber'!$C$11</f>
        <v>-</v>
      </c>
      <c r="F92" s="1531" t="str">
        <f>'2.11 COE Cyber'!$D$11</f>
        <v>-</v>
      </c>
      <c r="G92" s="1783" t="str">
        <f>'2.11 COE Cyber'!$E$11</f>
        <v>-</v>
      </c>
      <c r="H92" s="1770">
        <f>'2.11 COE Cyber'!$F$11</f>
        <v>5</v>
      </c>
      <c r="I92" s="1770">
        <f>'2.11 COE Cyber'!$G$11</f>
        <v>5</v>
      </c>
      <c r="J92" s="1770">
        <f>'2.11 COE Cyber'!$H$11</f>
        <v>0</v>
      </c>
      <c r="K92" s="1770">
        <f>'2.11 COE Cyber'!$L$11</f>
        <v>5</v>
      </c>
      <c r="L92" s="1769" t="str">
        <f>'2.11 COE Cyber'!$M$11</f>
        <v>-</v>
      </c>
      <c r="M92" s="1769">
        <f>'2.11 COE Cyber'!$N$11</f>
        <v>1.071477788</v>
      </c>
      <c r="N92" s="1769" t="str">
        <f>'2.11 COE Cyber'!$O$11</f>
        <v>-</v>
      </c>
      <c r="O92" s="1769">
        <f>'2.11 COE Cyber'!$P$11</f>
        <v>1.071477788</v>
      </c>
    </row>
    <row r="93">
      <c r="B93" s="1531" t="inlineStr">
        <is>
          <t>COE Cyber</t>
        </is>
      </c>
      <c r="C93" s="1531" t="inlineStr">
        <is>
          <t>Directly funded</t>
        </is>
      </c>
      <c r="D93" s="1531" t="str">
        <f>'2.11 COE Cyber'!$B$12</f>
        <v>Cyber Risk</v>
      </c>
      <c r="E93" s="1531" t="str">
        <f>'2.11 COE Cyber'!$C$12</f>
        <v>-</v>
      </c>
      <c r="F93" s="1531" t="str">
        <f>'2.11 COE Cyber'!$D$12</f>
        <v>-</v>
      </c>
      <c r="G93" s="1783" t="str">
        <f>'2.11 COE Cyber'!$E$12</f>
        <v>-</v>
      </c>
      <c r="H93" s="1770">
        <f>'2.11 COE Cyber'!$F$12</f>
        <v>2</v>
      </c>
      <c r="I93" s="1770">
        <f>'2.11 COE Cyber'!$G$12</f>
        <v>2</v>
      </c>
      <c r="J93" s="1770">
        <f>'2.11 COE Cyber'!$H$12</f>
        <v>0</v>
      </c>
      <c r="K93" s="1770">
        <f>'2.11 COE Cyber'!$L$12</f>
        <v>2</v>
      </c>
      <c r="L93" s="1769" t="str">
        <f>'2.11 COE Cyber'!$M$12</f>
        <v>-</v>
      </c>
      <c r="M93" s="1769">
        <f>'2.11 COE Cyber'!$N$12</f>
        <v>0.475558232</v>
      </c>
      <c r="N93" s="1769" t="str">
        <f>'2.11 COE Cyber'!$O$12</f>
        <v>-</v>
      </c>
      <c r="O93" s="1769">
        <f>'2.11 COE Cyber'!$P$12</f>
        <v>0.475558232</v>
      </c>
    </row>
    <row r="94">
      <c r="B94" s="1531" t="inlineStr">
        <is>
          <t>COE Cyber</t>
        </is>
      </c>
      <c r="C94" s="1531" t="inlineStr">
        <is>
          <t>Directly funded</t>
        </is>
      </c>
      <c r="D94" s="1531" t="str">
        <f>'2.11 COE Cyber'!$B$13</f>
        <v>Cyber Sec Ops</v>
      </c>
      <c r="E94" s="1531" t="str">
        <f>'2.11 COE Cyber'!$C$13</f>
        <v>-</v>
      </c>
      <c r="F94" s="1531" t="str">
        <f>'2.11 COE Cyber'!$D$13</f>
        <v>-</v>
      </c>
      <c r="G94" s="1783" t="str">
        <f>'2.11 COE Cyber'!$E$13</f>
        <v>-</v>
      </c>
      <c r="H94" s="1770">
        <f>'2.11 COE Cyber'!$F$13</f>
        <v>5</v>
      </c>
      <c r="I94" s="1770">
        <f>'2.11 COE Cyber'!$G$13</f>
        <v>5</v>
      </c>
      <c r="J94" s="1770">
        <f>'2.11 COE Cyber'!$H$13</f>
        <v>0</v>
      </c>
      <c r="K94" s="1770">
        <f>'2.11 COE Cyber'!$L$13</f>
        <v>5</v>
      </c>
      <c r="L94" s="1769" t="str">
        <f>'2.11 COE Cyber'!$M$13</f>
        <v>-</v>
      </c>
      <c r="M94" s="1769">
        <f>'2.11 COE Cyber'!$N$13</f>
        <v>1.111589344</v>
      </c>
      <c r="N94" s="1769" t="str">
        <f>'2.11 COE Cyber'!$O$13</f>
        <v>-</v>
      </c>
      <c r="O94" s="1769">
        <f>'2.11 COE Cyber'!$P$13</f>
        <v>1.111589344</v>
      </c>
    </row>
    <row r="95">
      <c r="B95" s="1531" t="inlineStr">
        <is>
          <t>COE Cyber</t>
        </is>
      </c>
      <c r="C95" s="1531" t="inlineStr">
        <is>
          <t>Directly funded</t>
        </is>
      </c>
      <c r="D95" s="1531" t="str">
        <f>'2.11 COE Cyber'!$B$14</f>
        <v>Cyber Strat &amp; Tech</v>
      </c>
      <c r="E95" s="1531" t="str">
        <f>'2.11 COE Cyber'!$C$14</f>
        <v>-</v>
      </c>
      <c r="F95" s="1531" t="str">
        <f>'2.11 COE Cyber'!$D$14</f>
        <v>-</v>
      </c>
      <c r="G95" s="1783" t="str">
        <f>'2.11 COE Cyber'!$E$14</f>
        <v>-</v>
      </c>
      <c r="H95" s="1770">
        <f>'2.11 COE Cyber'!$F$14</f>
        <v>13</v>
      </c>
      <c r="I95" s="1770">
        <f>'2.11 COE Cyber'!$G$14</f>
        <v>13</v>
      </c>
      <c r="J95" s="1770">
        <f>'2.11 COE Cyber'!$H$14</f>
        <v>0</v>
      </c>
      <c r="K95" s="1770">
        <f>'2.11 COE Cyber'!$L$14</f>
        <v>13</v>
      </c>
      <c r="L95" s="1769" t="str">
        <f>'2.11 COE Cyber'!$M$14</f>
        <v>-</v>
      </c>
      <c r="M95" s="1769">
        <f>'2.11 COE Cyber'!$N$14</f>
        <v>3.31576355</v>
      </c>
      <c r="N95" s="1769" t="str">
        <f>'2.11 COE Cyber'!$O$14</f>
        <v>-</v>
      </c>
      <c r="O95" s="1769">
        <f>'2.11 COE Cyber'!$P$14</f>
        <v>3.31576355</v>
      </c>
    </row>
    <row r="96">
      <c r="B96" s="1531" t="inlineStr">
        <is>
          <t>COE Cyber</t>
        </is>
      </c>
      <c r="C96" s="1531" t="inlineStr">
        <is>
          <t>Directly funded</t>
        </is>
      </c>
      <c r="D96" s="1531" t="str">
        <f>'2.11 COE Cyber'!$B$15</f>
        <v>Service Op &amp; Assurance</v>
      </c>
      <c r="E96" s="1531" t="str">
        <f>'2.11 COE Cyber'!$C$15</f>
        <v>-</v>
      </c>
      <c r="F96" s="1531" t="str">
        <f>'2.11 COE Cyber'!$D$15</f>
        <v>-</v>
      </c>
      <c r="G96" s="1783" t="str">
        <f>'2.11 COE Cyber'!$E$15</f>
        <v>-</v>
      </c>
      <c r="H96" s="1770">
        <f>'2.11 COE Cyber'!$F$15</f>
        <v>21</v>
      </c>
      <c r="I96" s="1770">
        <f>'2.11 COE Cyber'!$G$15</f>
        <v>17</v>
      </c>
      <c r="J96" s="1770">
        <f>'2.11 COE Cyber'!$H$15</f>
        <v>4</v>
      </c>
      <c r="K96" s="1770">
        <f>'2.11 COE Cyber'!$L$15</f>
        <v>21</v>
      </c>
      <c r="L96" s="1769" t="str">
        <f>'2.11 COE Cyber'!$M$15</f>
        <v>-</v>
      </c>
      <c r="M96" s="1769">
        <f>'2.11 COE Cyber'!$N$15</f>
        <v>3.92346938</v>
      </c>
      <c r="N96" s="1769" t="str">
        <f>'2.11 COE Cyber'!$O$15</f>
        <v>-</v>
      </c>
      <c r="O96" s="1769">
        <f>'2.11 COE Cyber'!$P$15</f>
        <v>3.92346938</v>
      </c>
    </row>
    <row r="97">
      <c r="B97" s="1535" t="inlineStr">
        <is>
          <t>COE Cyber total</t>
        </is>
      </c>
      <c r="C97" s="1535" t="n"/>
      <c r="D97" s="1535" t="n"/>
      <c r="E97" s="1535" t="n"/>
      <c r="F97" s="1771" t="str">
        <f>"-"</f>
        <v>-</v>
      </c>
      <c r="G97" s="1784" t="str">
        <f>"-"</f>
        <v>-</v>
      </c>
      <c r="H97" s="1772">
        <f>SUM(H92:H96)</f>
        <v>46</v>
      </c>
      <c r="I97" s="1772">
        <f>SUM(I92:I96)</f>
        <v>42</v>
      </c>
      <c r="J97" s="1772">
        <f>SUM(J92:J96)</f>
        <v>4</v>
      </c>
      <c r="K97" s="1772">
        <f>SUM(K92:K96)</f>
        <v>46</v>
      </c>
      <c r="L97" s="1771" t="str">
        <f>"-"</f>
        <v>-</v>
      </c>
      <c r="M97" s="1771">
        <f>SUM(M92:M96)</f>
        <v>9.897858294</v>
      </c>
      <c r="N97" s="1771" t="str">
        <f>"-"</f>
        <v>-</v>
      </c>
      <c r="O97" s="1771">
        <f>SUM(O92:O96)</f>
        <v>9.897858294</v>
      </c>
    </row>
    <row r="98">
      <c r="B98" s="1531" t="inlineStr">
        <is>
          <t>COE BP&amp;T</t>
        </is>
      </c>
      <c r="C98" s="1531" t="inlineStr">
        <is>
          <t>Directly funded</t>
        </is>
      </c>
      <c r="D98" s="1531" t="str">
        <f>'2.12 COE BP&amp;T'!$B$11</f>
        <v>Commercial</v>
      </c>
      <c r="E98" s="1531" t="str">
        <f>'2.12 COE BP&amp;T'!$C$11</f>
        <v>-</v>
      </c>
      <c r="F98" s="1531" t="str">
        <f>'2.12 COE BP&amp;T'!$D$11</f>
        <v>-</v>
      </c>
      <c r="G98" s="1783" t="str">
        <f>'2.12 COE BP&amp;T'!$E$11</f>
        <v>-</v>
      </c>
      <c r="H98" s="1770">
        <f>'2.12 COE BP&amp;T'!$F$11</f>
        <v>4</v>
      </c>
      <c r="I98" s="1770">
        <f>'2.12 COE BP&amp;T'!$G$11</f>
        <v>3</v>
      </c>
      <c r="J98" s="1770">
        <f>'2.12 COE BP&amp;T'!$H$11</f>
        <v>1</v>
      </c>
      <c r="K98" s="1770">
        <f>'2.12 COE BP&amp;T'!$L$11</f>
        <v>4</v>
      </c>
      <c r="L98" s="1769" t="str">
        <f>'2.12 COE BP&amp;T'!$M$11</f>
        <v>-</v>
      </c>
      <c r="M98" s="1769">
        <f>'2.12 COE BP&amp;T'!$N$11</f>
        <v>0.979014192</v>
      </c>
      <c r="N98" s="1769" t="str">
        <f>'2.12 COE BP&amp;T'!$O$11</f>
        <v>-</v>
      </c>
      <c r="O98" s="1769">
        <f>'2.12 COE BP&amp;T'!$P$11</f>
        <v>0.979014192</v>
      </c>
    </row>
    <row r="99">
      <c r="B99" s="1531" t="inlineStr">
        <is>
          <t>COE BP&amp;T</t>
        </is>
      </c>
      <c r="C99" s="1531" t="inlineStr">
        <is>
          <t>Directly funded</t>
        </is>
      </c>
      <c r="D99" s="1531" t="str">
        <f>'2.12 COE BP&amp;T'!$B$12</f>
        <v>TDD Business Partner</v>
      </c>
      <c r="E99" s="1531" t="str">
        <f>'2.12 COE BP&amp;T'!$C$12</f>
        <v>-</v>
      </c>
      <c r="F99" s="1531" t="str">
        <f>'2.12 COE BP&amp;T'!$D$12</f>
        <v>-</v>
      </c>
      <c r="G99" s="1783" t="str">
        <f>'2.12 COE BP&amp;T'!$E$12</f>
        <v>-</v>
      </c>
      <c r="H99" s="1770">
        <f>'2.12 COE BP&amp;T'!$F$12</f>
        <v>6</v>
      </c>
      <c r="I99" s="1770">
        <f>'2.12 COE BP&amp;T'!$G$12</f>
        <v>6</v>
      </c>
      <c r="J99" s="1770">
        <f>'2.12 COE BP&amp;T'!$H$12</f>
        <v>0</v>
      </c>
      <c r="K99" s="1770">
        <f>'2.12 COE BP&amp;T'!$L$12</f>
        <v>6</v>
      </c>
      <c r="L99" s="1769" t="str">
        <f>'2.12 COE BP&amp;T'!$M$12</f>
        <v>-</v>
      </c>
      <c r="M99" s="1769">
        <f>'2.12 COE BP&amp;T'!$N$12</f>
        <v>2.3135484</v>
      </c>
      <c r="N99" s="1769" t="str">
        <f>'2.12 COE BP&amp;T'!$O$12</f>
        <v>-</v>
      </c>
      <c r="O99" s="1769">
        <f>'2.12 COE BP&amp;T'!$P$12</f>
        <v>2.3135484</v>
      </c>
    </row>
    <row r="100">
      <c r="B100" s="1531" t="inlineStr">
        <is>
          <t>COE BP&amp;T</t>
        </is>
      </c>
      <c r="C100" s="1531" t="inlineStr">
        <is>
          <t>Directly funded</t>
        </is>
      </c>
      <c r="D100" s="1531" t="str">
        <f>'2.12 COE BP&amp;T'!$B$13</f>
        <v>Transformation</v>
      </c>
      <c r="E100" s="1531" t="str">
        <f>'2.12 COE BP&amp;T'!$C$13</f>
        <v>-</v>
      </c>
      <c r="F100" s="1531" t="str">
        <f>'2.12 COE BP&amp;T'!$D$13</f>
        <v>-</v>
      </c>
      <c r="G100" s="1783" t="str">
        <f>'2.12 COE BP&amp;T'!$E$13</f>
        <v>-</v>
      </c>
      <c r="H100" s="1770">
        <f>'2.12 COE BP&amp;T'!$F$13</f>
        <v>14</v>
      </c>
      <c r="I100" s="1770">
        <f>'2.12 COE BP&amp;T'!$G$13</f>
        <v>6</v>
      </c>
      <c r="J100" s="1770">
        <f>'2.12 COE BP&amp;T'!$H$13</f>
        <v>8</v>
      </c>
      <c r="K100" s="1770">
        <f>'2.12 COE BP&amp;T'!$L$13</f>
        <v>14</v>
      </c>
      <c r="L100" s="1769" t="str">
        <f>'2.12 COE BP&amp;T'!$M$13</f>
        <v>-</v>
      </c>
      <c r="M100" s="1769">
        <f>'2.12 COE BP&amp;T'!$N$13</f>
        <v>3.10799923</v>
      </c>
      <c r="N100" s="1769" t="str">
        <f>'2.12 COE BP&amp;T'!$O$13</f>
        <v>-</v>
      </c>
      <c r="O100" s="1769">
        <f>'2.12 COE BP&amp;T'!$P$13</f>
        <v>3.10799923</v>
      </c>
    </row>
    <row r="101">
      <c r="B101" s="1535" t="inlineStr">
        <is>
          <t>COE BP&amp;T total</t>
        </is>
      </c>
      <c r="C101" s="1535" t="n"/>
      <c r="D101" s="1535" t="n"/>
      <c r="E101" s="1535" t="n"/>
      <c r="F101" s="1771" t="str">
        <f>"-"</f>
        <v>-</v>
      </c>
      <c r="G101" s="1784" t="str">
        <f>"-"</f>
        <v>-</v>
      </c>
      <c r="H101" s="1772">
        <f>SUM(H98:H100)</f>
        <v>24</v>
      </c>
      <c r="I101" s="1772">
        <f>SUM(I98:I100)</f>
        <v>15</v>
      </c>
      <c r="J101" s="1772">
        <f>SUM(J98:J100)</f>
        <v>9</v>
      </c>
      <c r="K101" s="1772">
        <f>SUM(K98:K100)</f>
        <v>24</v>
      </c>
      <c r="L101" s="1771" t="str">
        <f>"-"</f>
        <v>-</v>
      </c>
      <c r="M101" s="1771">
        <f>SUM(M98:M100)</f>
        <v>6.400561822</v>
      </c>
      <c r="N101" s="1771" t="str">
        <f>"-"</f>
        <v>-</v>
      </c>
      <c r="O101" s="1771">
        <f>SUM(O98:O100)</f>
        <v>6.400561822</v>
      </c>
    </row>
    <row r="102">
      <c r="B102" s="1531" t="inlineStr">
        <is>
          <t>COE SA&amp;D</t>
        </is>
      </c>
      <c r="C102" s="1531" t="inlineStr">
        <is>
          <t>Directly funded</t>
        </is>
      </c>
      <c r="D102" s="1531" t="str">
        <f>'2.13 COE SA&amp;D'!$B$11</f>
        <v>Architecture</v>
      </c>
      <c r="E102" s="1531" t="str">
        <f>'2.13 COE SA&amp;D'!$C$11</f>
        <v>-</v>
      </c>
      <c r="F102" s="1531" t="str">
        <f>'2.13 COE SA&amp;D'!$D$11</f>
        <v>-</v>
      </c>
      <c r="G102" s="1783" t="str">
        <f>'2.13 COE SA&amp;D'!$E$11</f>
        <v>-</v>
      </c>
      <c r="H102" s="1770">
        <f>'2.13 COE SA&amp;D'!$F$11</f>
        <v>7</v>
      </c>
      <c r="I102" s="1770">
        <f>'2.13 COE SA&amp;D'!$G$11</f>
        <v>7</v>
      </c>
      <c r="J102" s="1770">
        <f>'2.13 COE SA&amp;D'!$H$11</f>
        <v>0</v>
      </c>
      <c r="K102" s="1770">
        <f>'2.13 COE SA&amp;D'!$L$11</f>
        <v>7</v>
      </c>
      <c r="L102" s="1769" t="str">
        <f>'2.13 COE SA&amp;D'!$M$11</f>
        <v>-</v>
      </c>
      <c r="M102" s="1769">
        <f>'2.13 COE SA&amp;D'!$N$11</f>
        <v>1.664746536</v>
      </c>
      <c r="N102" s="1769" t="str">
        <f>'2.13 COE SA&amp;D'!$O$11</f>
        <v>-</v>
      </c>
      <c r="O102" s="1769">
        <f>'2.13 COE SA&amp;D'!$P$11</f>
        <v>1.664746536</v>
      </c>
    </row>
    <row r="103">
      <c r="B103" s="1531" t="inlineStr">
        <is>
          <t>COE SA&amp;D</t>
        </is>
      </c>
      <c r="C103" s="1531" t="inlineStr">
        <is>
          <t>Directly funded</t>
        </is>
      </c>
      <c r="D103" s="1531" t="str">
        <f>'2.13 COE SA&amp;D'!$B$12</f>
        <v>Data Platforms</v>
      </c>
      <c r="E103" s="1531" t="str">
        <f>'2.13 COE SA&amp;D'!$C$12</f>
        <v>-</v>
      </c>
      <c r="F103" s="1531" t="str">
        <f>'2.13 COE SA&amp;D'!$D$12</f>
        <v>-</v>
      </c>
      <c r="G103" s="1783" t="str">
        <f>'2.13 COE SA&amp;D'!$E$12</f>
        <v>-</v>
      </c>
      <c r="H103" s="1770">
        <f>'2.13 COE SA&amp;D'!$F$12</f>
        <v>1</v>
      </c>
      <c r="I103" s="1770">
        <f>'2.13 COE SA&amp;D'!$G$12</f>
        <v>1</v>
      </c>
      <c r="J103" s="1770">
        <f>'2.13 COE SA&amp;D'!$H$12</f>
        <v>0</v>
      </c>
      <c r="K103" s="1770">
        <f>'2.13 COE SA&amp;D'!$L$12</f>
        <v>1</v>
      </c>
      <c r="L103" s="1769" t="str">
        <f>'2.13 COE SA&amp;D'!$M$12</f>
        <v>-</v>
      </c>
      <c r="M103" s="1769">
        <f>'2.13 COE SA&amp;D'!$N$12</f>
        <v>0.2655849</v>
      </c>
      <c r="N103" s="1769" t="str">
        <f>'2.13 COE SA&amp;D'!$O$12</f>
        <v>-</v>
      </c>
      <c r="O103" s="1769">
        <f>'2.13 COE SA&amp;D'!$P$12</f>
        <v>0.2655849</v>
      </c>
    </row>
    <row r="104">
      <c r="B104" s="1531" t="inlineStr">
        <is>
          <t>COE SA&amp;D</t>
        </is>
      </c>
      <c r="C104" s="1531" t="inlineStr">
        <is>
          <t>Directly funded</t>
        </is>
      </c>
      <c r="D104" s="1531" t="str">
        <f>'2.13 COE SA&amp;D'!$B$13</f>
        <v>Group Data</v>
      </c>
      <c r="E104" s="1531" t="str">
        <f>'2.13 COE SA&amp;D'!$C$13</f>
        <v>-</v>
      </c>
      <c r="F104" s="1531" t="str">
        <f>'2.13 COE SA&amp;D'!$D$13</f>
        <v>-</v>
      </c>
      <c r="G104" s="1783" t="str">
        <f>'2.13 COE SA&amp;D'!$E$13</f>
        <v>-</v>
      </c>
      <c r="H104" s="1770">
        <f>'2.13 COE SA&amp;D'!$F$13</f>
        <v>9</v>
      </c>
      <c r="I104" s="1770">
        <f>'2.13 COE SA&amp;D'!$G$13</f>
        <v>7</v>
      </c>
      <c r="J104" s="1770">
        <f>'2.13 COE SA&amp;D'!$H$13</f>
        <v>2</v>
      </c>
      <c r="K104" s="1770">
        <f>'2.13 COE SA&amp;D'!$L$13</f>
        <v>9</v>
      </c>
      <c r="L104" s="1769" t="str">
        <f>'2.13 COE SA&amp;D'!$M$13</f>
        <v>-</v>
      </c>
      <c r="M104" s="1769">
        <f>'2.13 COE SA&amp;D'!$N$13</f>
        <v>2.305292066</v>
      </c>
      <c r="N104" s="1769" t="str">
        <f>'2.13 COE SA&amp;D'!$O$13</f>
        <v>-</v>
      </c>
      <c r="O104" s="1769">
        <f>'2.13 COE SA&amp;D'!$P$13</f>
        <v>2.305292066</v>
      </c>
    </row>
    <row r="105">
      <c r="B105" s="1531" t="inlineStr">
        <is>
          <t>COE SA&amp;D</t>
        </is>
      </c>
      <c r="C105" s="1531" t="inlineStr">
        <is>
          <t>Directly funded</t>
        </is>
      </c>
      <c r="D105" s="1531" t="str">
        <f>'2.13 COE SA&amp;D'!$B$14</f>
        <v>Leadership</v>
      </c>
      <c r="E105" s="1531" t="str">
        <f>'2.13 COE SA&amp;D'!$C$14</f>
        <v>-</v>
      </c>
      <c r="F105" s="1531" t="str">
        <f>'2.13 COE SA&amp;D'!$D$14</f>
        <v>-</v>
      </c>
      <c r="G105" s="1783" t="str">
        <f>'2.13 COE SA&amp;D'!$E$14</f>
        <v>-</v>
      </c>
      <c r="H105" s="1770">
        <f>'2.13 COE SA&amp;D'!$F$14</f>
        <v>4</v>
      </c>
      <c r="I105" s="1770">
        <f>'2.13 COE SA&amp;D'!$G$14</f>
        <v>1</v>
      </c>
      <c r="J105" s="1770">
        <f>'2.13 COE SA&amp;D'!$H$14</f>
        <v>3</v>
      </c>
      <c r="K105" s="1770">
        <f>'2.13 COE SA&amp;D'!$L$14</f>
        <v>4</v>
      </c>
      <c r="L105" s="1769" t="str">
        <f>'2.13 COE SA&amp;D'!$M$14</f>
        <v>-</v>
      </c>
      <c r="M105" s="1769">
        <f>'2.13 COE SA&amp;D'!$N$14</f>
        <v>1.2239818</v>
      </c>
      <c r="N105" s="1769" t="str">
        <f>'2.13 COE SA&amp;D'!$O$14</f>
        <v>-</v>
      </c>
      <c r="O105" s="1769">
        <f>'2.13 COE SA&amp;D'!$P$14</f>
        <v>1.2239818</v>
      </c>
    </row>
    <row r="106">
      <c r="B106" s="1531" t="inlineStr">
        <is>
          <t>COE SA&amp;D</t>
        </is>
      </c>
      <c r="C106" s="1531" t="inlineStr">
        <is>
          <t>Directly funded</t>
        </is>
      </c>
      <c r="D106" s="1531" t="str">
        <f>'2.13 COE SA&amp;D'!$B$15</f>
        <v>Technology Strategy &amp; AI Capability</v>
      </c>
      <c r="E106" s="1531" t="str">
        <f>'2.13 COE SA&amp;D'!$C$15</f>
        <v>-</v>
      </c>
      <c r="F106" s="1531" t="str">
        <f>'2.13 COE SA&amp;D'!$D$15</f>
        <v>-</v>
      </c>
      <c r="G106" s="1783" t="str">
        <f>'2.13 COE SA&amp;D'!$E$15</f>
        <v>-</v>
      </c>
      <c r="H106" s="1770">
        <f>'2.13 COE SA&amp;D'!$F$15</f>
        <v>5</v>
      </c>
      <c r="I106" s="1770">
        <f>'2.13 COE SA&amp;D'!$G$15</f>
        <v>1</v>
      </c>
      <c r="J106" s="1770">
        <f>'2.13 COE SA&amp;D'!$H$15</f>
        <v>4</v>
      </c>
      <c r="K106" s="1770">
        <f>'2.13 COE SA&amp;D'!$L$15</f>
        <v>5</v>
      </c>
      <c r="L106" s="1769" t="str">
        <f>'2.13 COE SA&amp;D'!$M$15</f>
        <v>-</v>
      </c>
      <c r="M106" s="1769">
        <f>'2.13 COE SA&amp;D'!$N$15</f>
        <v>1.06988875</v>
      </c>
      <c r="N106" s="1769" t="str">
        <f>'2.13 COE SA&amp;D'!$O$15</f>
        <v>-</v>
      </c>
      <c r="O106" s="1769">
        <f>'2.13 COE SA&amp;D'!$P$15</f>
        <v>1.06988875</v>
      </c>
    </row>
    <row r="107">
      <c r="B107" s="1535" t="inlineStr">
        <is>
          <t>COE SA&amp;D total</t>
        </is>
      </c>
      <c r="C107" s="1535" t="n"/>
      <c r="D107" s="1535" t="n"/>
      <c r="E107" s="1535" t="n"/>
      <c r="F107" s="1771" t="str">
        <f>"-"</f>
        <v>-</v>
      </c>
      <c r="G107" s="1784" t="str">
        <f>"-"</f>
        <v>-</v>
      </c>
      <c r="H107" s="1772">
        <f>SUM(H102:H106)</f>
        <v>26</v>
      </c>
      <c r="I107" s="1772">
        <f>SUM(I102:I106)</f>
        <v>17</v>
      </c>
      <c r="J107" s="1772">
        <f>SUM(J102:J106)</f>
        <v>9</v>
      </c>
      <c r="K107" s="1772">
        <f>SUM(K102:K106)</f>
        <v>26</v>
      </c>
      <c r="L107" s="1771" t="str">
        <f>"-"</f>
        <v>-</v>
      </c>
      <c r="M107" s="1771">
        <f>SUM(M102:M106)</f>
        <v>6.529494052</v>
      </c>
      <c r="N107" s="1771" t="str">
        <f>"-"</f>
        <v>-</v>
      </c>
      <c r="O107" s="1771">
        <f>SUM(O102:O106)</f>
        <v>6.529494052</v>
      </c>
    </row>
    <row r="108">
      <c r="B108" s="1531" t="inlineStr">
        <is>
          <t>EGI</t>
        </is>
      </c>
      <c r="C108" s="1531" t="inlineStr">
        <is>
          <t>Directly funded</t>
        </is>
      </c>
      <c r="D108" s="1531" t="str">
        <f>'2.14 EGI'!$B$11</f>
        <v>EGI</v>
      </c>
      <c r="E108" s="1531" t="str">
        <f>'2.14 EGI'!$C$11</f>
        <v>-</v>
      </c>
      <c r="F108" s="1531" t="str">
        <f>'2.14 EGI'!$D$11</f>
        <v>-</v>
      </c>
      <c r="G108" s="1783" t="str">
        <f>'2.14 EGI'!$E$11</f>
        <v>-</v>
      </c>
      <c r="H108" s="1770">
        <f>'2.14 EGI'!$F$11</f>
        <v>17</v>
      </c>
      <c r="I108" s="1770">
        <f>'2.14 EGI'!$G$11</f>
        <v>17</v>
      </c>
      <c r="J108" s="1770">
        <f>'2.14 EGI'!$H$11</f>
        <v>0</v>
      </c>
      <c r="K108" s="1770">
        <f>'2.14 EGI'!$L$11</f>
        <v>17</v>
      </c>
      <c r="L108" s="1769" t="str">
        <f>'2.14 EGI'!$M$11</f>
        <v>-</v>
      </c>
      <c r="M108" s="1769">
        <f>'2.14 EGI'!$N$11</f>
        <v>4.94341935</v>
      </c>
      <c r="N108" s="1769" t="str">
        <f>'2.14 EGI'!$O$11</f>
        <v>-</v>
      </c>
      <c r="O108" s="1769">
        <f>'2.14 EGI'!$P$11</f>
        <v>4.94341935</v>
      </c>
    </row>
    <row r="109">
      <c r="B109" s="1535" t="inlineStr">
        <is>
          <t>EGI total</t>
        </is>
      </c>
      <c r="C109" s="1535" t="n"/>
      <c r="D109" s="1535" t="n"/>
      <c r="E109" s="1535" t="n"/>
      <c r="F109" s="1771" t="str">
        <f>"-"</f>
        <v>-</v>
      </c>
      <c r="G109" s="1784" t="str">
        <f>"-"</f>
        <v>-</v>
      </c>
      <c r="H109" s="1772">
        <f>SUM(H108:H108)</f>
        <v>17</v>
      </c>
      <c r="I109" s="1772">
        <f>SUM(I108:I108)</f>
        <v>17</v>
      </c>
      <c r="J109" s="1772">
        <f>SUM(J108:J108)</f>
        <v>0</v>
      </c>
      <c r="K109" s="1772">
        <f>SUM(K108:K108)</f>
        <v>17</v>
      </c>
      <c r="L109" s="1771" t="str">
        <f>"-"</f>
        <v>-</v>
      </c>
      <c r="M109" s="1771">
        <f>SUM(M108:M108)</f>
        <v>4.94341935</v>
      </c>
      <c r="N109" s="1771" t="str">
        <f>"-"</f>
        <v>-</v>
      </c>
      <c r="O109" s="1771">
        <f>SUM(O108:O108)</f>
        <v>4.94341935</v>
      </c>
    </row>
    <row r="110">
      <c r="B110" s="1541" t="inlineStr">
        <is>
          <t>Group total</t>
        </is>
      </c>
      <c r="C110" s="1541" t="n"/>
      <c r="D110" s="1541" t="n"/>
      <c r="E110" s="1541" t="n"/>
      <c r="F110" s="1773" t="str">
        <f>"-"</f>
        <v>-</v>
      </c>
      <c r="G110" s="1785" t="str">
        <f>"-"</f>
        <v>-</v>
      </c>
      <c r="H110" s="1774">
        <f>H19+H32+H38+H47+H54+H59+H68+H75+H83+H91+H97+H101+H107+H109</f>
        <v>525</v>
      </c>
      <c r="I110" s="1774">
        <f>I19+I32+I38+I47+I54+I59+I68+I75+I83+I91+I97+I101+I107+I109</f>
        <v>390</v>
      </c>
      <c r="J110" s="1774">
        <f>J19+J32+J38+J47+J54+J59+J68+J75+J83+J91+J97+J101+J107+J109</f>
        <v>135</v>
      </c>
      <c r="K110" s="1774">
        <f>K19+K32+K38+K47+K54+K59+K68+K75+K83+K91+K97+K101+K107+K109</f>
        <v>525</v>
      </c>
      <c r="L110" s="1773" t="str">
        <f>"-"</f>
        <v>-</v>
      </c>
      <c r="M110" s="1773">
        <f>M19+M32+M38+M47+M54+M59+M68+M75+M83+M91+M97+M101+M107+M109</f>
        <v>115.2830022681</v>
      </c>
      <c r="N110" s="1773" t="str">
        <f>"-"</f>
        <v>-</v>
      </c>
      <c r="O110" s="1773">
        <f>O19+O32+O38+O47+O54+O59+O68+O75+O83+O91+O97+O101+O107+O109</f>
        <v>115.2830022681</v>
      </c>
    </row>
    <row r="112">
      <c r="B112" s="1526" t="inlineStr">
        <is>
          <t>Control - roles against the ledger, must be 0</t>
        </is>
      </c>
      <c r="H112" s="1778">
        <f>$H$110-COUNTA('REVIEW - Complete Role Mapping'!$B$2:$B$528)</f>
        <v>0</v>
      </c>
    </row>
    <row r="113">
      <c r="B113" s="1526" t="inlineStr">
        <is>
          <t>Control - cost against the ledger ($m), must be 0</t>
        </is>
      </c>
      <c r="M113" s="1779">
        <f>ROUND($M$110-SUM('REVIEW - Complete Role Mapping'!$AA$2:$AA$528)/1000000,6)</f>
        <v>0</v>
      </c>
    </row>
  </sheetData>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41.xml><?xml version="1.0" encoding="utf-8"?>
<worksheet xmlns="http://schemas.openxmlformats.org/spreadsheetml/2006/main">
  <sheetPr filterMode="0">
    <tabColor rgb="FF002F6C"/>
    <outlinePr summaryBelow="1" summaryRight="1"/>
    <pageSetUpPr fitToPage="1"/>
  </sheetPr>
  <dimension ref="B2:L28"/>
  <sheetViews>
    <sheetView showFormulas="0" showGridLines="0" showRowColHeaders="1" showZeros="1" rightToLeft="0" tabSelected="0" showOutlineSymbols="1" defaultGridColor="1" view="normal" topLeftCell="A1" colorId="64" zoomScale="100" zoomScaleNormal="100" zoomScalePageLayoutView="100" workbookViewId="0">
      <selection pane="topRight" activeCell="A1" sqref="A1"/>
      <selection pane="bottomLeft" activeCell="A1" sqref="A1"/>
      <selection pane="bottomRight" activeCell="E10" activeCellId="0" sqref="E10"/>
    </sheetView>
  </sheetViews>
  <sheetFormatPr baseColWidth="8" defaultColWidth="8.54296875" defaultRowHeight="14.25" zeroHeight="0" outlineLevelRow="0"/>
  <cols>
    <col width="2" customWidth="1" style="866" min="1" max="1"/>
    <col width="34" customWidth="1" style="866" min="2" max="2"/>
    <col width="34" customWidth="1" style="866" min="3" max="3"/>
    <col width="8" customWidth="1" style="866" min="4" max="4"/>
    <col width="8" customWidth="1" style="866" min="5" max="5"/>
    <col width="8" customWidth="1" style="866" min="6" max="6"/>
    <col width="13" customWidth="1" style="866" min="7" max="7"/>
    <col width="13" customWidth="1" style="866" min="8" max="8"/>
    <col width="13" customWidth="1" style="866" min="9" max="9"/>
    <col width="15" customWidth="1" style="866" min="10" max="10"/>
    <col width="17" customWidth="1" style="866" min="11" max="11"/>
    <col width="15" customWidth="1" style="866" min="12" max="12"/>
  </cols>
  <sheetData>
    <row r="2">
      <c r="B2" s="1524" t="inlineStr">
        <is>
          <t>COE detail - where the cost sits</t>
        </is>
      </c>
    </row>
    <row r="4" ht="19" customHeight="1" s="866">
      <c r="B4" s="1527" t="inlineStr">
        <is>
          <t>The COEs and EGI, squad by squad</t>
        </is>
      </c>
      <c r="C4" s="1528" t="n"/>
      <c r="D4" s="1528" t="n"/>
      <c r="E4" s="1528" t="n"/>
      <c r="F4" s="1528" t="n"/>
      <c r="G4" s="1528" t="n"/>
      <c r="H4" s="1528" t="n"/>
      <c r="I4" s="1528" t="n"/>
      <c r="J4" s="1528" t="n"/>
      <c r="K4" s="1528" t="n"/>
      <c r="L4" s="1528" t="n"/>
    </row>
    <row r="5" ht="48" customHeight="1" s="866">
      <c r="B5" s="1529" t="inlineStr">
        <is>
          <t>COE</t>
        </is>
      </c>
      <c r="C5" s="1529" t="inlineStr">
        <is>
          <t>Squad</t>
        </is>
      </c>
      <c r="D5" s="1529" t="inlineStr">
        <is>
          <t>Roles</t>
        </is>
      </c>
      <c r="E5" s="1529" t="inlineStr">
        <is>
          <t>Filled</t>
        </is>
      </c>
      <c r="F5" s="1529" t="inlineStr">
        <is>
          <t>Vacant</t>
        </is>
      </c>
      <c r="G5" s="1529" t="inlineStr">
        <is>
          <t>Cost ($m)</t>
        </is>
      </c>
      <c r="H5" s="1529" t="inlineStr">
        <is>
          <t>Cost - AU ($m)</t>
        </is>
      </c>
      <c r="I5" s="1529" t="inlineStr">
        <is>
          <t>Cost - NZ ($m)</t>
        </is>
      </c>
      <c r="J5" s="1529" t="inlineStr">
        <is>
          <t>Cost - elsewhere ($m)</t>
        </is>
      </c>
      <c r="K5" s="1529" t="inlineStr">
        <is>
          <t>Roles carrying an overhead title</t>
        </is>
      </c>
      <c r="L5" s="1529" t="inlineStr">
        <is>
          <t>Cost of those roles ($m)</t>
        </is>
      </c>
    </row>
    <row r="6">
      <c r="B6" s="1531" t="inlineStr">
        <is>
          <t>COE Cyber</t>
        </is>
      </c>
      <c r="C6" s="1531" t="inlineStr">
        <is>
          <t>Cyber GRC</t>
        </is>
      </c>
      <c r="D6" s="1770">
        <f>COUNTIFS('REVIEW - Complete Role Mapping'!$AJ$2:$AJ$528,$B6,'REVIEW - Complete Role Mapping'!$AT$2:$AT$528,$C6)</f>
        <v>5</v>
      </c>
      <c r="E6" s="1770">
        <f>COUNTIFS('REVIEW - Complete Role Mapping'!$AJ$2:$AJ$528,$B6,'REVIEW - Complete Role Mapping'!$AT$2:$AT$528,$C6,'REVIEW - Complete Role Mapping'!$AK$2:$AK$528,"Filled")</f>
        <v>5</v>
      </c>
      <c r="F6" s="1770">
        <f>COUNTIFS('REVIEW - Complete Role Mapping'!$AJ$2:$AJ$528,$B6,'REVIEW - Complete Role Mapping'!$AT$2:$AT$528,$C6,'REVIEW - Complete Role Mapping'!$AK$2:$AK$528,"Vacant")</f>
        <v>0</v>
      </c>
      <c r="G6" s="1769">
        <f>SUMIFS('REVIEW - Complete Role Mapping'!$AA$2:$AA$528,'REVIEW - Complete Role Mapping'!$AJ$2:$AJ$528,$B6,'REVIEW - Complete Role Mapping'!$AT$2:$AT$528,$C6)/1000000</f>
        <v>1.071477788</v>
      </c>
      <c r="H6" s="1769">
        <f>SUMIFS('REVIEW - Complete Role Mapping'!$AA$2:$AA$528,'REVIEW - Complete Role Mapping'!$AJ$2:$AJ$528,$B6,'REVIEW - Complete Role Mapping'!$AT$2:$AT$528,$C6,'REVIEW - Complete Role Mapping'!$M$2:$M$528,"Australia")/1000000</f>
        <v>0.9396446</v>
      </c>
      <c r="I6" s="1769">
        <f>SUMIFS('REVIEW - Complete Role Mapping'!$AA$2:$AA$528,'REVIEW - Complete Role Mapping'!$AJ$2:$AJ$528,$B6,'REVIEW - Complete Role Mapping'!$AT$2:$AT$528,$C6,'REVIEW - Complete Role Mapping'!$AL$2:$AL$528,"NZ")/1000000</f>
        <v>0.131833188</v>
      </c>
      <c r="J6" s="1769">
        <f>$G6-$H6-$I6</f>
        <v>0</v>
      </c>
      <c r="K6" s="1770">
        <f>COUNTIFS('REVIEW - Complete Role Mapping'!$AJ$2:$AJ$528,$B6,'REVIEW - Complete Role Mapping'!$AT$2:$AT$528,$C6,'REVIEW - Complete Role Mapping'!$AR$2:$AR$528,"&lt;&gt;Squad")</f>
        <v>0</v>
      </c>
      <c r="L6" s="1769">
        <f>SUMIFS('REVIEW - Complete Role Mapping'!$AA$2:$AA$528,'REVIEW - Complete Role Mapping'!$AJ$2:$AJ$528,$B6,'REVIEW - Complete Role Mapping'!$AT$2:$AT$528,$C6,'REVIEW - Complete Role Mapping'!$AR$2:$AR$528,"&lt;&gt;Squad")/1000000</f>
        <v>0</v>
      </c>
    </row>
    <row r="7">
      <c r="B7" s="1531" t="inlineStr">
        <is>
          <t>COE Cyber</t>
        </is>
      </c>
      <c r="C7" s="1531" t="inlineStr">
        <is>
          <t>Cyber Risk</t>
        </is>
      </c>
      <c r="D7" s="1770">
        <f>COUNTIFS('REVIEW - Complete Role Mapping'!$AJ$2:$AJ$528,$B7,'REVIEW - Complete Role Mapping'!$AT$2:$AT$528,$C7)</f>
        <v>2</v>
      </c>
      <c r="E7" s="1770">
        <f>COUNTIFS('REVIEW - Complete Role Mapping'!$AJ$2:$AJ$528,$B7,'REVIEW - Complete Role Mapping'!$AT$2:$AT$528,$C7,'REVIEW - Complete Role Mapping'!$AK$2:$AK$528,"Filled")</f>
        <v>2</v>
      </c>
      <c r="F7" s="1770">
        <f>COUNTIFS('REVIEW - Complete Role Mapping'!$AJ$2:$AJ$528,$B7,'REVIEW - Complete Role Mapping'!$AT$2:$AT$528,$C7,'REVIEW - Complete Role Mapping'!$AK$2:$AK$528,"Vacant")</f>
        <v>0</v>
      </c>
      <c r="G7" s="1769">
        <f>SUMIFS('REVIEW - Complete Role Mapping'!$AA$2:$AA$528,'REVIEW - Complete Role Mapping'!$AJ$2:$AJ$528,$B7,'REVIEW - Complete Role Mapping'!$AT$2:$AT$528,$C7)/1000000</f>
        <v>0.475558232</v>
      </c>
      <c r="H7" s="1769">
        <f>SUMIFS('REVIEW - Complete Role Mapping'!$AA$2:$AA$528,'REVIEW - Complete Role Mapping'!$AJ$2:$AJ$528,$B7,'REVIEW - Complete Role Mapping'!$AT$2:$AT$528,$C7,'REVIEW - Complete Role Mapping'!$M$2:$M$528,"Australia")/1000000</f>
        <v>0.2870432</v>
      </c>
      <c r="I7" s="1769">
        <f>SUMIFS('REVIEW - Complete Role Mapping'!$AA$2:$AA$528,'REVIEW - Complete Role Mapping'!$AJ$2:$AJ$528,$B7,'REVIEW - Complete Role Mapping'!$AT$2:$AT$528,$C7,'REVIEW - Complete Role Mapping'!$AL$2:$AL$528,"NZ")/1000000</f>
        <v>0.188515032</v>
      </c>
      <c r="J7" s="1769">
        <f>$G7-$H7-$I7</f>
        <v>0</v>
      </c>
      <c r="K7" s="1770">
        <f>COUNTIFS('REVIEW - Complete Role Mapping'!$AJ$2:$AJ$528,$B7,'REVIEW - Complete Role Mapping'!$AT$2:$AT$528,$C7,'REVIEW - Complete Role Mapping'!$AR$2:$AR$528,"&lt;&gt;Squad")</f>
        <v>0</v>
      </c>
      <c r="L7" s="1769">
        <f>SUMIFS('REVIEW - Complete Role Mapping'!$AA$2:$AA$528,'REVIEW - Complete Role Mapping'!$AJ$2:$AJ$528,$B7,'REVIEW - Complete Role Mapping'!$AT$2:$AT$528,$C7,'REVIEW - Complete Role Mapping'!$AR$2:$AR$528,"&lt;&gt;Squad")/1000000</f>
        <v>0</v>
      </c>
    </row>
    <row r="8">
      <c r="B8" s="1531" t="inlineStr">
        <is>
          <t>COE Cyber</t>
        </is>
      </c>
      <c r="C8" s="1531" t="inlineStr">
        <is>
          <t>Cyber Sec Ops</t>
        </is>
      </c>
      <c r="D8" s="1770">
        <f>COUNTIFS('REVIEW - Complete Role Mapping'!$AJ$2:$AJ$528,$B8,'REVIEW - Complete Role Mapping'!$AT$2:$AT$528,$C8)</f>
        <v>5</v>
      </c>
      <c r="E8" s="1770">
        <f>COUNTIFS('REVIEW - Complete Role Mapping'!$AJ$2:$AJ$528,$B8,'REVIEW - Complete Role Mapping'!$AT$2:$AT$528,$C8,'REVIEW - Complete Role Mapping'!$AK$2:$AK$528,"Filled")</f>
        <v>5</v>
      </c>
      <c r="F8" s="1770">
        <f>COUNTIFS('REVIEW - Complete Role Mapping'!$AJ$2:$AJ$528,$B8,'REVIEW - Complete Role Mapping'!$AT$2:$AT$528,$C8,'REVIEW - Complete Role Mapping'!$AK$2:$AK$528,"Vacant")</f>
        <v>0</v>
      </c>
      <c r="G8" s="1769">
        <f>SUMIFS('REVIEW - Complete Role Mapping'!$AA$2:$AA$528,'REVIEW - Complete Role Mapping'!$AJ$2:$AJ$528,$B8,'REVIEW - Complete Role Mapping'!$AT$2:$AT$528,$C8)/1000000</f>
        <v>1.111589344</v>
      </c>
      <c r="H8" s="1769">
        <f>SUMIFS('REVIEW - Complete Role Mapping'!$AA$2:$AA$528,'REVIEW - Complete Role Mapping'!$AJ$2:$AJ$528,$B8,'REVIEW - Complete Role Mapping'!$AT$2:$AT$528,$C8,'REVIEW - Complete Role Mapping'!$M$2:$M$528,"Australia")/1000000</f>
        <v>0.7509109</v>
      </c>
      <c r="I8" s="1769">
        <f>SUMIFS('REVIEW - Complete Role Mapping'!$AA$2:$AA$528,'REVIEW - Complete Role Mapping'!$AJ$2:$AJ$528,$B8,'REVIEW - Complete Role Mapping'!$AT$2:$AT$528,$C8,'REVIEW - Complete Role Mapping'!$AL$2:$AL$528,"NZ")/1000000</f>
        <v>0.360678444</v>
      </c>
      <c r="J8" s="1769">
        <f>$G8-$H8-$I8</f>
        <v>0</v>
      </c>
      <c r="K8" s="1770">
        <f>COUNTIFS('REVIEW - Complete Role Mapping'!$AJ$2:$AJ$528,$B8,'REVIEW - Complete Role Mapping'!$AT$2:$AT$528,$C8,'REVIEW - Complete Role Mapping'!$AR$2:$AR$528,"&lt;&gt;Squad")</f>
        <v>0</v>
      </c>
      <c r="L8" s="1769">
        <f>SUMIFS('REVIEW - Complete Role Mapping'!$AA$2:$AA$528,'REVIEW - Complete Role Mapping'!$AJ$2:$AJ$528,$B8,'REVIEW - Complete Role Mapping'!$AT$2:$AT$528,$C8,'REVIEW - Complete Role Mapping'!$AR$2:$AR$528,"&lt;&gt;Squad")/1000000</f>
        <v>0</v>
      </c>
    </row>
    <row r="9">
      <c r="B9" s="1531" t="inlineStr">
        <is>
          <t>COE Cyber</t>
        </is>
      </c>
      <c r="C9" s="1531" t="inlineStr">
        <is>
          <t>Cyber Strat &amp; Tech</t>
        </is>
      </c>
      <c r="D9" s="1770">
        <f>COUNTIFS('REVIEW - Complete Role Mapping'!$AJ$2:$AJ$528,$B9,'REVIEW - Complete Role Mapping'!$AT$2:$AT$528,$C9)</f>
        <v>13</v>
      </c>
      <c r="E9" s="1770">
        <f>COUNTIFS('REVIEW - Complete Role Mapping'!$AJ$2:$AJ$528,$B9,'REVIEW - Complete Role Mapping'!$AT$2:$AT$528,$C9,'REVIEW - Complete Role Mapping'!$AK$2:$AK$528,"Filled")</f>
        <v>13</v>
      </c>
      <c r="F9" s="1770">
        <f>COUNTIFS('REVIEW - Complete Role Mapping'!$AJ$2:$AJ$528,$B9,'REVIEW - Complete Role Mapping'!$AT$2:$AT$528,$C9,'REVIEW - Complete Role Mapping'!$AK$2:$AK$528,"Vacant")</f>
        <v>0</v>
      </c>
      <c r="G9" s="1769">
        <f>SUMIFS('REVIEW - Complete Role Mapping'!$AA$2:$AA$528,'REVIEW - Complete Role Mapping'!$AJ$2:$AJ$528,$B9,'REVIEW - Complete Role Mapping'!$AT$2:$AT$528,$C9)/1000000</f>
        <v>3.31576355</v>
      </c>
      <c r="H9" s="1769">
        <f>SUMIFS('REVIEW - Complete Role Mapping'!$AA$2:$AA$528,'REVIEW - Complete Role Mapping'!$AJ$2:$AJ$528,$B9,'REVIEW - Complete Role Mapping'!$AT$2:$AT$528,$C9,'REVIEW - Complete Role Mapping'!$M$2:$M$528,"Australia")/1000000</f>
        <v>3.31576355</v>
      </c>
      <c r="I9" s="1769">
        <f>SUMIFS('REVIEW - Complete Role Mapping'!$AA$2:$AA$528,'REVIEW - Complete Role Mapping'!$AJ$2:$AJ$528,$B9,'REVIEW - Complete Role Mapping'!$AT$2:$AT$528,$C9,'REVIEW - Complete Role Mapping'!$AL$2:$AL$528,"NZ")/1000000</f>
        <v>0</v>
      </c>
      <c r="J9" s="1769">
        <f>$G9-$H9-$I9</f>
        <v>0</v>
      </c>
      <c r="K9" s="1770">
        <f>COUNTIFS('REVIEW - Complete Role Mapping'!$AJ$2:$AJ$528,$B9,'REVIEW - Complete Role Mapping'!$AT$2:$AT$528,$C9,'REVIEW - Complete Role Mapping'!$AR$2:$AR$528,"&lt;&gt;Squad")</f>
        <v>1</v>
      </c>
      <c r="L9" s="1769">
        <f>SUMIFS('REVIEW - Complete Role Mapping'!$AA$2:$AA$528,'REVIEW - Complete Role Mapping'!$AJ$2:$AJ$528,$B9,'REVIEW - Complete Role Mapping'!$AT$2:$AT$528,$C9,'REVIEW - Complete Role Mapping'!$AR$2:$AR$528,"&lt;&gt;Squad")/1000000</f>
        <v>0.3825877</v>
      </c>
    </row>
    <row r="10">
      <c r="B10" s="1531" t="inlineStr">
        <is>
          <t>COE Cyber</t>
        </is>
      </c>
      <c r="C10" s="1531" t="inlineStr">
        <is>
          <t>Service Op &amp; Assurance</t>
        </is>
      </c>
      <c r="D10" s="1770">
        <f>COUNTIFS('REVIEW - Complete Role Mapping'!$AJ$2:$AJ$528,$B10,'REVIEW - Complete Role Mapping'!$AT$2:$AT$528,$C10)</f>
        <v>21</v>
      </c>
      <c r="E10" s="1770">
        <f>COUNTIFS('REVIEW - Complete Role Mapping'!$AJ$2:$AJ$528,$B10,'REVIEW - Complete Role Mapping'!$AT$2:$AT$528,$C10,'REVIEW - Complete Role Mapping'!$AK$2:$AK$528,"Filled")</f>
        <v>17</v>
      </c>
      <c r="F10" s="1770">
        <f>COUNTIFS('REVIEW - Complete Role Mapping'!$AJ$2:$AJ$528,$B10,'REVIEW - Complete Role Mapping'!$AT$2:$AT$528,$C10,'REVIEW - Complete Role Mapping'!$AK$2:$AK$528,"Vacant")</f>
        <v>4</v>
      </c>
      <c r="G10" s="1769">
        <f>SUMIFS('REVIEW - Complete Role Mapping'!$AA$2:$AA$528,'REVIEW - Complete Role Mapping'!$AJ$2:$AJ$528,$B10,'REVIEW - Complete Role Mapping'!$AT$2:$AT$528,$C10)/1000000</f>
        <v>3.92346938</v>
      </c>
      <c r="H10" s="1769">
        <f>SUMIFS('REVIEW - Complete Role Mapping'!$AA$2:$AA$528,'REVIEW - Complete Role Mapping'!$AJ$2:$AJ$528,$B10,'REVIEW - Complete Role Mapping'!$AT$2:$AT$528,$C10,'REVIEW - Complete Role Mapping'!$M$2:$M$528,"Australia")/1000000</f>
        <v>3.5464988</v>
      </c>
      <c r="I10" s="1769">
        <f>SUMIFS('REVIEW - Complete Role Mapping'!$AA$2:$AA$528,'REVIEW - Complete Role Mapping'!$AJ$2:$AJ$528,$B10,'REVIEW - Complete Role Mapping'!$AT$2:$AT$528,$C10,'REVIEW - Complete Role Mapping'!$AL$2:$AL$528,"NZ")/1000000</f>
        <v>0.37697058</v>
      </c>
      <c r="J10" s="1769">
        <f>$G10-$H10-$I10</f>
        <v>0</v>
      </c>
      <c r="K10" s="1770">
        <f>COUNTIFS('REVIEW - Complete Role Mapping'!$AJ$2:$AJ$528,$B10,'REVIEW - Complete Role Mapping'!$AT$2:$AT$528,$C10,'REVIEW - Complete Role Mapping'!$AR$2:$AR$528,"&lt;&gt;Squad")</f>
        <v>1</v>
      </c>
      <c r="L10" s="1769">
        <f>SUMIFS('REVIEW - Complete Role Mapping'!$AA$2:$AA$528,'REVIEW - Complete Role Mapping'!$AJ$2:$AJ$528,$B10,'REVIEW - Complete Role Mapping'!$AT$2:$AT$528,$C10,'REVIEW - Complete Role Mapping'!$AR$2:$AR$528,"&lt;&gt;Squad")/1000000</f>
        <v>0.4006714</v>
      </c>
    </row>
    <row r="11">
      <c r="B11" s="1535" t="inlineStr">
        <is>
          <t>COE Cyber total</t>
        </is>
      </c>
      <c r="C11" s="1535" t="n"/>
      <c r="D11" s="1772">
        <f>SUM(D6:D10)</f>
        <v>46</v>
      </c>
      <c r="E11" s="1772">
        <f>SUM(E6:E10)</f>
        <v>42</v>
      </c>
      <c r="F11" s="1772">
        <f>SUM(F6:F10)</f>
        <v>4</v>
      </c>
      <c r="G11" s="1771">
        <f>SUM(G6:G10)</f>
        <v>9.897858294</v>
      </c>
      <c r="H11" s="1771">
        <f>SUM(H6:H10)</f>
        <v>8.83986105</v>
      </c>
      <c r="I11" s="1771">
        <f>SUM(I6:I10)</f>
        <v>1.057997244</v>
      </c>
      <c r="J11" s="1771">
        <f>SUM(J6:J10)</f>
        <v>0</v>
      </c>
      <c r="K11" s="1772">
        <f>SUM(K6:K10)</f>
        <v>2</v>
      </c>
      <c r="L11" s="1771">
        <f>SUM(L6:L10)</f>
        <v>0.7832591</v>
      </c>
    </row>
    <row r="12">
      <c r="B12" s="1531" t="inlineStr">
        <is>
          <t>COE BP&amp;T</t>
        </is>
      </c>
      <c r="C12" s="1531" t="inlineStr">
        <is>
          <t>Commercial</t>
        </is>
      </c>
      <c r="D12" s="1770">
        <f>COUNTIFS('REVIEW - Complete Role Mapping'!$AJ$2:$AJ$528,$B12,'REVIEW - Complete Role Mapping'!$AT$2:$AT$528,$C12)</f>
        <v>4</v>
      </c>
      <c r="E12" s="1770">
        <f>COUNTIFS('REVIEW - Complete Role Mapping'!$AJ$2:$AJ$528,$B12,'REVIEW - Complete Role Mapping'!$AT$2:$AT$528,$C12,'REVIEW - Complete Role Mapping'!$AK$2:$AK$528,"Filled")</f>
        <v>3</v>
      </c>
      <c r="F12" s="1770">
        <f>COUNTIFS('REVIEW - Complete Role Mapping'!$AJ$2:$AJ$528,$B12,'REVIEW - Complete Role Mapping'!$AT$2:$AT$528,$C12,'REVIEW - Complete Role Mapping'!$AK$2:$AK$528,"Vacant")</f>
        <v>1</v>
      </c>
      <c r="G12" s="1769">
        <f>SUMIFS('REVIEW - Complete Role Mapping'!$AA$2:$AA$528,'REVIEW - Complete Role Mapping'!$AJ$2:$AJ$528,$B12,'REVIEW - Complete Role Mapping'!$AT$2:$AT$528,$C12)/1000000</f>
        <v>0.979014192</v>
      </c>
      <c r="H12" s="1769">
        <f>SUMIFS('REVIEW - Complete Role Mapping'!$AA$2:$AA$528,'REVIEW - Complete Role Mapping'!$AJ$2:$AJ$528,$B12,'REVIEW - Complete Role Mapping'!$AT$2:$AT$528,$C12,'REVIEW - Complete Role Mapping'!$M$2:$M$528,"Australia")/1000000</f>
        <v>0.8280117</v>
      </c>
      <c r="I12" s="1769">
        <f>SUMIFS('REVIEW - Complete Role Mapping'!$AA$2:$AA$528,'REVIEW - Complete Role Mapping'!$AJ$2:$AJ$528,$B12,'REVIEW - Complete Role Mapping'!$AT$2:$AT$528,$C12,'REVIEW - Complete Role Mapping'!$AL$2:$AL$528,"NZ")/1000000</f>
        <v>0.151002492</v>
      </c>
      <c r="J12" s="1769">
        <f>$G12-$H12-$I12</f>
        <v>0</v>
      </c>
      <c r="K12" s="1770">
        <f>COUNTIFS('REVIEW - Complete Role Mapping'!$AJ$2:$AJ$528,$B12,'REVIEW - Complete Role Mapping'!$AT$2:$AT$528,$C12,'REVIEW - Complete Role Mapping'!$AR$2:$AR$528,"&lt;&gt;Squad")</f>
        <v>0</v>
      </c>
      <c r="L12" s="1769">
        <f>SUMIFS('REVIEW - Complete Role Mapping'!$AA$2:$AA$528,'REVIEW - Complete Role Mapping'!$AJ$2:$AJ$528,$B12,'REVIEW - Complete Role Mapping'!$AT$2:$AT$528,$C12,'REVIEW - Complete Role Mapping'!$AR$2:$AR$528,"&lt;&gt;Squad")/1000000</f>
        <v>0</v>
      </c>
    </row>
    <row r="13">
      <c r="B13" s="1531" t="inlineStr">
        <is>
          <t>COE BP&amp;T</t>
        </is>
      </c>
      <c r="C13" s="1531" t="inlineStr">
        <is>
          <t>TDD Business Partner</t>
        </is>
      </c>
      <c r="D13" s="1770">
        <f>COUNTIFS('REVIEW - Complete Role Mapping'!$AJ$2:$AJ$528,$B13,'REVIEW - Complete Role Mapping'!$AT$2:$AT$528,$C13)</f>
        <v>6</v>
      </c>
      <c r="E13" s="1770">
        <f>COUNTIFS('REVIEW - Complete Role Mapping'!$AJ$2:$AJ$528,$B13,'REVIEW - Complete Role Mapping'!$AT$2:$AT$528,$C13,'REVIEW - Complete Role Mapping'!$AK$2:$AK$528,"Filled")</f>
        <v>6</v>
      </c>
      <c r="F13" s="1770">
        <f>COUNTIFS('REVIEW - Complete Role Mapping'!$AJ$2:$AJ$528,$B13,'REVIEW - Complete Role Mapping'!$AT$2:$AT$528,$C13,'REVIEW - Complete Role Mapping'!$AK$2:$AK$528,"Vacant")</f>
        <v>0</v>
      </c>
      <c r="G13" s="1769">
        <f>SUMIFS('REVIEW - Complete Role Mapping'!$AA$2:$AA$528,'REVIEW - Complete Role Mapping'!$AJ$2:$AJ$528,$B13,'REVIEW - Complete Role Mapping'!$AT$2:$AT$528,$C13)/1000000</f>
        <v>2.3135484</v>
      </c>
      <c r="H13" s="1769">
        <f>SUMIFS('REVIEW - Complete Role Mapping'!$AA$2:$AA$528,'REVIEW - Complete Role Mapping'!$AJ$2:$AJ$528,$B13,'REVIEW - Complete Role Mapping'!$AT$2:$AT$528,$C13,'REVIEW - Complete Role Mapping'!$M$2:$M$528,"Australia")/1000000</f>
        <v>1.3560389</v>
      </c>
      <c r="I13" s="1769">
        <f>SUMIFS('REVIEW - Complete Role Mapping'!$AA$2:$AA$528,'REVIEW - Complete Role Mapping'!$AJ$2:$AJ$528,$B13,'REVIEW - Complete Role Mapping'!$AT$2:$AT$528,$C13,'REVIEW - Complete Role Mapping'!$AL$2:$AL$528,"NZ")/1000000</f>
        <v>0.291422</v>
      </c>
      <c r="J13" s="1769">
        <f>$G13-$H13-$I13</f>
        <v>0.6660875</v>
      </c>
      <c r="K13" s="1770">
        <f>COUNTIFS('REVIEW - Complete Role Mapping'!$AJ$2:$AJ$528,$B13,'REVIEW - Complete Role Mapping'!$AT$2:$AT$528,$C13,'REVIEW - Complete Role Mapping'!$AR$2:$AR$528,"&lt;&gt;Squad")</f>
        <v>6</v>
      </c>
      <c r="L13" s="1769">
        <f>SUMIFS('REVIEW - Complete Role Mapping'!$AA$2:$AA$528,'REVIEW - Complete Role Mapping'!$AJ$2:$AJ$528,$B13,'REVIEW - Complete Role Mapping'!$AT$2:$AT$528,$C13,'REVIEW - Complete Role Mapping'!$AR$2:$AR$528,"&lt;&gt;Squad")/1000000</f>
        <v>2.3135484</v>
      </c>
    </row>
    <row r="14">
      <c r="B14" s="1531" t="inlineStr">
        <is>
          <t>COE BP&amp;T</t>
        </is>
      </c>
      <c r="C14" s="1531" t="inlineStr">
        <is>
          <t>Transformation</t>
        </is>
      </c>
      <c r="D14" s="1770">
        <f>COUNTIFS('REVIEW - Complete Role Mapping'!$AJ$2:$AJ$528,$B14,'REVIEW - Complete Role Mapping'!$AT$2:$AT$528,$C14)</f>
        <v>14</v>
      </c>
      <c r="E14" s="1770">
        <f>COUNTIFS('REVIEW - Complete Role Mapping'!$AJ$2:$AJ$528,$B14,'REVIEW - Complete Role Mapping'!$AT$2:$AT$528,$C14,'REVIEW - Complete Role Mapping'!$AK$2:$AK$528,"Filled")</f>
        <v>6</v>
      </c>
      <c r="F14" s="1770">
        <f>COUNTIFS('REVIEW - Complete Role Mapping'!$AJ$2:$AJ$528,$B14,'REVIEW - Complete Role Mapping'!$AT$2:$AT$528,$C14,'REVIEW - Complete Role Mapping'!$AK$2:$AK$528,"Vacant")</f>
        <v>8</v>
      </c>
      <c r="G14" s="1769">
        <f>SUMIFS('REVIEW - Complete Role Mapping'!$AA$2:$AA$528,'REVIEW - Complete Role Mapping'!$AJ$2:$AJ$528,$B14,'REVIEW - Complete Role Mapping'!$AT$2:$AT$528,$C14)/1000000</f>
        <v>3.10799923</v>
      </c>
      <c r="H14" s="1769">
        <f>SUMIFS('REVIEW - Complete Role Mapping'!$AA$2:$AA$528,'REVIEW - Complete Role Mapping'!$AJ$2:$AJ$528,$B14,'REVIEW - Complete Role Mapping'!$AT$2:$AT$528,$C14,'REVIEW - Complete Role Mapping'!$M$2:$M$528,"Australia")/1000000</f>
        <v>2.80847245</v>
      </c>
      <c r="I14" s="1769">
        <f>SUMIFS('REVIEW - Complete Role Mapping'!$AA$2:$AA$528,'REVIEW - Complete Role Mapping'!$AJ$2:$AJ$528,$B14,'REVIEW - Complete Role Mapping'!$AT$2:$AT$528,$C14,'REVIEW - Complete Role Mapping'!$AL$2:$AL$528,"NZ")/1000000</f>
        <v>0.29952678</v>
      </c>
      <c r="J14" s="1769">
        <f>$G14-$H14-$I14</f>
        <v>0</v>
      </c>
      <c r="K14" s="1770">
        <f>COUNTIFS('REVIEW - Complete Role Mapping'!$AJ$2:$AJ$528,$B14,'REVIEW - Complete Role Mapping'!$AT$2:$AT$528,$C14,'REVIEW - Complete Role Mapping'!$AR$2:$AR$528,"&lt;&gt;Squad")</f>
        <v>1</v>
      </c>
      <c r="L14" s="1769">
        <f>SUMIFS('REVIEW - Complete Role Mapping'!$AA$2:$AA$528,'REVIEW - Complete Role Mapping'!$AJ$2:$AJ$528,$B14,'REVIEW - Complete Role Mapping'!$AT$2:$AT$528,$C14,'REVIEW - Complete Role Mapping'!$AR$2:$AR$528,"&lt;&gt;Squad")/1000000</f>
        <v>0.3679</v>
      </c>
    </row>
    <row r="15">
      <c r="B15" s="1535" t="inlineStr">
        <is>
          <t>COE BP&amp;T total</t>
        </is>
      </c>
      <c r="C15" s="1535" t="n"/>
      <c r="D15" s="1772">
        <f>SUM(D12:D14)</f>
        <v>24</v>
      </c>
      <c r="E15" s="1772">
        <f>SUM(E12:E14)</f>
        <v>15</v>
      </c>
      <c r="F15" s="1772">
        <f>SUM(F12:F14)</f>
        <v>9</v>
      </c>
      <c r="G15" s="1771">
        <f>SUM(G12:G14)</f>
        <v>6.400561822</v>
      </c>
      <c r="H15" s="1771">
        <f>SUM(H12:H14)</f>
        <v>4.99252305</v>
      </c>
      <c r="I15" s="1771">
        <f>SUM(I12:I14)</f>
        <v>0.741951272</v>
      </c>
      <c r="J15" s="1771">
        <f>SUM(J12:J14)</f>
        <v>0.6660875</v>
      </c>
      <c r="K15" s="1772">
        <f>SUM(K12:K14)</f>
        <v>7</v>
      </c>
      <c r="L15" s="1771">
        <f>SUM(L12:L14)</f>
        <v>2.6814484</v>
      </c>
    </row>
    <row r="16">
      <c r="B16" s="1531" t="inlineStr">
        <is>
          <t>COE SA&amp;D</t>
        </is>
      </c>
      <c r="C16" s="1531" t="inlineStr">
        <is>
          <t>Architecture</t>
        </is>
      </c>
      <c r="D16" s="1770">
        <f>COUNTIFS('REVIEW - Complete Role Mapping'!$AJ$2:$AJ$528,$B16,'REVIEW - Complete Role Mapping'!$AT$2:$AT$528,$C16)</f>
        <v>7</v>
      </c>
      <c r="E16" s="1770">
        <f>COUNTIFS('REVIEW - Complete Role Mapping'!$AJ$2:$AJ$528,$B16,'REVIEW - Complete Role Mapping'!$AT$2:$AT$528,$C16,'REVIEW - Complete Role Mapping'!$AK$2:$AK$528,"Filled")</f>
        <v>7</v>
      </c>
      <c r="F16" s="1770">
        <f>COUNTIFS('REVIEW - Complete Role Mapping'!$AJ$2:$AJ$528,$B16,'REVIEW - Complete Role Mapping'!$AT$2:$AT$528,$C16,'REVIEW - Complete Role Mapping'!$AK$2:$AK$528,"Vacant")</f>
        <v>0</v>
      </c>
      <c r="G16" s="1769">
        <f>SUMIFS('REVIEW - Complete Role Mapping'!$AA$2:$AA$528,'REVIEW - Complete Role Mapping'!$AJ$2:$AJ$528,$B16,'REVIEW - Complete Role Mapping'!$AT$2:$AT$528,$C16)/1000000</f>
        <v>1.664746536</v>
      </c>
      <c r="H16" s="1769">
        <f>SUMIFS('REVIEW - Complete Role Mapping'!$AA$2:$AA$528,'REVIEW - Complete Role Mapping'!$AJ$2:$AJ$528,$B16,'REVIEW - Complete Role Mapping'!$AT$2:$AT$528,$C16,'REVIEW - Complete Role Mapping'!$M$2:$M$528,"Australia")/1000000</f>
        <v>0.970878</v>
      </c>
      <c r="I16" s="1769">
        <f>SUMIFS('REVIEW - Complete Role Mapping'!$AA$2:$AA$528,'REVIEW - Complete Role Mapping'!$AJ$2:$AJ$528,$B16,'REVIEW - Complete Role Mapping'!$AT$2:$AT$528,$C16,'REVIEW - Complete Role Mapping'!$AL$2:$AL$528,"NZ")/1000000</f>
        <v>0.693868536</v>
      </c>
      <c r="J16" s="1769">
        <f>$G16-$H16-$I16</f>
        <v>0</v>
      </c>
      <c r="K16" s="1770">
        <f>COUNTIFS('REVIEW - Complete Role Mapping'!$AJ$2:$AJ$528,$B16,'REVIEW - Complete Role Mapping'!$AT$2:$AT$528,$C16,'REVIEW - Complete Role Mapping'!$AR$2:$AR$528,"&lt;&gt;Squad")</f>
        <v>7</v>
      </c>
      <c r="L16" s="1769">
        <f>SUMIFS('REVIEW - Complete Role Mapping'!$AA$2:$AA$528,'REVIEW - Complete Role Mapping'!$AJ$2:$AJ$528,$B16,'REVIEW - Complete Role Mapping'!$AT$2:$AT$528,$C16,'REVIEW - Complete Role Mapping'!$AR$2:$AR$528,"&lt;&gt;Squad")/1000000</f>
        <v>1.664746536</v>
      </c>
    </row>
    <row r="17">
      <c r="B17" s="1531" t="inlineStr">
        <is>
          <t>COE SA&amp;D</t>
        </is>
      </c>
      <c r="C17" s="1531" t="inlineStr">
        <is>
          <t>Data Platforms</t>
        </is>
      </c>
      <c r="D17" s="1770">
        <f>COUNTIFS('REVIEW - Complete Role Mapping'!$AJ$2:$AJ$528,$B17,'REVIEW - Complete Role Mapping'!$AT$2:$AT$528,$C17)</f>
        <v>1</v>
      </c>
      <c r="E17" s="1770">
        <f>COUNTIFS('REVIEW - Complete Role Mapping'!$AJ$2:$AJ$528,$B17,'REVIEW - Complete Role Mapping'!$AT$2:$AT$528,$C17,'REVIEW - Complete Role Mapping'!$AK$2:$AK$528,"Filled")</f>
        <v>1</v>
      </c>
      <c r="F17" s="1770">
        <f>COUNTIFS('REVIEW - Complete Role Mapping'!$AJ$2:$AJ$528,$B17,'REVIEW - Complete Role Mapping'!$AT$2:$AT$528,$C17,'REVIEW - Complete Role Mapping'!$AK$2:$AK$528,"Vacant")</f>
        <v>0</v>
      </c>
      <c r="G17" s="1769">
        <f>SUMIFS('REVIEW - Complete Role Mapping'!$AA$2:$AA$528,'REVIEW - Complete Role Mapping'!$AJ$2:$AJ$528,$B17,'REVIEW - Complete Role Mapping'!$AT$2:$AT$528,$C17)/1000000</f>
        <v>0.2655849</v>
      </c>
      <c r="H17" s="1769">
        <f>SUMIFS('REVIEW - Complete Role Mapping'!$AA$2:$AA$528,'REVIEW - Complete Role Mapping'!$AJ$2:$AJ$528,$B17,'REVIEW - Complete Role Mapping'!$AT$2:$AT$528,$C17,'REVIEW - Complete Role Mapping'!$M$2:$M$528,"Australia")/1000000</f>
        <v>0.2655849</v>
      </c>
      <c r="I17" s="1769">
        <f>SUMIFS('REVIEW - Complete Role Mapping'!$AA$2:$AA$528,'REVIEW - Complete Role Mapping'!$AJ$2:$AJ$528,$B17,'REVIEW - Complete Role Mapping'!$AT$2:$AT$528,$C17,'REVIEW - Complete Role Mapping'!$AL$2:$AL$528,"NZ")/1000000</f>
        <v>0</v>
      </c>
      <c r="J17" s="1769">
        <f>$G17-$H17-$I17</f>
        <v>0</v>
      </c>
      <c r="K17" s="1770">
        <f>COUNTIFS('REVIEW - Complete Role Mapping'!$AJ$2:$AJ$528,$B17,'REVIEW - Complete Role Mapping'!$AT$2:$AT$528,$C17,'REVIEW - Complete Role Mapping'!$AR$2:$AR$528,"&lt;&gt;Squad")</f>
        <v>0</v>
      </c>
      <c r="L17" s="1769">
        <f>SUMIFS('REVIEW - Complete Role Mapping'!$AA$2:$AA$528,'REVIEW - Complete Role Mapping'!$AJ$2:$AJ$528,$B17,'REVIEW - Complete Role Mapping'!$AT$2:$AT$528,$C17,'REVIEW - Complete Role Mapping'!$AR$2:$AR$528,"&lt;&gt;Squad")/1000000</f>
        <v>0</v>
      </c>
    </row>
    <row r="18">
      <c r="B18" s="1531" t="inlineStr">
        <is>
          <t>COE SA&amp;D</t>
        </is>
      </c>
      <c r="C18" s="1531" t="inlineStr">
        <is>
          <t>Group Data</t>
        </is>
      </c>
      <c r="D18" s="1770">
        <f>COUNTIFS('REVIEW - Complete Role Mapping'!$AJ$2:$AJ$528,$B18,'REVIEW - Complete Role Mapping'!$AT$2:$AT$528,$C18)</f>
        <v>9</v>
      </c>
      <c r="E18" s="1770">
        <f>COUNTIFS('REVIEW - Complete Role Mapping'!$AJ$2:$AJ$528,$B18,'REVIEW - Complete Role Mapping'!$AT$2:$AT$528,$C18,'REVIEW - Complete Role Mapping'!$AK$2:$AK$528,"Filled")</f>
        <v>7</v>
      </c>
      <c r="F18" s="1770">
        <f>COUNTIFS('REVIEW - Complete Role Mapping'!$AJ$2:$AJ$528,$B18,'REVIEW - Complete Role Mapping'!$AT$2:$AT$528,$C18,'REVIEW - Complete Role Mapping'!$AK$2:$AK$528,"Vacant")</f>
        <v>2</v>
      </c>
      <c r="G18" s="1769">
        <f>SUMIFS('REVIEW - Complete Role Mapping'!$AA$2:$AA$528,'REVIEW - Complete Role Mapping'!$AJ$2:$AJ$528,$B18,'REVIEW - Complete Role Mapping'!$AT$2:$AT$528,$C18)/1000000</f>
        <v>2.305292066</v>
      </c>
      <c r="H18" s="1769">
        <f>SUMIFS('REVIEW - Complete Role Mapping'!$AA$2:$AA$528,'REVIEW - Complete Role Mapping'!$AJ$2:$AJ$528,$B18,'REVIEW - Complete Role Mapping'!$AT$2:$AT$528,$C18,'REVIEW - Complete Role Mapping'!$M$2:$M$528,"Australia")/1000000</f>
        <v>2.15554565</v>
      </c>
      <c r="I18" s="1769">
        <f>SUMIFS('REVIEW - Complete Role Mapping'!$AA$2:$AA$528,'REVIEW - Complete Role Mapping'!$AJ$2:$AJ$528,$B18,'REVIEW - Complete Role Mapping'!$AT$2:$AT$528,$C18,'REVIEW - Complete Role Mapping'!$AL$2:$AL$528,"NZ")/1000000</f>
        <v>0.149746416</v>
      </c>
      <c r="J18" s="1769">
        <f>$G18-$H18-$I18</f>
        <v>0</v>
      </c>
      <c r="K18" s="1770">
        <f>COUNTIFS('REVIEW - Complete Role Mapping'!$AJ$2:$AJ$528,$B18,'REVIEW - Complete Role Mapping'!$AT$2:$AT$528,$C18,'REVIEW - Complete Role Mapping'!$AR$2:$AR$528,"&lt;&gt;Squad")</f>
        <v>0</v>
      </c>
      <c r="L18" s="1769">
        <f>SUMIFS('REVIEW - Complete Role Mapping'!$AA$2:$AA$528,'REVIEW - Complete Role Mapping'!$AJ$2:$AJ$528,$B18,'REVIEW - Complete Role Mapping'!$AT$2:$AT$528,$C18,'REVIEW - Complete Role Mapping'!$AR$2:$AR$528,"&lt;&gt;Squad")/1000000</f>
        <v>0</v>
      </c>
    </row>
    <row r="19">
      <c r="B19" s="1531" t="inlineStr">
        <is>
          <t>COE SA&amp;D</t>
        </is>
      </c>
      <c r="C19" s="1531" t="inlineStr">
        <is>
          <t>Leadership</t>
        </is>
      </c>
      <c r="D19" s="1770">
        <f>COUNTIFS('REVIEW - Complete Role Mapping'!$AJ$2:$AJ$528,$B19,'REVIEW - Complete Role Mapping'!$AT$2:$AT$528,$C19)</f>
        <v>4</v>
      </c>
      <c r="E19" s="1770">
        <f>COUNTIFS('REVIEW - Complete Role Mapping'!$AJ$2:$AJ$528,$B19,'REVIEW - Complete Role Mapping'!$AT$2:$AT$528,$C19,'REVIEW - Complete Role Mapping'!$AK$2:$AK$528,"Filled")</f>
        <v>1</v>
      </c>
      <c r="F19" s="1770">
        <f>COUNTIFS('REVIEW - Complete Role Mapping'!$AJ$2:$AJ$528,$B19,'REVIEW - Complete Role Mapping'!$AT$2:$AT$528,$C19,'REVIEW - Complete Role Mapping'!$AK$2:$AK$528,"Vacant")</f>
        <v>3</v>
      </c>
      <c r="G19" s="1769">
        <f>SUMIFS('REVIEW - Complete Role Mapping'!$AA$2:$AA$528,'REVIEW - Complete Role Mapping'!$AJ$2:$AJ$528,$B19,'REVIEW - Complete Role Mapping'!$AT$2:$AT$528,$C19)/1000000</f>
        <v>1.2239818</v>
      </c>
      <c r="H19" s="1769">
        <f>SUMIFS('REVIEW - Complete Role Mapping'!$AA$2:$AA$528,'REVIEW - Complete Role Mapping'!$AJ$2:$AJ$528,$B19,'REVIEW - Complete Role Mapping'!$AT$2:$AT$528,$C19,'REVIEW - Complete Role Mapping'!$M$2:$M$528,"Australia")/1000000</f>
        <v>1.2239818</v>
      </c>
      <c r="I19" s="1769">
        <f>SUMIFS('REVIEW - Complete Role Mapping'!$AA$2:$AA$528,'REVIEW - Complete Role Mapping'!$AJ$2:$AJ$528,$B19,'REVIEW - Complete Role Mapping'!$AT$2:$AT$528,$C19,'REVIEW - Complete Role Mapping'!$AL$2:$AL$528,"NZ")/1000000</f>
        <v>0</v>
      </c>
      <c r="J19" s="1769">
        <f>$G19-$H19-$I19</f>
        <v>0</v>
      </c>
      <c r="K19" s="1770">
        <f>COUNTIFS('REVIEW - Complete Role Mapping'!$AJ$2:$AJ$528,$B19,'REVIEW - Complete Role Mapping'!$AT$2:$AT$528,$C19,'REVIEW - Complete Role Mapping'!$AR$2:$AR$528,"&lt;&gt;Squad")</f>
        <v>3</v>
      </c>
      <c r="L19" s="1769">
        <f>SUMIFS('REVIEW - Complete Role Mapping'!$AA$2:$AA$528,'REVIEW - Complete Role Mapping'!$AJ$2:$AJ$528,$B19,'REVIEW - Complete Role Mapping'!$AT$2:$AT$528,$C19,'REVIEW - Complete Role Mapping'!$AR$2:$AR$528,"&lt;&gt;Squad")/1000000</f>
        <v>1.0370818</v>
      </c>
    </row>
    <row r="20">
      <c r="B20" s="1531" t="inlineStr">
        <is>
          <t>COE SA&amp;D</t>
        </is>
      </c>
      <c r="C20" s="1531" t="inlineStr">
        <is>
          <t>Technology Strategy &amp; AI Capability</t>
        </is>
      </c>
      <c r="D20" s="1770">
        <f>COUNTIFS('REVIEW - Complete Role Mapping'!$AJ$2:$AJ$528,$B20,'REVIEW - Complete Role Mapping'!$AT$2:$AT$528,$C20)</f>
        <v>5</v>
      </c>
      <c r="E20" s="1770">
        <f>COUNTIFS('REVIEW - Complete Role Mapping'!$AJ$2:$AJ$528,$B20,'REVIEW - Complete Role Mapping'!$AT$2:$AT$528,$C20,'REVIEW - Complete Role Mapping'!$AK$2:$AK$528,"Filled")</f>
        <v>1</v>
      </c>
      <c r="F20" s="1770">
        <f>COUNTIFS('REVIEW - Complete Role Mapping'!$AJ$2:$AJ$528,$B20,'REVIEW - Complete Role Mapping'!$AT$2:$AT$528,$C20,'REVIEW - Complete Role Mapping'!$AK$2:$AK$528,"Vacant")</f>
        <v>4</v>
      </c>
      <c r="G20" s="1769">
        <f>SUMIFS('REVIEW - Complete Role Mapping'!$AA$2:$AA$528,'REVIEW - Complete Role Mapping'!$AJ$2:$AJ$528,$B20,'REVIEW - Complete Role Mapping'!$AT$2:$AT$528,$C20)/1000000</f>
        <v>1.06988875</v>
      </c>
      <c r="H20" s="1769">
        <f>SUMIFS('REVIEW - Complete Role Mapping'!$AA$2:$AA$528,'REVIEW - Complete Role Mapping'!$AJ$2:$AJ$528,$B20,'REVIEW - Complete Role Mapping'!$AT$2:$AT$528,$C20,'REVIEW - Complete Role Mapping'!$M$2:$M$528,"Australia")/1000000</f>
        <v>1.06988875</v>
      </c>
      <c r="I20" s="1769">
        <f>SUMIFS('REVIEW - Complete Role Mapping'!$AA$2:$AA$528,'REVIEW - Complete Role Mapping'!$AJ$2:$AJ$528,$B20,'REVIEW - Complete Role Mapping'!$AT$2:$AT$528,$C20,'REVIEW - Complete Role Mapping'!$AL$2:$AL$528,"NZ")/1000000</f>
        <v>0</v>
      </c>
      <c r="J20" s="1769">
        <f>$G20-$H20-$I20</f>
        <v>0</v>
      </c>
      <c r="K20" s="1770">
        <f>COUNTIFS('REVIEW - Complete Role Mapping'!$AJ$2:$AJ$528,$B20,'REVIEW - Complete Role Mapping'!$AT$2:$AT$528,$C20,'REVIEW - Complete Role Mapping'!$AR$2:$AR$528,"&lt;&gt;Squad")</f>
        <v>0</v>
      </c>
      <c r="L20" s="1769">
        <f>SUMIFS('REVIEW - Complete Role Mapping'!$AA$2:$AA$528,'REVIEW - Complete Role Mapping'!$AJ$2:$AJ$528,$B20,'REVIEW - Complete Role Mapping'!$AT$2:$AT$528,$C20,'REVIEW - Complete Role Mapping'!$AR$2:$AR$528,"&lt;&gt;Squad")/1000000</f>
        <v>0</v>
      </c>
    </row>
    <row r="21">
      <c r="B21" s="1535" t="inlineStr">
        <is>
          <t>COE SA&amp;D total</t>
        </is>
      </c>
      <c r="C21" s="1535" t="n"/>
      <c r="D21" s="1772">
        <f>SUM(D16:D20)</f>
        <v>26</v>
      </c>
      <c r="E21" s="1772">
        <f>SUM(E16:E20)</f>
        <v>17</v>
      </c>
      <c r="F21" s="1772">
        <f>SUM(F16:F20)</f>
        <v>9</v>
      </c>
      <c r="G21" s="1771">
        <f>SUM(G16:G20)</f>
        <v>6.529494052</v>
      </c>
      <c r="H21" s="1771">
        <f>SUM(H16:H20)</f>
        <v>5.6858791</v>
      </c>
      <c r="I21" s="1771">
        <f>SUM(I16:I20)</f>
        <v>0.843614952</v>
      </c>
      <c r="J21" s="1771">
        <f>SUM(J16:J20)</f>
        <v>0</v>
      </c>
      <c r="K21" s="1772">
        <f>SUM(K16:K20)</f>
        <v>10</v>
      </c>
      <c r="L21" s="1771">
        <f>SUM(L16:L20)</f>
        <v>2.701828336</v>
      </c>
    </row>
    <row r="22">
      <c r="B22" s="1531" t="inlineStr">
        <is>
          <t>EGI</t>
        </is>
      </c>
      <c r="C22" s="1531" t="inlineStr">
        <is>
          <t>EGI</t>
        </is>
      </c>
      <c r="D22" s="1770">
        <f>COUNTIFS('REVIEW - Complete Role Mapping'!$AJ$2:$AJ$528,$B22,'REVIEW - Complete Role Mapping'!$AT$2:$AT$528,$C22)</f>
        <v>17</v>
      </c>
      <c r="E22" s="1770">
        <f>COUNTIFS('REVIEW - Complete Role Mapping'!$AJ$2:$AJ$528,$B22,'REVIEW - Complete Role Mapping'!$AT$2:$AT$528,$C22,'REVIEW - Complete Role Mapping'!$AK$2:$AK$528,"Filled")</f>
        <v>17</v>
      </c>
      <c r="F22" s="1770">
        <f>COUNTIFS('REVIEW - Complete Role Mapping'!$AJ$2:$AJ$528,$B22,'REVIEW - Complete Role Mapping'!$AT$2:$AT$528,$C22,'REVIEW - Complete Role Mapping'!$AK$2:$AK$528,"Vacant")</f>
        <v>0</v>
      </c>
      <c r="G22" s="1769">
        <f>SUMIFS('REVIEW - Complete Role Mapping'!$AA$2:$AA$528,'REVIEW - Complete Role Mapping'!$AJ$2:$AJ$528,$B22,'REVIEW - Complete Role Mapping'!$AT$2:$AT$528,$C22)/1000000</f>
        <v>4.94341935</v>
      </c>
      <c r="H22" s="1769">
        <f>SUMIFS('REVIEW - Complete Role Mapping'!$AA$2:$AA$528,'REVIEW - Complete Role Mapping'!$AJ$2:$AJ$528,$B22,'REVIEW - Complete Role Mapping'!$AT$2:$AT$528,$C22,'REVIEW - Complete Role Mapping'!$M$2:$M$528,"Australia")/1000000</f>
        <v>4.94341935</v>
      </c>
      <c r="I22" s="1769">
        <f>SUMIFS('REVIEW - Complete Role Mapping'!$AA$2:$AA$528,'REVIEW - Complete Role Mapping'!$AJ$2:$AJ$528,$B22,'REVIEW - Complete Role Mapping'!$AT$2:$AT$528,$C22,'REVIEW - Complete Role Mapping'!$AL$2:$AL$528,"NZ")/1000000</f>
        <v>0</v>
      </c>
      <c r="J22" s="1769">
        <f>$G22-$H22-$I22</f>
        <v>0</v>
      </c>
      <c r="K22" s="1770">
        <f>COUNTIFS('REVIEW - Complete Role Mapping'!$AJ$2:$AJ$528,$B22,'REVIEW - Complete Role Mapping'!$AT$2:$AT$528,$C22,'REVIEW - Complete Role Mapping'!$AR$2:$AR$528,"&lt;&gt;Squad")</f>
        <v>0</v>
      </c>
      <c r="L22" s="1769">
        <f>SUMIFS('REVIEW - Complete Role Mapping'!$AA$2:$AA$528,'REVIEW - Complete Role Mapping'!$AJ$2:$AJ$528,$B22,'REVIEW - Complete Role Mapping'!$AT$2:$AT$528,$C22,'REVIEW - Complete Role Mapping'!$AR$2:$AR$528,"&lt;&gt;Squad")/1000000</f>
        <v>0</v>
      </c>
    </row>
    <row r="23">
      <c r="B23" s="1535" t="inlineStr">
        <is>
          <t>EGI total</t>
        </is>
      </c>
      <c r="C23" s="1535" t="n"/>
      <c r="D23" s="1772">
        <f>SUM(D22:D22)</f>
        <v>17</v>
      </c>
      <c r="E23" s="1772">
        <f>SUM(E22:E22)</f>
        <v>17</v>
      </c>
      <c r="F23" s="1772">
        <f>SUM(F22:F22)</f>
        <v>0</v>
      </c>
      <c r="G23" s="1771">
        <f>SUM(G22:G22)</f>
        <v>4.94341935</v>
      </c>
      <c r="H23" s="1771">
        <f>SUM(H22:H22)</f>
        <v>4.94341935</v>
      </c>
      <c r="I23" s="1771">
        <f>SUM(I22:I22)</f>
        <v>0</v>
      </c>
      <c r="J23" s="1771">
        <f>SUM(J22:J22)</f>
        <v>0</v>
      </c>
      <c r="K23" s="1772">
        <f>SUM(K22:K22)</f>
        <v>0</v>
      </c>
      <c r="L23" s="1771">
        <f>SUM(L22:L22)</f>
        <v>0</v>
      </c>
    </row>
    <row r="24">
      <c r="B24" s="1541" t="inlineStr">
        <is>
          <t>COEs and EGI total</t>
        </is>
      </c>
      <c r="C24" s="1541" t="n"/>
      <c r="D24" s="1774">
        <f>D11+D15+D21+D23</f>
        <v>113</v>
      </c>
      <c r="E24" s="1774">
        <f>E11+E15+E21+E23</f>
        <v>91</v>
      </c>
      <c r="F24" s="1774">
        <f>F11+F15+F21+F23</f>
        <v>22</v>
      </c>
      <c r="G24" s="1773">
        <f>G11+G15+G21+G23</f>
        <v>27.771333518</v>
      </c>
      <c r="H24" s="1773">
        <f>H11+H15+H21+H23</f>
        <v>24.46168255</v>
      </c>
      <c r="I24" s="1773">
        <f>I11+I15+I21+I23</f>
        <v>2.643563468</v>
      </c>
      <c r="J24" s="1773">
        <f>J11+J15+J21+J23</f>
        <v>0.6660875</v>
      </c>
      <c r="K24" s="1774">
        <f>K11+K15+K21+K23</f>
        <v>19</v>
      </c>
      <c r="L24" s="1773">
        <f>L11+L15+L21+L23</f>
        <v>6.166535836</v>
      </c>
    </row>
    <row r="26">
      <c r="B26" s="1531" t="inlineStr">
        <is>
          <t>Control - roles against the ledger, must be 0</t>
        </is>
      </c>
      <c r="D26" s="1778">
        <f>$D24-(COUNTIFS('REVIEW - Complete Role Mapping'!$AJ$2:$AJ$528,"COE Cyber")+COUNTIFS('REVIEW - Complete Role Mapping'!$AJ$2:$AJ$528,"COE BP&amp;T")+COUNTIFS('REVIEW - Complete Role Mapping'!$AJ$2:$AJ$528,"COE SA&amp;D")+COUNTIFS('REVIEW - Complete Role Mapping'!$AJ$2:$AJ$528,"EGI"))</f>
        <v>0</v>
      </c>
    </row>
    <row r="27">
      <c r="B27" s="1531" t="inlineStr">
        <is>
          <t>Control - cost against the ledger ($m), must be 0</t>
        </is>
      </c>
      <c r="G27" s="1779">
        <f>ROUND($G24-(SUMIFS('REVIEW - Complete Role Mapping'!$AA$2:$AA$528,'REVIEW - Complete Role Mapping'!$AJ$2:$AJ$528,"COE Cyber")+SUMIFS('REVIEW - Complete Role Mapping'!$AA$2:$AA$528,'REVIEW - Complete Role Mapping'!$AJ$2:$AJ$528,"COE BP&amp;T")+SUMIFS('REVIEW - Complete Role Mapping'!$AA$2:$AA$528,'REVIEW - Complete Role Mapping'!$AJ$2:$AJ$528,"COE SA&amp;D")+SUMIFS('REVIEW - Complete Role Mapping'!$AA$2:$AA$528,'REVIEW - Complete Role Mapping'!$AJ$2:$AJ$528,"EGI"))/1000000,6)</f>
        <v>0</v>
      </c>
    </row>
    <row r="28">
      <c r="B28" s="1531" t="inlineStr">
        <is>
          <t>Control - AU plus NZ plus elsewhere against cost ($m), must be 0</t>
        </is>
      </c>
      <c r="J28" s="1779">
        <f>ROUND($H24+$I24+$J24-$G24,6)</f>
        <v>0</v>
      </c>
    </row>
  </sheetData>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legacyDrawing xmlns:r="http://schemas.openxmlformats.org/officeDocument/2006/relationships" r:id="anysvml"/>
</worksheet>
</file>

<file path=xl/worksheets/sheet42.xml><?xml version="1.0" encoding="utf-8"?>
<worksheet xmlns="http://schemas.openxmlformats.org/spreadsheetml/2006/main">
  <sheetPr filterMode="0">
    <tabColor rgb="FF375623"/>
    <outlinePr summaryBelow="1" summaryRight="1"/>
    <pageSetUpPr fitToPage="0"/>
  </sheetPr>
  <dimension ref="B2:B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4.25" zeroHeight="0" outlineLevelRow="0"/>
  <cols>
    <col width="2" customWidth="1" style="865" min="1" max="1"/>
    <col width="60" customWidth="1" style="865" min="2" max="2"/>
  </cols>
  <sheetData>
    <row r="2" ht="21" customHeight="1" s="866">
      <c r="B2" s="1553" t="inlineStr">
        <is>
          <t>EVIDENCE  &gt;&gt;&gt;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tabColor rgb="FF375623"/>
    <outlinePr summaryBelow="1" summaryRight="1"/>
    <pageSetUpPr fitToPage="1"/>
  </sheetPr>
  <dimension ref="B2:E61"/>
  <sheetViews>
    <sheetView showFormulas="0" showGridLines="0" showRowColHeaders="1" showZeros="1" rightToLeft="0" tabSelected="0" showOutlineSymbols="1" defaultGridColor="1" view="normal" topLeftCell="A66" colorId="64" zoomScale="100" zoomScaleNormal="100" zoomScalePageLayoutView="100" workbookViewId="0">
      <selection pane="topLeft" activeCell="A66" activeCellId="0" sqref="A66"/>
      <selection pane="topRight" activeCell="C66" activeCellId="0" sqref="C66"/>
      <selection pane="bottomLeft" activeCell="A5" activeCellId="0" sqref="A5"/>
      <selection pane="bottomRight" activeCell="C72" activeCellId="0" sqref="C72"/>
    </sheetView>
  </sheetViews>
  <sheetFormatPr baseColWidth="8" defaultColWidth="8.5390625" defaultRowHeight="14.25" zeroHeight="0" outlineLevelRow="0"/>
  <cols>
    <col width="2" customWidth="1" style="866" min="1" max="1"/>
    <col width="72" customWidth="1" style="866" min="2" max="2"/>
    <col width="16" customWidth="1" style="866" min="3" max="3"/>
    <col width="16" customWidth="1" style="866" min="4" max="4"/>
    <col width="14" customWidth="1" style="866" min="5" max="5"/>
  </cols>
  <sheetData>
    <row r="2">
      <c r="B2" s="1524" t="inlineStr">
        <is>
          <t>Data QA - every difference must read zero</t>
        </is>
      </c>
    </row>
    <row r="3" ht="19" customHeight="1" s="866">
      <c r="B3" s="1527" t="inlineStr">
        <is>
          <t>Every difference must read zero</t>
        </is>
      </c>
      <c r="C3" s="1528" t="n"/>
      <c r="D3" s="1528" t="n"/>
      <c r="E3" s="1528" t="n"/>
    </row>
    <row r="4" ht="32" customHeight="1" s="866">
      <c r="B4" s="1529" t="inlineStr">
        <is>
          <t>Check</t>
        </is>
      </c>
      <c r="C4" s="1529" t="inlineStr">
        <is>
          <t>Model</t>
        </is>
      </c>
      <c r="D4" s="1529" t="inlineStr">
        <is>
          <t>Expected</t>
        </is>
      </c>
      <c r="E4" s="1529" t="inlineStr">
        <is>
          <t>Difference</t>
        </is>
      </c>
    </row>
    <row r="5">
      <c r="B5" s="1788" t="inlineStr">
        <is>
          <t>Roles on 3.1 against the ledger</t>
        </is>
      </c>
      <c r="C5" s="1790">
        <f>'3.1 Cost Bridge'!$H$41</f>
        <v>525</v>
      </c>
      <c r="D5" s="1790">
        <f>COUNTA('REVIEW - Complete Role Mapping'!$B$2:$B$528)</f>
        <v>525</v>
      </c>
      <c r="E5" s="1805">
        <f>ROUND($C5-$D5,6)</f>
        <v>0</v>
      </c>
    </row>
    <row r="6">
      <c r="B6" s="1788" t="inlineStr">
        <is>
          <t>Filled on 3.1 against the ledger</t>
        </is>
      </c>
      <c r="C6" s="1790">
        <f>'3.1 Cost Bridge'!$I$41</f>
        <v>390</v>
      </c>
      <c r="D6" s="1790">
        <f>COUNTIFS('REVIEW - Complete Role Mapping'!$AK$2:$AK$528,"Filled")</f>
        <v>390</v>
      </c>
      <c r="E6" s="1805">
        <f>ROUND($C6-$D6,6)</f>
        <v>0</v>
      </c>
    </row>
    <row r="7">
      <c r="B7" s="1788" t="inlineStr">
        <is>
          <t>Vacant on 3.1 against the ledger</t>
        </is>
      </c>
      <c r="C7" s="1790">
        <f>'3.1 Cost Bridge'!$J$41</f>
        <v>135</v>
      </c>
      <c r="D7" s="1790">
        <f>COUNTIFS('REVIEW - Complete Role Mapping'!$AK$2:$AK$528,"Vacant")</f>
        <v>135</v>
      </c>
      <c r="E7" s="1805">
        <f>ROUND($C7-$D7,6)</f>
        <v>0</v>
      </c>
    </row>
    <row r="8">
      <c r="B8" s="1788" t="inlineStr">
        <is>
          <t>Filled plus vacant against roles on 3.1</t>
        </is>
      </c>
      <c r="C8" s="1790">
        <f>'3.1 Cost Bridge'!$I$41+'3.1 Cost Bridge'!$J$41</f>
        <v>525</v>
      </c>
      <c r="D8" s="1790">
        <f>'3.1 Cost Bridge'!$H$41</f>
        <v>525</v>
      </c>
      <c r="E8" s="1805">
        <f>ROUND($C8-$D8,6)</f>
        <v>0</v>
      </c>
    </row>
    <row r="9">
      <c r="B9" s="1788" t="inlineStr">
        <is>
          <t>Cost on 3.1 against the ledger ($m)</t>
        </is>
      </c>
      <c r="C9" s="1791">
        <f>'3.1 Cost Bridge'!$E$41</f>
        <v>115.2830022681</v>
      </c>
      <c r="D9" s="1791">
        <f>SUM('REVIEW - Complete Role Mapping'!$AA$2:$AA$528)/1000000</f>
        <v>115.2830022681</v>
      </c>
      <c r="E9" s="1806">
        <f>ROUND($C9-$D9,6)</f>
        <v>0</v>
      </c>
    </row>
    <row r="10">
      <c r="B10" s="1788" t="inlineStr">
        <is>
          <t>Filled plus vacant cost against cost today ($m)</t>
        </is>
      </c>
      <c r="C10" s="1791">
        <f>(SUMIFS('REVIEW - Complete Role Mapping'!$AA$2:$AA$528,'REVIEW - Complete Role Mapping'!$AK$2:$AK$528,"Filled")+SUMIFS('REVIEW - Complete Role Mapping'!$AA$2:$AA$528,'REVIEW - Complete Role Mapping'!$AK$2:$AK$528,"Vacant"))/1000000</f>
        <v>115.2830022681</v>
      </c>
      <c r="D10" s="1791">
        <f>'3.1 Cost Bridge'!$E$41</f>
        <v>115.2830022681</v>
      </c>
      <c r="E10" s="1806">
        <f>ROUND($C10-$D10,6)</f>
        <v>0</v>
      </c>
    </row>
    <row r="11">
      <c r="B11" s="1788" t="inlineStr">
        <is>
          <t>Roles on 3.3 against 3.1</t>
        </is>
      </c>
      <c r="C11" s="1790">
        <f>'3.3 Squad Detail'!$H$110</f>
        <v>525</v>
      </c>
      <c r="D11" s="1790">
        <f>'3.1 Cost Bridge'!$H$41</f>
        <v>525</v>
      </c>
      <c r="E11" s="1805">
        <f>ROUND($C11-$D11,6)</f>
        <v>0</v>
      </c>
    </row>
    <row r="12">
      <c r="B12" s="1788" t="inlineStr">
        <is>
          <t>Cost on 3.3 against 3.1 ($m)</t>
        </is>
      </c>
      <c r="C12" s="1791">
        <f>'3.3 Squad Detail'!$M$110</f>
        <v>115.2830022681</v>
      </c>
      <c r="D12" s="1791">
        <f>'3.1 Cost Bridge'!$E$41</f>
        <v>115.2830022681</v>
      </c>
      <c r="E12" s="1806">
        <f>ROUND($C12-$D12,6)</f>
        <v>0</v>
      </c>
    </row>
    <row r="13">
      <c r="B13" s="1788" t="inlineStr">
        <is>
          <t>Total including the GM layer against the ledger plus the GM input ($m)</t>
        </is>
      </c>
      <c r="C13" s="1791">
        <f>'3.1 Cost Bridge'!$E$43</f>
        <v>120.3830022681</v>
      </c>
      <c r="D13" s="1791">
        <f>SUM('REVIEW - Complete Role Mapping'!$AA$2:$AA$528)/1000000+N(Lists!$AG$12)</f>
        <v>120.3830022681</v>
      </c>
      <c r="E13" s="1806">
        <f>ROUND($C13-$D13,6)</f>
        <v>0</v>
      </c>
    </row>
    <row r="14">
      <c r="B14" s="1788" t="inlineStr">
        <is>
          <t>Archetype variance - the comparable steps against the comparable subtotal ($m)</t>
        </is>
      </c>
      <c r="C14" s="1791">
        <f>ROUND((N('3.1 Cost Bridge'!$E$17)-N('3.1 Cost Bridge'!$D$17))+(N('3.1 Cost Bridge'!$E$27)-N('3.1 Cost Bridge'!$D$27))+(N('3.1 Cost Bridge'!$E$35)-N('3.1 Cost Bridge'!$D$35)),6)</f>
        <v>4.944285</v>
      </c>
      <c r="D14" s="1791">
        <f>'3.1 Cost Bridge'!$F$36</f>
        <v>4.944285</v>
      </c>
      <c r="E14" s="1806">
        <f>ROUND($C14-$D14,6)</f>
        <v>0</v>
      </c>
    </row>
    <row r="15">
      <c r="B15" s="1788" t="inlineStr">
        <is>
          <t>Roles including the GM layer against 525 plus the GM count</t>
        </is>
      </c>
      <c r="C15" s="1790">
        <f>'3.1 Cost Bridge'!$H$43</f>
        <v>533</v>
      </c>
      <c r="D15" s="1790">
        <f>COUNTA('REVIEW - Complete Role Mapping'!$B$2:$B$528)+N(Lists!$AG$11)</f>
        <v>533</v>
      </c>
      <c r="E15" s="1805">
        <f>ROUND($C15-$D15,6)</f>
        <v>0</v>
      </c>
    </row>
    <row r="16">
      <c r="B16" s="1788" t="inlineStr">
        <is>
          <t>Archetype cost, squad by squad on 3.3, against 3.1 ($m)</t>
        </is>
      </c>
      <c r="C16" s="1791">
        <f>SUMIFS('3.3 Squad Detail'!$L$6:$L$109,'3.3 Squad Detail'!$C$6:$C$109,"Archetype")</f>
        <v>64.2</v>
      </c>
      <c r="D16" s="1791">
        <f>'3.1 Cost Bridge'!$D$17</f>
        <v>64.2</v>
      </c>
      <c r="E16" s="1806">
        <f>ROUND($C16-$D16,6)</f>
        <v>0</v>
      </c>
    </row>
    <row r="17">
      <c r="B17" s="1788" t="inlineStr">
        <is>
          <t>Directly funded amount, squad by squad on 3.3, against 3.1 ($m)</t>
        </is>
      </c>
      <c r="C17" s="1791">
        <f>SUMIFS('3.3 Squad Detail'!$L$6:$L$109,'3.3 Squad Detail'!$C$6:$C$109,"Directly funded")</f>
        <v>6.724089</v>
      </c>
      <c r="D17" s="1791">
        <f>'3.1 Cost Bridge'!$D$27</f>
        <v>6.724089</v>
      </c>
      <c r="E17" s="1806">
        <f>ROUND($C17-$D17,6)</f>
        <v>0</v>
      </c>
    </row>
    <row r="18">
      <c r="B18" s="1788" t="inlineStr">
        <is>
          <t>Archetype roles on 3.3 against the priced-per-portfolio list on Lists</t>
        </is>
      </c>
      <c r="C18" s="1807">
        <f>SUMIFS('3.3 Squad Detail'!$G$6:$G$109,'3.3 Squad Detail'!$C$6:$C$109,"Archetype")</f>
        <v>299</v>
      </c>
      <c r="D18" s="1807">
        <f>SUM(Lists!$K$2:$K$11)</f>
        <v>299</v>
      </c>
      <c r="E18" s="1805">
        <f>ROUND($C18-$D18,6)</f>
        <v>0</v>
      </c>
    </row>
    <row r="19">
      <c r="B19" s="1788" t="inlineStr">
        <is>
          <t>Offshore archetype against 40% of onshore, first archetype</t>
        </is>
      </c>
      <c r="C19" s="1807">
        <f>ROUND('0.3 Squad Archetypes'!$H$5/'0.3 Squad Archetypes'!$G$5,6)</f>
        <v>0.4</v>
      </c>
      <c r="D19" s="1807">
        <f>ROUND('0.3 Squad Archetypes'!$K$5,6)</f>
        <v>0.4</v>
      </c>
      <c r="E19" s="1805">
        <f>ROUND($C19-$D19,6)</f>
        <v>0</v>
      </c>
    </row>
    <row r="20">
      <c r="B20" s="1788" t="inlineStr">
        <is>
          <t>Overhead allowance on 3.2 against Lists ($m)</t>
        </is>
      </c>
      <c r="C20" s="1791">
        <f>'3.2 Overhead &amp; Leadership'!$F$12</f>
        <v>12.925</v>
      </c>
      <c r="D20" s="1791">
        <f>N(Lists!$AJ$8)</f>
        <v>12.925</v>
      </c>
      <c r="E20" s="1806">
        <f>ROUND($C20-$D20,6)</f>
        <v>0</v>
      </c>
    </row>
    <row r="21">
      <c r="B21" s="1788" t="inlineStr">
        <is>
          <t>Allowance drawn in the portfolios against the lines that draw it ($m)</t>
        </is>
      </c>
      <c r="C21" s="1791">
        <f>N(Lists!$AJ$9)</f>
        <v>6.325</v>
      </c>
      <c r="D21" s="1791">
        <f>SUMIF(Lists!$AM$2:$AM$7,"Yes",Lists!$AJ$2:$AJ$7)</f>
        <v>6.325</v>
      </c>
      <c r="E21" s="1806">
        <f>ROUND($C21-$D21,6)</f>
        <v>0</v>
      </c>
    </row>
    <row r="22">
      <c r="B22" s="1788" t="inlineStr">
        <is>
          <t>Overhead roles in the portfolios plus those inside the COEs against every overhead role</t>
        </is>
      </c>
      <c r="C22" s="1790">
        <f>'3.2 Overhead &amp; Leadership'!$G$13+'3.2 Overhead &amp; Leadership'!$J$12</f>
        <v>62</v>
      </c>
      <c r="D22" s="1790">
        <f>COUNTIFS('REVIEW - Complete Role Mapping'!$AR$2:$AR$528,"&lt;&gt;Squad",'REVIEW - Complete Role Mapping'!$B$2:$B$528,"&lt;&gt;")</f>
        <v>62</v>
      </c>
      <c r="E22" s="1805">
        <f>ROUND($C22-$D22,6)</f>
        <v>0</v>
      </c>
    </row>
    <row r="23">
      <c r="B23" s="1788" t="inlineStr">
        <is>
          <t>Overhead cost in the portfolios plus inside the COEs against every overhead role ($m)</t>
        </is>
      </c>
      <c r="C23" s="1791">
        <f>'3.2 Overhead &amp; Leadership'!$H$13+'3.2 Overhead &amp; Leadership'!$K$12</f>
        <v>17.820765991</v>
      </c>
      <c r="D23" s="1791">
        <f>SUMIFS('REVIEW - Complete Role Mapping'!$AA$2:$AA$528,'REVIEW - Complete Role Mapping'!$AR$2:$AR$528,"&lt;&gt;Squad",'REVIEW - Complete Role Mapping'!$B$2:$B$528,"&lt;&gt;")/1000000</f>
        <v>17.820765991</v>
      </c>
      <c r="E23" s="1806">
        <f>ROUND($C23-$D23,6)</f>
        <v>0</v>
      </c>
    </row>
    <row r="24">
      <c r="B24" s="1788" t="inlineStr">
        <is>
          <t>Overhead on 3.1 against the portfolio lines on 3.2 ($m)</t>
        </is>
      </c>
      <c r="C24" s="1791">
        <f>'3.1 Cost Bridge'!$E$35</f>
        <v>11.654230155</v>
      </c>
      <c r="D24" s="1791">
        <f>'3.2 Overhead &amp; Leadership'!$H$13</f>
        <v>11.654230155</v>
      </c>
      <c r="E24" s="1806">
        <f>ROUND($C24-$D24,6)</f>
        <v>0</v>
      </c>
    </row>
    <row r="25">
      <c r="B25" s="1788" t="inlineStr">
        <is>
          <t>Roles after decisions against roles less anything on hold</t>
        </is>
      </c>
      <c r="C25" s="1790">
        <f>'3.1 Cost Bridge'!$K$41</f>
        <v>525</v>
      </c>
      <c r="D25" s="1790">
        <f>'3.1 Cost Bridge'!$H$41-N('2.1 Ampol Retail'!$K$29)-N('2.2 Customer'!$K$27)-N('2.3 Enterprise Data'!$K$22)-N('2.4 TDD Group Functions'!$K$24)-N('2.5 P&amp;C'!$K$22)-N('2.6 Finance'!$K$20)-N('2.7 Infrastructure'!$K$24)-N('2.8 Energy Solutions &amp; B2B'!$K$23)-N('2.9 Commercial Fuels'!$K$23)-N('2.10 Z Retail'!$K$24)-N('2.11 COE Cyber'!$K$23)-N('2.12 COE BP&amp;T'!$K$21)-N('2.13 COE SA&amp;D'!$K$23)-N('2.14 EGI'!$K$19)</f>
        <v>525</v>
      </c>
      <c r="E25" s="1805">
        <f>ROUND($C25-$D25,6)</f>
        <v>0</v>
      </c>
    </row>
    <row r="26">
      <c r="B26" s="1788" t="inlineStr">
        <is>
          <t>Cost after decisions against cost today, with no lever pulled ($m)</t>
        </is>
      </c>
      <c r="C26" s="1791">
        <f>'3.1 Cost Bridge'!$G$41</f>
        <v>115.2830022681</v>
      </c>
      <c r="D26" s="1791">
        <f>'3.1 Cost Bridge'!$E$41</f>
        <v>115.2830022681</v>
      </c>
      <c r="E26" s="1806">
        <f>ROUND($C26-$D26,6)</f>
        <v>0</v>
      </c>
    </row>
    <row r="27">
      <c r="B27" s="1788" t="inlineStr">
        <is>
          <t>1.11 BP&amp;T planned spend against the ledger ($m)</t>
        </is>
      </c>
      <c r="C27" s="1791">
        <f>'1.11 BP&amp;T'!$F$6+'1.11 BP&amp;T'!$F$7</f>
        <v>6.400561822</v>
      </c>
      <c r="D27" s="1791">
        <f>SUMIFS('REVIEW - Complete Role Mapping'!$AA$2:$AA$528,'REVIEW - Complete Role Mapping'!$AJ$2:$AJ$528,"COE BP&amp;T")/1000000</f>
        <v>6.400561822</v>
      </c>
      <c r="E27" s="1806">
        <f>ROUND($C27-$D27,6)</f>
        <v>0</v>
      </c>
    </row>
    <row r="28">
      <c r="B28" s="1788" t="inlineStr">
        <is>
          <t>1.12 SA&amp;D planned spend against the ledger ($m)</t>
        </is>
      </c>
      <c r="C28" s="1791">
        <f>'1.12 SA&amp;D'!$G$6+'1.12 SA&amp;D'!$G$7</f>
        <v>6.529494052</v>
      </c>
      <c r="D28" s="1791">
        <f>SUMIFS('REVIEW - Complete Role Mapping'!$AA$2:$AA$528,'REVIEW - Complete Role Mapping'!$AJ$2:$AJ$528,"COE SA&amp;D")/1000000</f>
        <v>6.529494052</v>
      </c>
      <c r="E28" s="1806">
        <f>ROUND($C28-$D28,6)</f>
        <v>0</v>
      </c>
    </row>
    <row r="29">
      <c r="B29" s="1788" t="inlineStr">
        <is>
          <t>1.13 Cyber Roles planned spend against the ledger ($m)</t>
        </is>
      </c>
      <c r="C29" s="1791">
        <f>'1.13 Cyber Roles'!$F$6+'1.13 Cyber Roles'!$F$7</f>
        <v>9.897858294</v>
      </c>
      <c r="D29" s="1791">
        <f>SUMIFS('REVIEW - Complete Role Mapping'!$AA$2:$AA$528,'REVIEW - Complete Role Mapping'!$AJ$2:$AJ$528,"COE Cyber")/1000000</f>
        <v>9.897858294</v>
      </c>
      <c r="E29" s="1806">
        <f>ROUND($C29-$D29,6)</f>
        <v>0</v>
      </c>
    </row>
    <row r="30">
      <c r="B30" s="1788" t="inlineStr">
        <is>
          <t>1.11 BP&amp;T own control - roles listed against roles counted</t>
        </is>
      </c>
      <c r="C30" s="1790">
        <f>'1.11 BP&amp;T'!C45</f>
        <v>0</v>
      </c>
      <c r="D30" s="1790">
        <f>0</f>
        <v>0</v>
      </c>
      <c r="E30" s="1805">
        <f>ROUND($C30-$D30,6)</f>
        <v>0</v>
      </c>
    </row>
    <row r="31">
      <c r="B31" s="1788" t="inlineStr">
        <is>
          <t>1.12 SA&amp;D own control - roles listed against roles counted</t>
        </is>
      </c>
      <c r="C31" s="1790">
        <f>'1.12 SA&amp;D'!C51</f>
        <v>0</v>
      </c>
      <c r="D31" s="1790">
        <f>0</f>
        <v>0</v>
      </c>
      <c r="E31" s="1805">
        <f>ROUND($C31-$D31,6)</f>
        <v>0</v>
      </c>
    </row>
    <row r="32">
      <c r="B32" s="1788" t="inlineStr">
        <is>
          <t>1.13 Cyber Roles own control - roles listed against roles counted</t>
        </is>
      </c>
      <c r="C32" s="1790">
        <f>'1.13 Cyber Roles'!C71</f>
        <v>0</v>
      </c>
      <c r="D32" s="1790">
        <f>0</f>
        <v>0</v>
      </c>
      <c r="E32" s="1805">
        <f>ROUND($C32-$D32,6)</f>
        <v>0</v>
      </c>
    </row>
    <row r="33">
      <c r="B33" s="1788" t="inlineStr">
        <is>
          <t>2.1 Ampol Retail roles against the ledger</t>
        </is>
      </c>
      <c r="C33" s="1790">
        <f>'2.1 Ampol Retail'!$F$29</f>
        <v>70</v>
      </c>
      <c r="D33" s="1790">
        <f>COUNTIFS('REVIEW - Complete Role Mapping'!$AJ$2:$AJ$528,"Ampol Retail")</f>
        <v>70</v>
      </c>
      <c r="E33" s="1805">
        <f>ROUND($C33-$D33,6)</f>
        <v>0</v>
      </c>
    </row>
    <row r="34">
      <c r="B34" s="1788" t="inlineStr">
        <is>
          <t>2.1 Ampol Retail cost against the ledger ($m)</t>
        </is>
      </c>
      <c r="C34" s="1791">
        <f>'2.1 Ampol Retail'!$N$29</f>
        <v>14.005227457</v>
      </c>
      <c r="D34" s="1791">
        <f>SUMIFS('REVIEW - Complete Role Mapping'!$AA$2:$AA$528,'REVIEW - Complete Role Mapping'!$AJ$2:$AJ$528,"Ampol Retail")/1000000</f>
        <v>14.005227457</v>
      </c>
      <c r="E34" s="1806">
        <f>ROUND($C34-$D34,6)</f>
        <v>0</v>
      </c>
    </row>
    <row r="35">
      <c r="B35" s="1788" t="inlineStr">
        <is>
          <t>2.2 Customer roles against the ledger</t>
        </is>
      </c>
      <c r="C35" s="1790">
        <f>'2.2 Customer'!$F$27</f>
        <v>83</v>
      </c>
      <c r="D35" s="1790">
        <f>COUNTIFS('REVIEW - Complete Role Mapping'!$AJ$2:$AJ$528,"Customer")</f>
        <v>83</v>
      </c>
      <c r="E35" s="1805">
        <f>ROUND($C35-$D35,6)</f>
        <v>0</v>
      </c>
    </row>
    <row r="36">
      <c r="B36" s="1788" t="inlineStr">
        <is>
          <t>2.2 Customer cost against the ledger ($m)</t>
        </is>
      </c>
      <c r="C36" s="1791">
        <f>'2.2 Customer'!$N$27</f>
        <v>17.12686714</v>
      </c>
      <c r="D36" s="1791">
        <f>SUMIFS('REVIEW - Complete Role Mapping'!$AA$2:$AA$528,'REVIEW - Complete Role Mapping'!$AJ$2:$AJ$528,"Customer")/1000000</f>
        <v>17.12686714</v>
      </c>
      <c r="E36" s="1806">
        <f>ROUND($C36-$D36,6)</f>
        <v>0</v>
      </c>
    </row>
    <row r="37">
      <c r="B37" s="1788" t="inlineStr">
        <is>
          <t>2.3 Enterprise Data roles against the ledger</t>
        </is>
      </c>
      <c r="C37" s="1790">
        <f>'2.3 Enterprise Data'!$F$22</f>
        <v>28</v>
      </c>
      <c r="D37" s="1790">
        <f>COUNTIFS('REVIEW - Complete Role Mapping'!$AJ$2:$AJ$528,"Enterprise Data")</f>
        <v>28</v>
      </c>
      <c r="E37" s="1805">
        <f>ROUND($C37-$D37,6)</f>
        <v>0</v>
      </c>
    </row>
    <row r="38">
      <c r="B38" s="1788" t="inlineStr">
        <is>
          <t>2.3 Enterprise Data cost against the ledger ($m)</t>
        </is>
      </c>
      <c r="C38" s="1791">
        <f>'2.3 Enterprise Data'!$N$22</f>
        <v>6.418403776</v>
      </c>
      <c r="D38" s="1791">
        <f>SUMIFS('REVIEW - Complete Role Mapping'!$AA$2:$AA$528,'REVIEW - Complete Role Mapping'!$AJ$2:$AJ$528,"Enterprise Data")/1000000</f>
        <v>6.418403776</v>
      </c>
      <c r="E38" s="1806">
        <f>ROUND($C38-$D38,6)</f>
        <v>0</v>
      </c>
    </row>
    <row r="39">
      <c r="B39" s="1788" t="inlineStr">
        <is>
          <t>2.4 TDD Group Functions roles against the ledger</t>
        </is>
      </c>
      <c r="C39" s="1790">
        <f>'2.4 TDD Group Functions'!$F$24</f>
        <v>46</v>
      </c>
      <c r="D39" s="1790">
        <f>COUNTIFS('REVIEW - Complete Role Mapping'!$AJ$2:$AJ$528,"TDD Group Functions")</f>
        <v>46</v>
      </c>
      <c r="E39" s="1805">
        <f>ROUND($C39-$D39,6)</f>
        <v>0</v>
      </c>
    </row>
    <row r="40">
      <c r="B40" s="1788" t="inlineStr">
        <is>
          <t>2.4 TDD Group Functions cost against the ledger ($m)</t>
        </is>
      </c>
      <c r="C40" s="1791">
        <f>'2.4 TDD Group Functions'!$N$24</f>
        <v>10.2009694824</v>
      </c>
      <c r="D40" s="1791">
        <f>SUMIFS('REVIEW - Complete Role Mapping'!$AA$2:$AA$528,'REVIEW - Complete Role Mapping'!$AJ$2:$AJ$528,"TDD Group Functions")/1000000</f>
        <v>10.2009694824</v>
      </c>
      <c r="E40" s="1806">
        <f>ROUND($C40-$D40,6)</f>
        <v>0</v>
      </c>
    </row>
    <row r="41">
      <c r="B41" s="1788" t="inlineStr">
        <is>
          <t>2.5 P&amp;C roles against the ledger</t>
        </is>
      </c>
      <c r="C41" s="1790">
        <f>'2.5 P&amp;C'!$F$22</f>
        <v>18</v>
      </c>
      <c r="D41" s="1790">
        <f>COUNTIFS('REVIEW - Complete Role Mapping'!$AJ$2:$AJ$528,"P&amp;C")</f>
        <v>18</v>
      </c>
      <c r="E41" s="1805">
        <f>ROUND($C41-$D41,6)</f>
        <v>0</v>
      </c>
    </row>
    <row r="42">
      <c r="B42" s="1788" t="inlineStr">
        <is>
          <t>2.5 P&amp;C cost against the ledger ($m)</t>
        </is>
      </c>
      <c r="C42" s="1791">
        <f>'2.5 P&amp;C'!$N$22</f>
        <v>4.18444088</v>
      </c>
      <c r="D42" s="1791">
        <f>SUMIFS('REVIEW - Complete Role Mapping'!$AA$2:$AA$528,'REVIEW - Complete Role Mapping'!$AJ$2:$AJ$528,"P&amp;C")/1000000</f>
        <v>4.18444088</v>
      </c>
      <c r="E42" s="1806">
        <f>ROUND($C42-$D42,6)</f>
        <v>0</v>
      </c>
    </row>
    <row r="43">
      <c r="B43" s="1788" t="inlineStr">
        <is>
          <t>2.6 Finance roles against the ledger</t>
        </is>
      </c>
      <c r="C43" s="1790">
        <f>'2.6 Finance'!$F$20</f>
        <v>17</v>
      </c>
      <c r="D43" s="1790">
        <f>COUNTIFS('REVIEW - Complete Role Mapping'!$AJ$2:$AJ$528,"Finance")</f>
        <v>17</v>
      </c>
      <c r="E43" s="1805">
        <f>ROUND($C43-$D43,6)</f>
        <v>0</v>
      </c>
    </row>
    <row r="44">
      <c r="B44" s="1788" t="inlineStr">
        <is>
          <t>2.6 Finance cost against the ledger ($m)</t>
        </is>
      </c>
      <c r="C44" s="1791">
        <f>'2.6 Finance'!$N$20</f>
        <v>3.844616116</v>
      </c>
      <c r="D44" s="1791">
        <f>SUMIFS('REVIEW - Complete Role Mapping'!$AA$2:$AA$528,'REVIEW - Complete Role Mapping'!$AJ$2:$AJ$528,"Finance")/1000000</f>
        <v>3.844616116</v>
      </c>
      <c r="E44" s="1806">
        <f>ROUND($C44-$D44,6)</f>
        <v>0</v>
      </c>
    </row>
    <row r="45">
      <c r="B45" s="1788" t="inlineStr">
        <is>
          <t>2.7 Infrastructure roles against the ledger</t>
        </is>
      </c>
      <c r="C45" s="1790">
        <f>'2.7 Infrastructure'!$F$24</f>
        <v>36</v>
      </c>
      <c r="D45" s="1790">
        <f>COUNTIFS('REVIEW - Complete Role Mapping'!$AJ$2:$AJ$528,"Infrastructure")</f>
        <v>36</v>
      </c>
      <c r="E45" s="1805">
        <f>ROUND($C45-$D45,6)</f>
        <v>0</v>
      </c>
    </row>
    <row r="46">
      <c r="B46" s="1788" t="inlineStr">
        <is>
          <t>2.7 Infrastructure cost against the ledger ($m)</t>
        </is>
      </c>
      <c r="C46" s="1791">
        <f>'2.7 Infrastructure'!$N$24</f>
        <v>7.74836354</v>
      </c>
      <c r="D46" s="1791">
        <f>SUMIFS('REVIEW - Complete Role Mapping'!$AA$2:$AA$528,'REVIEW - Complete Role Mapping'!$AJ$2:$AJ$528,"Infrastructure")/1000000</f>
        <v>7.74836354</v>
      </c>
      <c r="E46" s="1806">
        <f>ROUND($C46-$D46,6)</f>
        <v>0</v>
      </c>
    </row>
    <row r="47">
      <c r="B47" s="1788" t="inlineStr">
        <is>
          <t>2.8 Energy Solutions &amp; B2B roles against the ledger</t>
        </is>
      </c>
      <c r="C47" s="1790">
        <f>'2.8 Energy Solutions &amp; B2B'!$F$23</f>
        <v>33</v>
      </c>
      <c r="D47" s="1790">
        <f>COUNTIFS('REVIEW - Complete Role Mapping'!$AJ$2:$AJ$528,"Energy Solutions &amp; B2B")</f>
        <v>33</v>
      </c>
      <c r="E47" s="1805">
        <f>ROUND($C47-$D47,6)</f>
        <v>0</v>
      </c>
    </row>
    <row r="48">
      <c r="B48" s="1788" t="inlineStr">
        <is>
          <t>2.8 Energy Solutions &amp; B2B cost against the ledger ($m)</t>
        </is>
      </c>
      <c r="C48" s="1791">
        <f>'2.8 Energy Solutions &amp; B2B'!$N$23</f>
        <v>6.447816278</v>
      </c>
      <c r="D48" s="1791">
        <f>SUMIFS('REVIEW - Complete Role Mapping'!$AA$2:$AA$528,'REVIEW - Complete Role Mapping'!$AJ$2:$AJ$528,"Energy Solutions &amp; B2B")/1000000</f>
        <v>6.447816278</v>
      </c>
      <c r="E48" s="1806">
        <f>ROUND($C48-$D48,6)</f>
        <v>0</v>
      </c>
    </row>
    <row r="49">
      <c r="B49" s="1788" t="inlineStr">
        <is>
          <t>2.9 Commercial Fuels roles against the ledger</t>
        </is>
      </c>
      <c r="C49" s="1790">
        <f>'2.9 Commercial Fuels'!$F$23</f>
        <v>42</v>
      </c>
      <c r="D49" s="1790">
        <f>COUNTIFS('REVIEW - Complete Role Mapping'!$AJ$2:$AJ$528,"Commercial Fuels")</f>
        <v>42</v>
      </c>
      <c r="E49" s="1805">
        <f>ROUND($C49-$D49,6)</f>
        <v>0</v>
      </c>
    </row>
    <row r="50">
      <c r="B50" s="1788" t="inlineStr">
        <is>
          <t>2.9 Commercial Fuels cost against the ledger ($m)</t>
        </is>
      </c>
      <c r="C50" s="1791">
        <f>'2.9 Commercial Fuels'!$N$23</f>
        <v>10.1976697287</v>
      </c>
      <c r="D50" s="1791">
        <f>SUMIFS('REVIEW - Complete Role Mapping'!$AA$2:$AA$528,'REVIEW - Complete Role Mapping'!$AJ$2:$AJ$528,"Commercial Fuels")/1000000</f>
        <v>10.1976697287</v>
      </c>
      <c r="E50" s="1806">
        <f>ROUND($C50-$D50,6)</f>
        <v>0</v>
      </c>
    </row>
    <row r="51">
      <c r="B51" s="1788" t="inlineStr">
        <is>
          <t>2.10 Z Retail roles against the ledger</t>
        </is>
      </c>
      <c r="C51" s="1790">
        <f>'2.10 Z Retail'!$F$24</f>
        <v>39</v>
      </c>
      <c r="D51" s="1790">
        <f>COUNTIFS('REVIEW - Complete Role Mapping'!$AJ$2:$AJ$528,"Z Retail")</f>
        <v>39</v>
      </c>
      <c r="E51" s="1805">
        <f>ROUND($C51-$D51,6)</f>
        <v>0</v>
      </c>
    </row>
    <row r="52">
      <c r="B52" s="1788" t="inlineStr">
        <is>
          <t>2.10 Z Retail cost against the ledger ($m)</t>
        </is>
      </c>
      <c r="C52" s="1791">
        <f>'2.10 Z Retail'!$N$24</f>
        <v>7.337294352</v>
      </c>
      <c r="D52" s="1791">
        <f>SUMIFS('REVIEW - Complete Role Mapping'!$AA$2:$AA$528,'REVIEW - Complete Role Mapping'!$AJ$2:$AJ$528,"Z Retail")/1000000</f>
        <v>7.337294352</v>
      </c>
      <c r="E52" s="1806">
        <f>ROUND($C52-$D52,6)</f>
        <v>0</v>
      </c>
    </row>
    <row r="53">
      <c r="B53" s="1788" t="inlineStr">
        <is>
          <t>2.11 COE Cyber roles against the ledger</t>
        </is>
      </c>
      <c r="C53" s="1790">
        <f>'2.11 COE Cyber'!$F$23</f>
        <v>46</v>
      </c>
      <c r="D53" s="1790">
        <f>COUNTIFS('REVIEW - Complete Role Mapping'!$AJ$2:$AJ$528,"COE Cyber")</f>
        <v>46</v>
      </c>
      <c r="E53" s="1805">
        <f>ROUND($C53-$D53,6)</f>
        <v>0</v>
      </c>
    </row>
    <row r="54">
      <c r="B54" s="1788" t="inlineStr">
        <is>
          <t>2.11 COE Cyber cost against the ledger ($m)</t>
        </is>
      </c>
      <c r="C54" s="1791">
        <f>'2.11 COE Cyber'!$N$23</f>
        <v>9.897858294</v>
      </c>
      <c r="D54" s="1791">
        <f>SUMIFS('REVIEW - Complete Role Mapping'!$AA$2:$AA$528,'REVIEW - Complete Role Mapping'!$AJ$2:$AJ$528,"COE Cyber")/1000000</f>
        <v>9.897858294</v>
      </c>
      <c r="E54" s="1806">
        <f>ROUND($C54-$D54,6)</f>
        <v>0</v>
      </c>
    </row>
    <row r="55">
      <c r="B55" s="1788" t="inlineStr">
        <is>
          <t>2.12 COE BP&amp;T roles against the ledger</t>
        </is>
      </c>
      <c r="C55" s="1790">
        <f>'2.12 COE BP&amp;T'!$F$21</f>
        <v>24</v>
      </c>
      <c r="D55" s="1790">
        <f>COUNTIFS('REVIEW - Complete Role Mapping'!$AJ$2:$AJ$528,"COE BP&amp;T")</f>
        <v>24</v>
      </c>
      <c r="E55" s="1805">
        <f>ROUND($C55-$D55,6)</f>
        <v>0</v>
      </c>
    </row>
    <row r="56">
      <c r="B56" s="1788" t="inlineStr">
        <is>
          <t>2.12 COE BP&amp;T cost against the ledger ($m)</t>
        </is>
      </c>
      <c r="C56" s="1791">
        <f>'2.12 COE BP&amp;T'!$N$21</f>
        <v>6.400561822</v>
      </c>
      <c r="D56" s="1791">
        <f>SUMIFS('REVIEW - Complete Role Mapping'!$AA$2:$AA$528,'REVIEW - Complete Role Mapping'!$AJ$2:$AJ$528,"COE BP&amp;T")/1000000</f>
        <v>6.400561822</v>
      </c>
      <c r="E56" s="1806">
        <f>ROUND($C56-$D56,6)</f>
        <v>0</v>
      </c>
    </row>
    <row r="57">
      <c r="B57" s="1788" t="inlineStr">
        <is>
          <t>2.13 COE SA&amp;D roles against the ledger</t>
        </is>
      </c>
      <c r="C57" s="1790">
        <f>'2.13 COE SA&amp;D'!$F$23</f>
        <v>26</v>
      </c>
      <c r="D57" s="1790">
        <f>COUNTIFS('REVIEW - Complete Role Mapping'!$AJ$2:$AJ$528,"COE SA&amp;D")</f>
        <v>26</v>
      </c>
      <c r="E57" s="1805">
        <f>ROUND($C57-$D57,6)</f>
        <v>0</v>
      </c>
    </row>
    <row r="58">
      <c r="B58" s="1788" t="inlineStr">
        <is>
          <t>2.13 COE SA&amp;D cost against the ledger ($m)</t>
        </is>
      </c>
      <c r="C58" s="1791">
        <f>'2.13 COE SA&amp;D'!$N$23</f>
        <v>6.529494052</v>
      </c>
      <c r="D58" s="1791">
        <f>SUMIFS('REVIEW - Complete Role Mapping'!$AA$2:$AA$528,'REVIEW - Complete Role Mapping'!$AJ$2:$AJ$528,"COE SA&amp;D")/1000000</f>
        <v>6.529494052</v>
      </c>
      <c r="E58" s="1806">
        <f>ROUND($C58-$D58,6)</f>
        <v>0</v>
      </c>
    </row>
    <row r="59">
      <c r="B59" s="1788" t="inlineStr">
        <is>
          <t>2.14 EGI roles against the ledger</t>
        </is>
      </c>
      <c r="C59" s="1790">
        <f>'2.14 EGI'!$F$19</f>
        <v>17</v>
      </c>
      <c r="D59" s="1790">
        <f>COUNTIFS('REVIEW - Complete Role Mapping'!$AJ$2:$AJ$528,"EGI")</f>
        <v>17</v>
      </c>
      <c r="E59" s="1805">
        <f>ROUND($C59-$D59,6)</f>
        <v>0</v>
      </c>
    </row>
    <row r="60">
      <c r="B60" s="1788" t="inlineStr">
        <is>
          <t>2.14 EGI cost against the ledger ($m)</t>
        </is>
      </c>
      <c r="C60" s="1791">
        <f>'2.14 EGI'!$N$19</f>
        <v>4.94341935</v>
      </c>
      <c r="D60" s="1791">
        <f>SUMIFS('REVIEW - Complete Role Mapping'!$AA$2:$AA$528,'REVIEW - Complete Role Mapping'!$AJ$2:$AJ$528,"EGI")/1000000</f>
        <v>4.94341935</v>
      </c>
      <c r="E60" s="1806">
        <f>ROUND($C60-$D60,6)</f>
        <v>0</v>
      </c>
    </row>
    <row r="61">
      <c r="B61" s="1541" t="inlineStr">
        <is>
          <t>Checks failing</t>
        </is>
      </c>
      <c r="C61" s="1541" t="n"/>
      <c r="D61" s="1541" t="n"/>
      <c r="E61" s="1808">
        <f>COUNTIF($E5:$E60,"&lt;&gt;0")</f>
        <v>0</v>
      </c>
    </row>
  </sheetData>
  <printOptions horizontalCentered="0" verticalCentered="0" headings="0" gridLines="0" gridLinesSet="1"/>
  <pageMargins left="0.75" right="0.75" top="1" bottom="1" header="0.511811023622047" footer="0.511811023622047"/>
  <pageSetup orientation="landscape"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1"/>
  </sheetPr>
  <dimension ref="A1:AS1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8" activeCellId="0" sqref="A8"/>
    </sheetView>
  </sheetViews>
  <sheetFormatPr baseColWidth="8" defaultColWidth="8.54296875" defaultRowHeight="14.25" zeroHeight="0" outlineLevelRow="0"/>
  <cols>
    <col width="2" customWidth="1" style="865" min="1" max="1"/>
    <col width="4.81" customWidth="1" style="865" min="2" max="2"/>
    <col width="8.18" customWidth="1" style="865" min="3" max="3"/>
    <col width="9.359999999999999" customWidth="1" style="865" min="4" max="4"/>
    <col width="17.27" customWidth="1" style="865" min="5" max="5"/>
    <col width="20.18" customWidth="1" style="865" min="6" max="6"/>
    <col width="11.81" customWidth="1" style="865" min="7" max="7"/>
    <col width="20.18" customWidth="1" style="865" min="10" max="10"/>
    <col width="13.91" customWidth="1" style="865" min="11" max="11"/>
    <col width="30.18" customWidth="1" style="865" min="20" max="20"/>
    <col width="30" customWidth="1" style="865" min="23" max="24"/>
    <col width="30" customWidth="1" style="865" min="26" max="27"/>
    <col width="12" customWidth="1" style="865" min="29" max="30"/>
    <col width="22" customWidth="1" style="865" min="32" max="32"/>
    <col width="12" customWidth="1" style="865" min="33" max="33"/>
    <col width="10" customWidth="1" style="865" min="34" max="34"/>
    <col width="12" customWidth="1" style="865" min="35" max="35"/>
    <col width="16" customWidth="1" style="865" min="36" max="36"/>
    <col width="40" customWidth="1" style="865" min="37" max="37"/>
    <col width="24" customWidth="1" style="865" min="38" max="38"/>
    <col width="28" customWidth="1" style="866" min="39" max="39"/>
    <col width="24" customWidth="1" style="865" min="40" max="43"/>
    <col width="13" customWidth="1" style="866" min="41" max="41"/>
    <col width="13" customWidth="1" style="866" min="42" max="42"/>
    <col width="13" customWidth="1" style="866" min="43" max="43"/>
    <col width="26" customWidth="1" style="865" min="45" max="45"/>
  </cols>
  <sheetData>
    <row r="1" ht="48" customHeight="1" s="866">
      <c r="A1" s="865" t="inlineStr">
        <is>
          <t>Squad Types</t>
        </is>
      </c>
      <c r="B1" s="865" t="inlineStr">
        <is>
          <t>Sizes</t>
        </is>
      </c>
      <c r="C1" s="865" t="inlineStr">
        <is>
          <t>On/Off</t>
        </is>
      </c>
      <c r="D1" s="865" t="inlineStr">
        <is>
          <t>Support %</t>
        </is>
      </c>
      <c r="E1" s="1816" t="n"/>
      <c r="F1" s="1816" t="n"/>
      <c r="G1" s="1816" t="n"/>
      <c r="H1" s="865" t="n"/>
      <c r="I1" s="865" t="n"/>
      <c r="J1" s="865" t="inlineStr">
        <is>
          <t>Portfolio</t>
        </is>
      </c>
      <c r="K1" s="865" t="inlineStr">
        <is>
          <t>Archetype roles</t>
        </is>
      </c>
      <c r="L1" s="865" t="n"/>
      <c r="M1" s="865" t="n"/>
      <c r="N1" s="865" t="n"/>
      <c r="O1" s="865" t="n"/>
      <c r="P1" s="865" t="n"/>
      <c r="Q1" s="865" t="n"/>
      <c r="R1" s="865" t="n"/>
      <c r="S1" s="865" t="n"/>
      <c r="T1" s="865" t="inlineStr">
        <is>
          <t>Ampol Retail</t>
        </is>
      </c>
      <c r="U1" s="865" t="inlineStr">
        <is>
          <t>Ampol Retail</t>
        </is>
      </c>
      <c r="W1" s="1154" t="inlineStr">
        <is>
          <t>Squad as typed (col K)</t>
        </is>
      </c>
      <c r="X1" s="1154" t="inlineStr">
        <is>
          <t>Canonical squad</t>
        </is>
      </c>
      <c r="Z1" s="1154" t="inlineStr">
        <is>
          <t>Squad name map retired - design tabs now use REVIEW's names</t>
        </is>
      </c>
      <c r="AA1" s="1154" t="n"/>
      <c r="AC1" s="1154" t="inlineStr">
        <is>
          <t>Lever</t>
        </is>
      </c>
      <c r="AD1" s="1154" t="inlineStr">
        <is>
          <t>Cost factor</t>
        </is>
      </c>
      <c r="AE1" s="1154" t="inlineStr">
        <is>
          <t>Funded into (3.4 COE line)</t>
        </is>
      </c>
      <c r="AF1" s="1154" t="inlineStr">
        <is>
          <t>Overhead line</t>
        </is>
      </c>
      <c r="AG1" s="1154" t="inlineStr">
        <is>
          <t>Rate ($m)</t>
        </is>
      </c>
      <c r="AH1" s="1154" t="inlineStr">
        <is>
          <t>Units</t>
        </is>
      </c>
      <c r="AI1" s="1154" t="inlineStr">
        <is>
          <t>Basis</t>
        </is>
      </c>
      <c r="AJ1" s="1154" t="inlineStr">
        <is>
          <t>Allowance ($m)</t>
        </is>
      </c>
      <c r="AK1" s="1154" t="inlineStr">
        <is>
          <t>0.2 Data Config budget line</t>
        </is>
      </c>
      <c r="AL1" s="1154" t="inlineStr">
        <is>
          <t>Portfolio</t>
        </is>
      </c>
      <c r="AM1" s="1787" t="inlineStr">
        <is>
          <t>Allowance drawn in the portfolios</t>
        </is>
      </c>
      <c r="AN1" s="1764" t="inlineStr">
        <is>
          <t>REVIEW row</t>
        </is>
      </c>
      <c r="AO1" s="1764" t="inlineStr">
        <is>
          <t>Portfolio override</t>
        </is>
      </c>
      <c r="AP1" s="1764" t="inlineStr">
        <is>
          <t>Squad override</t>
        </is>
      </c>
      <c r="AQ1" s="1764" t="inlineStr">
        <is>
          <t>Overhead line override</t>
        </is>
      </c>
      <c r="AS1" s="1764" t="inlineStr">
        <is>
          <t>Portfolios (10)</t>
        </is>
      </c>
    </row>
    <row r="2" ht="14.25" customHeight="1" s="866">
      <c r="A2" s="865" t="inlineStr">
        <is>
          <t>Engineering</t>
        </is>
      </c>
      <c r="B2" s="865" t="inlineStr">
        <is>
          <t>XS</t>
        </is>
      </c>
      <c r="C2" s="865" t="inlineStr">
        <is>
          <t>Onshore</t>
        </is>
      </c>
      <c r="D2" s="1765" t="n">
        <v>0</v>
      </c>
      <c r="E2" s="1816" t="n"/>
      <c r="F2" s="1816" t="n"/>
      <c r="G2" s="1816" t="n"/>
      <c r="H2" s="865" t="n"/>
      <c r="I2" s="865" t="n"/>
      <c r="J2" s="865" t="inlineStr">
        <is>
          <t>Ampol Retail</t>
        </is>
      </c>
      <c r="K2" s="865">
        <f>SUMIFS('3.3 Squad Detail'!$G$6:$G$109,'3.3 Squad Detail'!$B$6:$B$109,$J2,'3.3 Squad Detail'!$C$6:$C$109,"Archetype")</f>
        <v>47.5</v>
      </c>
      <c r="L2" s="865" t="n"/>
      <c r="M2" s="865" t="n"/>
      <c r="N2" s="865" t="n"/>
      <c r="O2" s="865" t="n"/>
      <c r="P2" s="865" t="n"/>
      <c r="Q2" s="865" t="n"/>
      <c r="R2" s="865" t="n"/>
      <c r="S2" s="865" t="n"/>
      <c r="T2" s="865" t="inlineStr">
        <is>
          <t>Retail</t>
        </is>
      </c>
      <c r="U2" s="865" t="inlineStr">
        <is>
          <t>Ampol Retail</t>
        </is>
      </c>
      <c r="W2" s="865" t="inlineStr">
        <is>
          <t>AmPos</t>
        </is>
      </c>
      <c r="X2" s="865" t="inlineStr">
        <is>
          <t>AmPOS</t>
        </is>
      </c>
      <c r="AC2" s="865" t="inlineStr">
        <is>
          <t>Filled</t>
        </is>
      </c>
      <c r="AD2" s="865" t="n">
        <v>1</v>
      </c>
      <c r="AF2" s="865" t="inlineStr">
        <is>
          <t>Head of Technology</t>
        </is>
      </c>
      <c r="AG2" s="1026">
        <f>'0.2 Data Config'!$L$6</f>
        <v>0.1375</v>
      </c>
      <c r="AH2" s="865">
        <f>COUNTA(Lists!$AS$2:$AS$11)</f>
        <v>10</v>
      </c>
      <c r="AI2" s="865" t="inlineStr">
        <is>
          <t>portfolios</t>
        </is>
      </c>
      <c r="AJ2" s="865">
        <f>$AG2*$AH2</f>
        <v>1.375</v>
      </c>
      <c r="AK2" s="865" t="inlineStr">
        <is>
          <t>Ampol Retail</t>
        </is>
      </c>
      <c r="AL2" s="865" t="inlineStr">
        <is>
          <t>Ampol Retail</t>
        </is>
      </c>
      <c r="AM2" s="1788" t="inlineStr">
        <is>
          <t>Yes</t>
        </is>
      </c>
      <c r="AN2" s="1766" t="n">
        <v>283</v>
      </c>
      <c r="AO2" s="1767" t="inlineStr">
        <is>
          <t>COE SA&amp;D</t>
        </is>
      </c>
      <c r="AP2" s="1767" t="inlineStr">
        <is>
          <t>Group Data</t>
        </is>
      </c>
      <c r="AQ2" s="1767" t="n"/>
      <c r="AS2" s="870" t="inlineStr">
        <is>
          <t>Ampol Retail</t>
        </is>
      </c>
    </row>
    <row r="3" ht="14.25" customHeight="1" s="866">
      <c r="A3" s="865" t="inlineStr">
        <is>
          <t>Configuration / Integration</t>
        </is>
      </c>
      <c r="B3" s="865" t="inlineStr">
        <is>
          <t>S</t>
        </is>
      </c>
      <c r="C3" s="865" t="inlineStr">
        <is>
          <t>Offshore</t>
        </is>
      </c>
      <c r="D3" s="1765" t="n">
        <v>0.2</v>
      </c>
      <c r="E3" s="1816" t="n"/>
      <c r="F3" s="1816" t="n"/>
      <c r="G3" s="1816" t="n"/>
      <c r="H3" s="865" t="n"/>
      <c r="I3" s="865" t="n"/>
      <c r="J3" s="865" t="inlineStr">
        <is>
          <t>Customer</t>
        </is>
      </c>
      <c r="K3" s="865">
        <f>SUMIFS('3.3 Squad Detail'!$G$6:$G$109,'3.3 Squad Detail'!$B$6:$B$109,$J3,'3.3 Squad Detail'!$C$6:$C$109,"Archetype")</f>
        <v>57</v>
      </c>
      <c r="L3" s="865" t="n"/>
      <c r="M3" s="865" t="n"/>
      <c r="N3" s="865" t="n"/>
      <c r="O3" s="865" t="n"/>
      <c r="P3" s="865" t="n"/>
      <c r="Q3" s="865" t="n"/>
      <c r="R3" s="865" t="n"/>
      <c r="S3" s="865" t="n"/>
      <c r="T3" s="865" t="inlineStr">
        <is>
          <t>RETAIL</t>
        </is>
      </c>
      <c r="U3" s="865" t="inlineStr">
        <is>
          <t>Ampol Retail</t>
        </is>
      </c>
      <c r="W3" s="865" t="inlineStr">
        <is>
          <t>Manuacturing Group Projects</t>
        </is>
      </c>
      <c r="X3" s="865" t="inlineStr">
        <is>
          <t>Manufacturing Group Projects</t>
        </is>
      </c>
      <c r="AC3" s="865" t="inlineStr">
        <is>
          <t>Hire</t>
        </is>
      </c>
      <c r="AD3" s="865" t="n">
        <v>1</v>
      </c>
      <c r="AE3" s="865" t="inlineStr">
        <is>
          <t>Business Partnering</t>
        </is>
      </c>
      <c r="AF3" s="865" t="inlineStr">
        <is>
          <t>Business Partner</t>
        </is>
      </c>
      <c r="AG3" s="1026">
        <f>'0.2 Data Config'!$L$7</f>
        <v>0.22</v>
      </c>
      <c r="AH3" s="865">
        <f>$AH$2</f>
        <v>10</v>
      </c>
      <c r="AI3" s="865" t="inlineStr">
        <is>
          <t>portfolios</t>
        </is>
      </c>
      <c r="AJ3" s="865">
        <f>$AG3*$AH3</f>
        <v>2.2</v>
      </c>
      <c r="AK3" s="865" t="inlineStr">
        <is>
          <t>Z Retail</t>
        </is>
      </c>
      <c r="AL3" s="865" t="inlineStr">
        <is>
          <t>Z Retail</t>
        </is>
      </c>
      <c r="AM3" s="1788" t="inlineStr">
        <is>
          <t>No</t>
        </is>
      </c>
      <c r="AN3" s="1766" t="n">
        <v>313</v>
      </c>
      <c r="AO3" s="1767" t="inlineStr">
        <is>
          <t>COE SA&amp;D</t>
        </is>
      </c>
      <c r="AP3" s="1767" t="inlineStr">
        <is>
          <t>Group Data</t>
        </is>
      </c>
      <c r="AQ3" s="1767" t="n"/>
      <c r="AS3" s="870" t="inlineStr">
        <is>
          <t>Customer</t>
        </is>
      </c>
    </row>
    <row r="4" ht="14.25" customHeight="1" s="866">
      <c r="A4" s="865" t="inlineStr">
        <is>
          <t>Product</t>
        </is>
      </c>
      <c r="B4" s="865" t="inlineStr">
        <is>
          <t>M</t>
        </is>
      </c>
      <c r="C4" s="865" t="n"/>
      <c r="D4" s="1765" t="n">
        <v>0.3</v>
      </c>
      <c r="E4" s="1816" t="n"/>
      <c r="F4" s="1816" t="n"/>
      <c r="G4" s="1816" t="n"/>
      <c r="H4" s="865" t="n"/>
      <c r="I4" s="865" t="n"/>
      <c r="J4" s="865" t="inlineStr">
        <is>
          <t>Enterprise Data</t>
        </is>
      </c>
      <c r="K4" s="865">
        <f>SUMIFS('3.3 Squad Detail'!$G$6:$G$109,'3.3 Squad Detail'!$B$6:$B$109,$J4,'3.3 Squad Detail'!$C$6:$C$109,"Archetype")</f>
        <v>19</v>
      </c>
      <c r="L4" s="865" t="n"/>
      <c r="M4" s="865" t="n"/>
      <c r="N4" s="865" t="n"/>
      <c r="O4" s="865" t="n"/>
      <c r="P4" s="865" t="n"/>
      <c r="Q4" s="865" t="n"/>
      <c r="R4" s="865" t="n"/>
      <c r="S4" s="865" t="n"/>
      <c r="T4" s="865" t="inlineStr">
        <is>
          <t>Z</t>
        </is>
      </c>
      <c r="U4" s="865" t="inlineStr">
        <is>
          <t>Z Retail</t>
        </is>
      </c>
      <c r="W4" s="865" t="inlineStr">
        <is>
          <t>Integration &amp; Process automation</t>
        </is>
      </c>
      <c r="X4" s="865" t="inlineStr">
        <is>
          <t>Integration &amp; Process Automation</t>
        </is>
      </c>
      <c r="AC4" s="865" t="inlineStr">
        <is>
          <t>Hold</t>
        </is>
      </c>
      <c r="AD4" s="865" t="n">
        <v>0</v>
      </c>
      <c r="AE4" s="865" t="inlineStr">
        <is>
          <t>Strategy &amp; Architecture</t>
        </is>
      </c>
      <c r="AF4" s="865" t="inlineStr">
        <is>
          <t>Domain Architect</t>
        </is>
      </c>
      <c r="AG4" s="1026">
        <f>'0.2 Data Config'!$L$8</f>
        <v>0.14</v>
      </c>
      <c r="AH4" s="865">
        <f>$AH$2</f>
        <v>10</v>
      </c>
      <c r="AI4" s="865" t="inlineStr">
        <is>
          <t>portfolios</t>
        </is>
      </c>
      <c r="AJ4" s="865">
        <f>$AG4*$AH4</f>
        <v>1.4</v>
      </c>
      <c r="AK4" s="865" t="inlineStr">
        <is>
          <t>Ampol Customer</t>
        </is>
      </c>
      <c r="AL4" s="865" t="inlineStr">
        <is>
          <t>Customer</t>
        </is>
      </c>
      <c r="AM4" s="1788" t="inlineStr">
        <is>
          <t>No</t>
        </is>
      </c>
      <c r="AN4" s="1766" t="n">
        <v>528</v>
      </c>
      <c r="AO4" s="1767" t="n"/>
      <c r="AP4" s="1767" t="inlineStr">
        <is>
          <t>SAP ERP</t>
        </is>
      </c>
      <c r="AQ4" s="1767" t="n"/>
      <c r="AS4" s="870" t="inlineStr">
        <is>
          <t>Enterprise Data</t>
        </is>
      </c>
    </row>
    <row r="5" ht="14.25" customHeight="1" s="866">
      <c r="A5" s="865" t="inlineStr">
        <is>
          <t>Operations</t>
        </is>
      </c>
      <c r="B5" s="865" t="inlineStr">
        <is>
          <t>L</t>
        </is>
      </c>
      <c r="C5" s="865" t="n"/>
      <c r="D5" s="865" t="n">
        <v>0.4</v>
      </c>
      <c r="E5" s="865" t="n"/>
      <c r="F5" s="865" t="n"/>
      <c r="G5" s="865" t="n"/>
      <c r="H5" s="865" t="n"/>
      <c r="I5" s="865" t="n"/>
      <c r="J5" s="865" t="inlineStr">
        <is>
          <t>TDD Group Functions</t>
        </is>
      </c>
      <c r="K5" s="865">
        <f>SUMIFS('3.3 Squad Detail'!$G$6:$G$109,'3.3 Squad Detail'!$B$6:$B$109,$J5,'3.3 Squad Detail'!$C$6:$C$109,"Archetype")</f>
        <v>25.5</v>
      </c>
      <c r="L5" s="865" t="n"/>
      <c r="M5" s="865" t="n"/>
      <c r="N5" s="865" t="n"/>
      <c r="O5" s="865" t="n"/>
      <c r="P5" s="865" t="n"/>
      <c r="Q5" s="865" t="n"/>
      <c r="R5" s="865" t="n"/>
      <c r="S5" s="865" t="n"/>
      <c r="T5" s="865" t="inlineStr">
        <is>
          <t>Customer</t>
        </is>
      </c>
      <c r="U5" s="865" t="inlineStr">
        <is>
          <t>Customer</t>
        </is>
      </c>
      <c r="W5" s="865" t="inlineStr">
        <is>
          <t>Technology Suport</t>
        </is>
      </c>
      <c r="X5" s="865" t="inlineStr">
        <is>
          <t>Technology Support</t>
        </is>
      </c>
      <c r="AC5" s="865" t="inlineStr">
        <is>
          <t>Offshore</t>
        </is>
      </c>
      <c r="AD5" s="865" t="n">
        <v>0.4</v>
      </c>
      <c r="AF5" s="865" t="inlineStr">
        <is>
          <t>Delivery Manager</t>
        </is>
      </c>
      <c r="AG5" s="1026">
        <f>'0.2 Data Config'!$L$14</f>
        <v>0.084</v>
      </c>
      <c r="AH5" s="865" t="n">
        <v>30</v>
      </c>
      <c r="AI5" s="865" t="inlineStr">
        <is>
          <t>platforms</t>
        </is>
      </c>
      <c r="AJ5" s="865">
        <f>$AG5*$AH5</f>
        <v>2.52</v>
      </c>
      <c r="AK5" s="865" t="inlineStr">
        <is>
          <t>Z Customer</t>
        </is>
      </c>
      <c r="AL5" s="865" t="inlineStr">
        <is>
          <t>Customer</t>
        </is>
      </c>
      <c r="AM5" s="1788" t="inlineStr">
        <is>
          <t>Yes</t>
        </is>
      </c>
      <c r="AN5" s="1766" t="n">
        <v>136</v>
      </c>
      <c r="AO5" s="1767" t="n"/>
      <c r="AP5" s="1767" t="inlineStr">
        <is>
          <t>Ampol Web</t>
        </is>
      </c>
      <c r="AQ5" s="1767" t="n"/>
      <c r="AS5" s="870" t="inlineStr">
        <is>
          <t>TDD Group Functions</t>
        </is>
      </c>
    </row>
    <row r="6" ht="14.25" customHeight="1" s="866">
      <c r="A6" s="865" t="inlineStr">
        <is>
          <t>Enterprise Data and Insights</t>
        </is>
      </c>
      <c r="B6" s="865" t="n"/>
      <c r="C6" s="865" t="n"/>
      <c r="D6" s="865" t="n">
        <v>0.5</v>
      </c>
      <c r="E6" s="865" t="n"/>
      <c r="F6" s="865" t="n"/>
      <c r="G6" s="865" t="n"/>
      <c r="H6" s="865" t="n"/>
      <c r="I6" s="865" t="n"/>
      <c r="J6" s="865" t="inlineStr">
        <is>
          <t>P&amp;C</t>
        </is>
      </c>
      <c r="K6" s="865">
        <f>SUMIFS('3.3 Squad Detail'!$G$6:$G$109,'3.3 Squad Detail'!$B$6:$B$109,$J6,'3.3 Squad Detail'!$C$6:$C$109,"Archetype")</f>
        <v>15</v>
      </c>
      <c r="L6" s="865" t="n"/>
      <c r="M6" s="865" t="n"/>
      <c r="N6" s="865" t="n"/>
      <c r="O6" s="865" t="n"/>
      <c r="P6" s="865" t="n"/>
      <c r="Q6" s="865" t="n"/>
      <c r="R6" s="865" t="n"/>
      <c r="S6" s="865" t="n"/>
      <c r="T6" s="865" t="inlineStr">
        <is>
          <t>Ampol Customer</t>
        </is>
      </c>
      <c r="U6" s="865" t="inlineStr">
        <is>
          <t>Customer</t>
        </is>
      </c>
      <c r="W6" s="865" t="inlineStr">
        <is>
          <t>Customer, AI</t>
        </is>
      </c>
      <c r="X6" s="865" t="inlineStr">
        <is>
          <t>Customer AI</t>
        </is>
      </c>
      <c r="AF6" s="1154" t="inlineStr">
        <is>
          <t>Technology Manager</t>
        </is>
      </c>
      <c r="AG6" s="1026">
        <f>'0.2 Data Config'!$L$15</f>
        <v>0.081</v>
      </c>
      <c r="AH6" s="865" t="n">
        <v>30</v>
      </c>
      <c r="AI6" s="1154" t="inlineStr">
        <is>
          <t>platforms</t>
        </is>
      </c>
      <c r="AJ6" s="865">
        <f>$AG6*$AH6</f>
        <v>2.43</v>
      </c>
      <c r="AK6" s="865" t="inlineStr">
        <is>
          <t>TDD Data</t>
        </is>
      </c>
      <c r="AL6" s="865" t="inlineStr">
        <is>
          <t>Enterprise Data</t>
        </is>
      </c>
      <c r="AM6" s="1788" t="inlineStr">
        <is>
          <t>Yes</t>
        </is>
      </c>
      <c r="AN6" s="1768" t="n"/>
      <c r="AO6" s="1768" t="n"/>
      <c r="AP6" s="1768" t="n"/>
      <c r="AQ6" s="1768" t="n"/>
      <c r="AS6" s="870" t="inlineStr">
        <is>
          <t>P&amp;C</t>
        </is>
      </c>
    </row>
    <row r="7" ht="14.25" customHeight="1" s="866">
      <c r="A7" s="865" t="inlineStr">
        <is>
          <t>Build and Run</t>
        </is>
      </c>
      <c r="B7" s="865" t="n"/>
      <c r="C7" s="865" t="n"/>
      <c r="D7" s="1765" t="n">
        <v>0.65</v>
      </c>
      <c r="E7" s="865" t="n"/>
      <c r="F7" s="865" t="n"/>
      <c r="G7" s="865" t="n"/>
      <c r="H7" s="865" t="n"/>
      <c r="I7" s="865" t="n"/>
      <c r="J7" s="865" t="inlineStr">
        <is>
          <t>Finance</t>
        </is>
      </c>
      <c r="K7" s="865">
        <f>SUMIFS('3.3 Squad Detail'!$G$6:$G$109,'3.3 Squad Detail'!$B$6:$B$109,$J7,'3.3 Squad Detail'!$C$6:$C$109,"Archetype")</f>
        <v>12</v>
      </c>
      <c r="L7" s="865" t="n"/>
      <c r="M7" s="865" t="n"/>
      <c r="N7" s="865" t="n"/>
      <c r="O7" s="865" t="n"/>
      <c r="P7" s="865" t="n"/>
      <c r="Q7" s="865" t="n"/>
      <c r="R7" s="865" t="n"/>
      <c r="S7" s="865" t="n"/>
      <c r="T7" s="865" t="inlineStr">
        <is>
          <t>Enterprise Data</t>
        </is>
      </c>
      <c r="U7" s="865" t="inlineStr">
        <is>
          <t>Enterprise Data</t>
        </is>
      </c>
      <c r="W7" s="865" t="inlineStr">
        <is>
          <t>Data - AU</t>
        </is>
      </c>
      <c r="X7" s="865" t="inlineStr">
        <is>
          <t>Data AU</t>
        </is>
      </c>
      <c r="AF7" s="865" t="inlineStr">
        <is>
          <t>Leadership - 8 GMs</t>
        </is>
      </c>
      <c r="AG7" s="1026">
        <f>'0.2 Data Config'!$L$9</f>
        <v>0.3</v>
      </c>
      <c r="AH7" s="865">
        <f>$AH$2</f>
        <v>10</v>
      </c>
      <c r="AI7" s="865" t="inlineStr">
        <is>
          <t>portfolios</t>
        </is>
      </c>
      <c r="AJ7" s="865">
        <f>$AG7*$AH7</f>
        <v>3</v>
      </c>
      <c r="AK7" s="865" t="inlineStr">
        <is>
          <t>TDD</t>
        </is>
      </c>
      <c r="AL7" s="865" t="inlineStr">
        <is>
          <t>TDD Group Functions</t>
        </is>
      </c>
      <c r="AM7" s="1788" t="inlineStr">
        <is>
          <t>No</t>
        </is>
      </c>
      <c r="AN7" s="1768" t="n"/>
      <c r="AO7" s="1768" t="n"/>
      <c r="AP7" s="1768" t="n"/>
      <c r="AQ7" s="1768" t="n"/>
      <c r="AS7" s="870" t="inlineStr">
        <is>
          <t>Finance</t>
        </is>
      </c>
    </row>
    <row r="8" ht="14.25" customHeight="1" s="866">
      <c r="A8" s="865" t="inlineStr">
        <is>
          <t>Strategic Programs</t>
        </is>
      </c>
      <c r="B8" s="865" t="n"/>
      <c r="C8" s="865" t="n"/>
      <c r="D8" s="865" t="n">
        <v>0.7</v>
      </c>
      <c r="E8" s="865" t="n"/>
      <c r="F8" s="865" t="n"/>
      <c r="G8" s="865" t="n"/>
      <c r="H8" s="865" t="n"/>
      <c r="I8" s="865" t="n"/>
      <c r="J8" s="865" t="inlineStr">
        <is>
          <t>Infrastructure</t>
        </is>
      </c>
      <c r="K8" s="865">
        <f>SUMIFS('3.3 Squad Detail'!$G$6:$G$109,'3.3 Squad Detail'!$B$6:$B$109,$J8,'3.3 Squad Detail'!$C$6:$C$109,"Archetype")</f>
        <v>28</v>
      </c>
      <c r="L8" s="865" t="n"/>
      <c r="M8" s="865" t="n"/>
      <c r="N8" s="865" t="n"/>
      <c r="O8" s="865" t="n"/>
      <c r="P8" s="865" t="n"/>
      <c r="Q8" s="865" t="n"/>
      <c r="R8" s="865" t="n"/>
      <c r="S8" s="865" t="n"/>
      <c r="T8" s="865" t="inlineStr">
        <is>
          <t>TDD</t>
        </is>
      </c>
      <c r="U8" s="865" t="inlineStr">
        <is>
          <t>TDD Group Functions</t>
        </is>
      </c>
      <c r="W8" s="865" t="inlineStr">
        <is>
          <t>Data - NZ</t>
        </is>
      </c>
      <c r="X8" s="865" t="inlineStr">
        <is>
          <t>Data NZ</t>
        </is>
      </c>
      <c r="AF8" s="1154" t="inlineStr">
        <is>
          <t>Total</t>
        </is>
      </c>
      <c r="AJ8" s="1154">
        <f>SUM(AJ2:AJ7)</f>
        <v>12.925</v>
      </c>
      <c r="AK8" s="865" t="inlineStr">
        <is>
          <t>P&amp;C</t>
        </is>
      </c>
      <c r="AL8" s="865" t="inlineStr">
        <is>
          <t>P&amp;C</t>
        </is>
      </c>
      <c r="AN8" s="1768" t="n"/>
      <c r="AO8" s="1768" t="n"/>
      <c r="AP8" s="1768" t="n"/>
      <c r="AQ8" s="1768" t="n"/>
      <c r="AS8" s="870" t="inlineStr">
        <is>
          <t>Infrastructure</t>
        </is>
      </c>
    </row>
    <row r="9" ht="14.25" customHeight="1" s="866">
      <c r="A9" s="865" t="n"/>
      <c r="B9" s="865" t="n"/>
      <c r="C9" s="865" t="n"/>
      <c r="D9" s="865" t="n">
        <v>0.8</v>
      </c>
      <c r="E9" s="865" t="n"/>
      <c r="F9" s="865" t="n"/>
      <c r="G9" s="865" t="n"/>
      <c r="H9" s="865" t="n"/>
      <c r="I9" s="865" t="n"/>
      <c r="J9" s="865" t="inlineStr">
        <is>
          <t>Energy Solutions &amp; B2B</t>
        </is>
      </c>
      <c r="K9" s="865">
        <f>SUMIFS('3.3 Squad Detail'!$G$6:$G$109,'3.3 Squad Detail'!$B$6:$B$109,$J9,'3.3 Squad Detail'!$C$6:$C$109,"Archetype")</f>
        <v>35</v>
      </c>
      <c r="L9" s="865" t="n"/>
      <c r="M9" s="865" t="n"/>
      <c r="N9" s="865" t="n"/>
      <c r="O9" s="865" t="n"/>
      <c r="P9" s="865" t="n"/>
      <c r="Q9" s="865" t="n"/>
      <c r="R9" s="865" t="n"/>
      <c r="S9" s="865" t="n"/>
      <c r="T9" s="865" t="inlineStr">
        <is>
          <t>Infrastructure</t>
        </is>
      </c>
      <c r="U9" s="865" t="inlineStr">
        <is>
          <t>Infrastructure</t>
        </is>
      </c>
      <c r="W9" s="865" t="inlineStr">
        <is>
          <t>Data Platform</t>
        </is>
      </c>
      <c r="X9" s="865" t="inlineStr">
        <is>
          <t>Data Platforms</t>
        </is>
      </c>
      <c r="AF9" s="1525" t="inlineStr">
        <is>
          <t>Allowance drawn in the portfolios</t>
        </is>
      </c>
      <c r="AJ9" s="1789">
        <f>SUMIF($AM$2:$AM$7,"Yes",$AJ$2:$AJ$7)</f>
        <v>6.325</v>
      </c>
      <c r="AK9" s="865" t="inlineStr">
        <is>
          <t>Finance</t>
        </is>
      </c>
      <c r="AL9" s="865" t="inlineStr">
        <is>
          <t>Finance</t>
        </is>
      </c>
      <c r="AN9" s="1768" t="n"/>
      <c r="AO9" s="1768" t="n"/>
      <c r="AP9" s="1768" t="n"/>
      <c r="AQ9" s="1768" t="n"/>
      <c r="AS9" s="870" t="inlineStr">
        <is>
          <t>Energy Solutions &amp; B2B</t>
        </is>
      </c>
    </row>
    <row r="10" ht="14.25" customHeight="1" s="866">
      <c r="A10" s="865" t="n"/>
      <c r="B10" s="865" t="n"/>
      <c r="C10" s="865" t="n"/>
      <c r="D10" s="865" t="n">
        <v>0.9</v>
      </c>
      <c r="E10" s="865" t="n"/>
      <c r="F10" s="865" t="n"/>
      <c r="G10" s="865" t="n"/>
      <c r="H10" s="865" t="n"/>
      <c r="I10" s="865" t="n"/>
      <c r="J10" s="865" t="inlineStr">
        <is>
          <t>Commercial Fuels</t>
        </is>
      </c>
      <c r="K10" s="865">
        <f>SUMIFS('3.3 Squad Detail'!$G$6:$G$109,'3.3 Squad Detail'!$B$6:$B$109,$J10,'3.3 Squad Detail'!$C$6:$C$109,"Archetype")</f>
        <v>25.5</v>
      </c>
      <c r="L10" s="865" t="n"/>
      <c r="M10" s="865" t="n"/>
      <c r="N10" s="865" t="n"/>
      <c r="O10" s="865" t="n"/>
      <c r="P10" s="865" t="n"/>
      <c r="Q10" s="865" t="n"/>
      <c r="R10" s="865" t="n"/>
      <c r="S10" s="865" t="n"/>
      <c r="T10" s="865" t="inlineStr">
        <is>
          <t>B2B &amp; Energy Solutions</t>
        </is>
      </c>
      <c r="U10" s="865" t="inlineStr">
        <is>
          <t>Energy Solutions &amp; B2B</t>
        </is>
      </c>
      <c r="W10" s="865" t="inlineStr">
        <is>
          <t>Z Energy Martech</t>
        </is>
      </c>
      <c r="X10" s="865" t="inlineStr">
        <is>
          <t>Z Loyalty &amp; Martech</t>
        </is>
      </c>
      <c r="AF10" s="1154" t="inlineStr">
        <is>
          <t>GM layer - input</t>
        </is>
      </c>
      <c r="AK10" s="865" t="inlineStr">
        <is>
          <t>Infrastructure</t>
        </is>
      </c>
      <c r="AL10" s="865" t="inlineStr">
        <is>
          <t>Infrastructure</t>
        </is>
      </c>
      <c r="AN10" s="1768" t="n"/>
      <c r="AO10" s="1768" t="n"/>
      <c r="AP10" s="1768" t="n"/>
      <c r="AQ10" s="1768" t="n"/>
      <c r="AS10" s="870" t="inlineStr">
        <is>
          <t>Commercial Fuels</t>
        </is>
      </c>
    </row>
    <row r="11" ht="14.25" customHeight="1" s="866">
      <c r="A11" s="865" t="n"/>
      <c r="B11" s="865" t="n"/>
      <c r="C11" s="865" t="n"/>
      <c r="D11" s="865" t="n">
        <v>1</v>
      </c>
      <c r="E11" s="865" t="n"/>
      <c r="F11" s="865" t="n"/>
      <c r="G11" s="865" t="n"/>
      <c r="H11" s="865" t="n"/>
      <c r="I11" s="865" t="n"/>
      <c r="J11" s="865" t="inlineStr">
        <is>
          <t>Z Retail</t>
        </is>
      </c>
      <c r="K11" s="865">
        <f>SUMIFS('3.3 Squad Detail'!$G$6:$G$109,'3.3 Squad Detail'!$B$6:$B$109,$J11,'3.3 Squad Detail'!$C$6:$C$109,"Archetype")</f>
        <v>34.5</v>
      </c>
      <c r="L11" s="865" t="n"/>
      <c r="M11" s="865" t="n"/>
      <c r="N11" s="865" t="n"/>
      <c r="O11" s="865" t="n"/>
      <c r="P11" s="865" t="n"/>
      <c r="Q11" s="865" t="n"/>
      <c r="R11" s="865" t="n"/>
      <c r="S11" s="865" t="n"/>
      <c r="T11" s="865" t="inlineStr">
        <is>
          <t>Commercial Fuels</t>
        </is>
      </c>
      <c r="U11" s="865" t="inlineStr">
        <is>
          <t>Commercial Fuels</t>
        </is>
      </c>
      <c r="W11" s="865" t="inlineStr">
        <is>
          <t>AU CRM &amp; Martech</t>
        </is>
      </c>
      <c r="X11" s="865" t="inlineStr">
        <is>
          <t>Ampol Loyalty &amp; Martech</t>
        </is>
      </c>
      <c r="AF11" s="865" t="inlineStr">
        <is>
          <t>Number of GMs</t>
        </is>
      </c>
      <c r="AG11" s="865" t="n">
        <v>8</v>
      </c>
      <c r="AK11" s="865" t="inlineStr">
        <is>
          <t>Energy Solutions &amp; B2B</t>
        </is>
      </c>
      <c r="AL11" s="865" t="inlineStr">
        <is>
          <t>Energy Solutions &amp; B2B</t>
        </is>
      </c>
      <c r="AN11" s="1768" t="n"/>
      <c r="AO11" s="1768" t="n"/>
      <c r="AP11" s="1768" t="n"/>
      <c r="AQ11" s="1768" t="n"/>
      <c r="AS11" s="870" t="inlineStr">
        <is>
          <t>Z Retail</t>
        </is>
      </c>
    </row>
    <row r="12" ht="14.25" customHeight="1" s="866">
      <c r="A12" s="865" t="n"/>
      <c r="B12" s="865" t="n"/>
      <c r="C12" s="865" t="n"/>
      <c r="D12" s="865" t="n"/>
      <c r="E12" s="865" t="n"/>
      <c r="F12" s="865" t="n"/>
      <c r="G12" s="865" t="n"/>
      <c r="H12" s="865" t="n"/>
      <c r="I12" s="865" t="n"/>
      <c r="J12" s="865" t="inlineStr">
        <is>
          <t>COE Cyber</t>
        </is>
      </c>
      <c r="K12" s="865">
        <f>SUMIFS('3.3 Squad Detail'!$G$6:$G$109,'3.3 Squad Detail'!$B$6:$B$109,$J12,'3.3 Squad Detail'!$C$6:$C$109,"Archetype")</f>
        <v>0</v>
      </c>
      <c r="L12" s="865" t="n"/>
      <c r="M12" s="865" t="n"/>
      <c r="N12" s="865" t="n"/>
      <c r="O12" s="865" t="n"/>
      <c r="P12" s="865" t="n"/>
      <c r="Q12" s="865" t="n"/>
      <c r="R12" s="865" t="n"/>
      <c r="S12" s="865" t="n"/>
      <c r="T12" s="865" t="inlineStr">
        <is>
          <t>Finance</t>
        </is>
      </c>
      <c r="U12" s="865" t="inlineStr">
        <is>
          <t>Finance</t>
        </is>
      </c>
      <c r="AF12" s="865" t="inlineStr">
        <is>
          <t>GM cost ($m)</t>
        </is>
      </c>
      <c r="AG12" s="865" t="n">
        <v>5.1</v>
      </c>
      <c r="AK12" s="865" t="inlineStr">
        <is>
          <t>Commercial Fuels</t>
        </is>
      </c>
      <c r="AL12" s="865" t="inlineStr">
        <is>
          <t>Commercial Fuels</t>
        </is>
      </c>
    </row>
    <row r="13" ht="14.25" customHeight="1" s="866">
      <c r="A13" s="865" t="n"/>
      <c r="B13" s="865" t="n"/>
      <c r="C13" s="865" t="n"/>
      <c r="D13" s="865" t="n"/>
      <c r="E13" s="865" t="n"/>
      <c r="F13" s="865" t="n"/>
      <c r="G13" s="865" t="n"/>
      <c r="H13" s="865" t="n"/>
      <c r="I13" s="865" t="n"/>
      <c r="J13" s="865" t="inlineStr">
        <is>
          <t>COE BP&amp;T</t>
        </is>
      </c>
      <c r="K13" s="865">
        <f>SUMIFS('3.3 Squad Detail'!$G$6:$G$109,'3.3 Squad Detail'!$B$6:$B$109,$J13,'3.3 Squad Detail'!$C$6:$C$109,"Archetype")</f>
        <v>0</v>
      </c>
      <c r="L13" s="865" t="n"/>
      <c r="M13" s="865" t="n"/>
      <c r="N13" s="865" t="n"/>
      <c r="O13" s="865" t="n"/>
      <c r="P13" s="865" t="n"/>
      <c r="Q13" s="865" t="n"/>
      <c r="R13" s="865" t="n"/>
      <c r="S13" s="865" t="n"/>
      <c r="T13" s="865" t="inlineStr">
        <is>
          <t>P&amp;C</t>
        </is>
      </c>
      <c r="U13" s="865" t="inlineStr">
        <is>
          <t>P&amp;C</t>
        </is>
      </c>
      <c r="AF13" s="1020" t="inlineStr">
        <is>
          <t>The 8 GMs are the only overhead line with no role in REVIEW, so their cost is entered here and sits above the 525-role ledger.</t>
        </is>
      </c>
      <c r="AK13" s="865" t="str">
        <f>'0.2 Data Config'!$B$7</f>
        <v>COE - Cyber, Risk &amp; Service Ops (see 1.13 Cyber Roles)</v>
      </c>
      <c r="AL13" s="865" t="inlineStr">
        <is>
          <t>COE Cyber</t>
        </is>
      </c>
      <c r="AN13" s="1312" t="inlineStr">
        <is>
          <t>Agreed moves. REVIEW's own columns are untouched; these override the grouping only.</t>
        </is>
      </c>
    </row>
    <row r="14" ht="14.25" customHeight="1" s="866">
      <c r="A14" s="865" t="n"/>
      <c r="B14" s="865" t="n"/>
      <c r="C14" s="865" t="n"/>
      <c r="D14" s="865" t="n"/>
      <c r="E14" s="865" t="n"/>
      <c r="F14" s="865" t="n"/>
      <c r="G14" s="865" t="n"/>
      <c r="H14" s="865" t="n"/>
      <c r="I14" s="865" t="n"/>
      <c r="J14" s="865" t="inlineStr">
        <is>
          <t>COE SA&amp;D</t>
        </is>
      </c>
      <c r="K14" s="865">
        <f>SUMIFS('3.3 Squad Detail'!$G$6:$G$109,'3.3 Squad Detail'!$B$6:$B$109,$J14,'3.3 Squad Detail'!$C$6:$C$109,"Archetype")</f>
        <v>0</v>
      </c>
      <c r="L14" s="865" t="n"/>
      <c r="M14" s="865" t="n"/>
      <c r="N14" s="865" t="n"/>
      <c r="O14" s="865" t="n"/>
      <c r="P14" s="865" t="n"/>
      <c r="Q14" s="865" t="n"/>
      <c r="R14" s="865" t="n"/>
      <c r="S14" s="865" t="n"/>
      <c r="T14" s="865" t="inlineStr">
        <is>
          <t>P&amp;C, Finance &amp; Legal</t>
        </is>
      </c>
      <c r="U14" s="865" t="inlineStr">
        <is>
          <t>P&amp;C</t>
        </is>
      </c>
      <c r="AF14" s="1154" t="inlineStr">
        <is>
          <t>Cost base - input</t>
        </is>
      </c>
      <c r="AK14" s="865" t="inlineStr">
        <is>
          <t>TDD Cyber</t>
        </is>
      </c>
      <c r="AL14" s="865" t="inlineStr">
        <is>
          <t>COE Cyber</t>
        </is>
      </c>
    </row>
    <row r="15" ht="14.25" customHeight="1" s="866">
      <c r="A15" s="865" t="n"/>
      <c r="B15" s="865" t="n"/>
      <c r="C15" s="865" t="n"/>
      <c r="D15" s="865" t="n"/>
      <c r="E15" s="865" t="n"/>
      <c r="F15" s="865" t="n"/>
      <c r="G15" s="865" t="n"/>
      <c r="H15" s="865" t="n"/>
      <c r="I15" s="865" t="n"/>
      <c r="J15" s="865" t="inlineStr">
        <is>
          <t>EGI</t>
        </is>
      </c>
      <c r="K15" s="865">
        <f>SUMIFS('3.3 Squad Detail'!$G$6:$G$109,'3.3 Squad Detail'!$B$6:$B$109,$J15,'3.3 Squad Detail'!$C$6:$C$109,"Archetype")</f>
        <v>0</v>
      </c>
      <c r="L15" s="865" t="n"/>
      <c r="M15" s="865" t="n"/>
      <c r="N15" s="865" t="n"/>
      <c r="O15" s="865" t="n"/>
      <c r="P15" s="865" t="n"/>
      <c r="Q15" s="865" t="n"/>
      <c r="R15" s="865" t="n"/>
      <c r="S15" s="865" t="n"/>
      <c r="T15" s="865" t="inlineStr">
        <is>
          <t>EGI</t>
        </is>
      </c>
      <c r="U15" s="865" t="inlineStr">
        <is>
          <t>EGI</t>
        </is>
      </c>
      <c r="AF15" s="865" t="inlineStr">
        <is>
          <t>Days worked per year (day-rate roles)</t>
        </is>
      </c>
      <c r="AG15" s="1794" t="n">
        <v>222</v>
      </c>
      <c r="AK15" s="865" t="inlineStr">
        <is>
          <t>COE - Transformation</t>
        </is>
      </c>
      <c r="AL15" s="865" t="inlineStr">
        <is>
          <t>COE BP&amp;T</t>
        </is>
      </c>
    </row>
    <row r="16" ht="14.25" customHeight="1" s="866">
      <c r="A16" s="865" t="n"/>
      <c r="B16" s="865" t="n"/>
      <c r="C16" s="865" t="n"/>
      <c r="D16" s="865" t="n"/>
      <c r="E16" s="865" t="n"/>
      <c r="F16" s="865" t="n"/>
      <c r="G16" s="865" t="n"/>
      <c r="H16" s="865" t="n"/>
      <c r="I16" s="865" t="n"/>
      <c r="J16" s="865" t="n"/>
      <c r="K16" s="865" t="n"/>
      <c r="L16" s="865" t="n"/>
      <c r="M16" s="865" t="n"/>
      <c r="N16" s="865" t="n"/>
      <c r="O16" s="865" t="n"/>
      <c r="P16" s="865" t="n"/>
      <c r="Q16" s="865" t="n"/>
      <c r="R16" s="865" t="n"/>
      <c r="S16" s="865" t="n"/>
      <c r="T16" s="865" t="inlineStr">
        <is>
          <t>COE - Cyber, Risk &amp; Operations</t>
        </is>
      </c>
      <c r="U16" s="865" t="inlineStr">
        <is>
          <t>COE Cyber</t>
        </is>
      </c>
      <c r="AF16" s="865" t="inlineStr">
        <is>
          <t>Full Cost AUD = base x (1 + STI + payroll + pension + CPI) + medical, or day rate x days x (1 + CPI). Column AU holds any agreed override.</t>
        </is>
      </c>
      <c r="AK16" s="865" t="inlineStr">
        <is>
          <t>COE - Business Partnering</t>
        </is>
      </c>
      <c r="AL16" s="865" t="inlineStr">
        <is>
          <t>COE BP&amp;T</t>
        </is>
      </c>
    </row>
    <row r="17" ht="14.25" customHeight="1" s="866">
      <c r="T17" s="865" t="inlineStr">
        <is>
          <t>COE - Partnering &amp; Transformation</t>
        </is>
      </c>
      <c r="U17" s="865" t="inlineStr">
        <is>
          <t>COE BP&amp;T</t>
        </is>
      </c>
      <c r="AK17" s="865" t="inlineStr">
        <is>
          <t>COE - Strategy Architecture</t>
        </is>
      </c>
      <c r="AL17" s="865" t="inlineStr">
        <is>
          <t>COE SA&amp;D</t>
        </is>
      </c>
    </row>
    <row r="18" ht="14.25" customHeight="1" s="866">
      <c r="T18" s="865" t="inlineStr">
        <is>
          <t>COE - Strategy, Architecture, Data</t>
        </is>
      </c>
      <c r="U18" s="865" t="inlineStr">
        <is>
          <t>COE SA&amp;D</t>
        </is>
      </c>
      <c r="AK18" s="865" t="inlineStr">
        <is>
          <t>COE - Data</t>
        </is>
      </c>
      <c r="AL18" s="865" t="inlineStr">
        <is>
          <t>COE SA&amp;D</t>
        </is>
      </c>
    </row>
    <row r="19" ht="14.25" customHeight="1" s="866">
      <c r="T19" s="865" t="inlineStr">
        <is>
          <t>EGI Integration</t>
        </is>
      </c>
      <c r="U19" s="865" t="inlineStr">
        <is>
          <t>Customer</t>
        </is>
      </c>
      <c r="AK19" s="865" t="inlineStr">
        <is>
          <t>EGI</t>
        </is>
      </c>
      <c r="AL19" s="865" t="inlineStr">
        <is>
          <t>EGI</t>
        </is>
      </c>
    </row>
  </sheetData>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2026-07-20T10:52:13Z</dcterms:created>
  <dcterms:modified xsi:type="dcterms:W3CDTF">2026-07-26T22:10:59Z</dcterms:modified>
  <cp:lastModifiedBy>Leewaine Scott</cp:lastModifiedBy>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0x010100F04FBCABD6E803438FCB3E42FB7A7A49</vt:lpwstr>
  </property>
  <property name="MediaServiceImageTags" fmtid="{D5CDD505-2E9C-101B-9397-08002B2CF9AE}" pid="3">
    <vt:lpwstr/>
  </property>
</Properties>
</file>